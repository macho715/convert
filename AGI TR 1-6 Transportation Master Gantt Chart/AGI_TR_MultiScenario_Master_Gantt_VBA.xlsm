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628"/>
  <workbookPr/>
  <mc:AlternateContent xmlns:mc="http://schemas.openxmlformats.org/markup-compatibility/2006">
    <mc:Choice Requires="x15">
      <x15ac:absPath xmlns:x15ac="http://schemas.microsoft.com/office/spreadsheetml/2010/11/ac" url="C:\Users\minky\Downloads\PDF_PARSER\AGI_TR6_MasterSuite_READY_v3_1\"/>
    </mc:Choice>
  </mc:AlternateContent>
  <xr:revisionPtr revIDLastSave="0" documentId="8_{C92D9EB6-146D-4B65-AC62-BF3985208259}" xr6:coauthVersionLast="47" xr6:coauthVersionMax="47" xr10:uidLastSave="{00000000-0000-0000-0000-000000000000}"/>
  <bookViews>
    <workbookView xWindow="-98" yWindow="-98" windowWidth="21795" windowHeight="13875" xr2:uid="{00000000-000D-0000-FFFF-FFFF00000000}"/>
  </bookViews>
  <sheets>
    <sheet name="Control_Panel" sheetId="1" r:id="rId1"/>
    <sheet name="Schedule_Data" sheetId="2" r:id="rId2"/>
    <sheet name="Gantt_Chart" sheetId="3" r:id="rId3"/>
    <sheet name="Schedule_Data_ScenarioA" sheetId="4" r:id="rId4"/>
    <sheet name="Gantt_Chart_ScenarioA" sheetId="5" r:id="rId5"/>
    <sheet name="Schedule_Data_ScenarioB" sheetId="6" r:id="rId6"/>
    <sheet name="Gantt_Chart_ScenarioB" sheetId="7" r:id="rId7"/>
    <sheet name="Tide_Data" sheetId="8" r:id="rId8"/>
    <sheet name="Scenario_Comparison" sheetId="9" r:id="rId9"/>
    <sheet name="Weather_Analysis" sheetId="10" r:id="rId10"/>
    <sheet name="Summary" sheetId="11" r:id="rId11"/>
    <sheet name="VBA_Code" sheetId="12" r:id="rId12"/>
  </sheets>
  <definedNames>
    <definedName name="DUR_BUF">Control_Panel!$E15</definedName>
    <definedName name="DUR_DECK">Control_Panel!$E6</definedName>
    <definedName name="DUR_JD">Control_Panel!$E13</definedName>
    <definedName name="DUR_LO">Control_Panel!$E7</definedName>
    <definedName name="DUR_MOB">Control_Panel!$E5</definedName>
    <definedName name="DUR_MWS">Control_Panel!$E9</definedName>
    <definedName name="DUR_RET">Control_Panel!$E14</definedName>
    <definedName name="DUR_SAIL">Control_Panel!$E10</definedName>
    <definedName name="DUR_SF">Control_Panel!$E8</definedName>
    <definedName name="DUR_TURN">Control_Panel!$E12</definedName>
    <definedName name="DUR_UL">Control_Panel!$E11</definedName>
    <definedName name="GANTT_BUFFER_DAYS">Control_Panel!$I$9</definedName>
    <definedName name="GANTT_MIN_DAYS">Control_Panel!$I$8</definedName>
    <definedName name="PROJECT_START">Control_Panel!$B$4</definedName>
    <definedName name="SHAMAL_END">Control_Panel!$H$6</definedName>
    <definedName name="SHAMAL_START">Control_Panel!$H$5</definedName>
    <definedName name="TARGET_END">Control_Panel!$B$5</definedName>
    <definedName name="TIDE_THRESHOLD">Control_Panel!$H$7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13" i="11" l="1"/>
  <c r="B12" i="11"/>
  <c r="C7" i="9"/>
  <c r="D7" i="9" s="1"/>
  <c r="B7" i="9"/>
  <c r="C5" i="9"/>
  <c r="D5" i="9" s="1"/>
  <c r="B5" i="9"/>
  <c r="C4" i="9"/>
  <c r="D4" i="9" s="1"/>
  <c r="B4" i="9"/>
  <c r="G51" i="7"/>
  <c r="E51" i="7"/>
  <c r="D51" i="7"/>
  <c r="C51" i="7"/>
  <c r="B51" i="7"/>
  <c r="A51" i="7"/>
  <c r="G50" i="7"/>
  <c r="E50" i="7"/>
  <c r="D50" i="7"/>
  <c r="C50" i="7"/>
  <c r="B50" i="7"/>
  <c r="A50" i="7"/>
  <c r="G49" i="7"/>
  <c r="E49" i="7"/>
  <c r="D49" i="7"/>
  <c r="C49" i="7"/>
  <c r="B49" i="7"/>
  <c r="A49" i="7"/>
  <c r="G48" i="7"/>
  <c r="E48" i="7"/>
  <c r="D48" i="7"/>
  <c r="C48" i="7"/>
  <c r="B48" i="7"/>
  <c r="A48" i="7"/>
  <c r="G47" i="7"/>
  <c r="E47" i="7"/>
  <c r="D47" i="7"/>
  <c r="C47" i="7"/>
  <c r="B47" i="7"/>
  <c r="A47" i="7"/>
  <c r="G46" i="7"/>
  <c r="E46" i="7"/>
  <c r="D46" i="7"/>
  <c r="C46" i="7"/>
  <c r="B46" i="7"/>
  <c r="A46" i="7"/>
  <c r="G45" i="7"/>
  <c r="E45" i="7"/>
  <c r="D45" i="7"/>
  <c r="C45" i="7"/>
  <c r="B45" i="7"/>
  <c r="A45" i="7"/>
  <c r="G44" i="7"/>
  <c r="E44" i="7"/>
  <c r="D44" i="7"/>
  <c r="C44" i="7"/>
  <c r="B44" i="7"/>
  <c r="A44" i="7"/>
  <c r="G43" i="7"/>
  <c r="E43" i="7"/>
  <c r="D43" i="7"/>
  <c r="C43" i="7"/>
  <c r="B43" i="7"/>
  <c r="A43" i="7"/>
  <c r="G42" i="7"/>
  <c r="E42" i="7"/>
  <c r="D42" i="7"/>
  <c r="C42" i="7"/>
  <c r="B42" i="7"/>
  <c r="A42" i="7"/>
  <c r="G41" i="7"/>
  <c r="E41" i="7"/>
  <c r="D41" i="7"/>
  <c r="C41" i="7"/>
  <c r="B41" i="7"/>
  <c r="A41" i="7"/>
  <c r="G40" i="7"/>
  <c r="E40" i="7"/>
  <c r="D40" i="7"/>
  <c r="C40" i="7"/>
  <c r="B40" i="7"/>
  <c r="A40" i="7"/>
  <c r="G39" i="7"/>
  <c r="E39" i="7"/>
  <c r="D39" i="7"/>
  <c r="C39" i="7"/>
  <c r="B39" i="7"/>
  <c r="A39" i="7"/>
  <c r="G38" i="7"/>
  <c r="E38" i="7"/>
  <c r="D38" i="7"/>
  <c r="C38" i="7"/>
  <c r="B38" i="7"/>
  <c r="A38" i="7"/>
  <c r="G37" i="7"/>
  <c r="E37" i="7"/>
  <c r="D37" i="7"/>
  <c r="C37" i="7"/>
  <c r="B37" i="7"/>
  <c r="A37" i="7"/>
  <c r="G36" i="7"/>
  <c r="E36" i="7"/>
  <c r="D36" i="7"/>
  <c r="C36" i="7"/>
  <c r="B36" i="7"/>
  <c r="A36" i="7"/>
  <c r="G35" i="7"/>
  <c r="E35" i="7"/>
  <c r="D35" i="7"/>
  <c r="C35" i="7"/>
  <c r="B35" i="7"/>
  <c r="A35" i="7"/>
  <c r="G34" i="7"/>
  <c r="E34" i="7"/>
  <c r="D34" i="7"/>
  <c r="C34" i="7"/>
  <c r="B34" i="7"/>
  <c r="A34" i="7"/>
  <c r="G33" i="7"/>
  <c r="E33" i="7"/>
  <c r="D33" i="7"/>
  <c r="C33" i="7"/>
  <c r="B33" i="7"/>
  <c r="A33" i="7"/>
  <c r="G32" i="7"/>
  <c r="E32" i="7"/>
  <c r="D32" i="7"/>
  <c r="C32" i="7"/>
  <c r="B32" i="7"/>
  <c r="A32" i="7"/>
  <c r="G31" i="7"/>
  <c r="E31" i="7"/>
  <c r="D31" i="7"/>
  <c r="C31" i="7"/>
  <c r="B31" i="7"/>
  <c r="A31" i="7"/>
  <c r="G30" i="7"/>
  <c r="E30" i="7"/>
  <c r="D30" i="7"/>
  <c r="C30" i="7"/>
  <c r="B30" i="7"/>
  <c r="A30" i="7"/>
  <c r="G29" i="7"/>
  <c r="E29" i="7"/>
  <c r="D29" i="7"/>
  <c r="C29" i="7"/>
  <c r="B29" i="7"/>
  <c r="A29" i="7"/>
  <c r="G28" i="7"/>
  <c r="E28" i="7"/>
  <c r="D28" i="7"/>
  <c r="C28" i="7"/>
  <c r="B28" i="7"/>
  <c r="A28" i="7"/>
  <c r="G27" i="7"/>
  <c r="E27" i="7"/>
  <c r="D27" i="7"/>
  <c r="C27" i="7"/>
  <c r="B27" i="7"/>
  <c r="A27" i="7"/>
  <c r="D26" i="7"/>
  <c r="C26" i="7"/>
  <c r="B26" i="7"/>
  <c r="A26" i="7"/>
  <c r="D25" i="7"/>
  <c r="C25" i="7"/>
  <c r="B25" i="7"/>
  <c r="A25" i="7"/>
  <c r="D24" i="7"/>
  <c r="C24" i="7"/>
  <c r="B24" i="7"/>
  <c r="A24" i="7"/>
  <c r="D23" i="7"/>
  <c r="C23" i="7"/>
  <c r="B23" i="7"/>
  <c r="A23" i="7"/>
  <c r="D22" i="7"/>
  <c r="C22" i="7"/>
  <c r="B22" i="7"/>
  <c r="A22" i="7"/>
  <c r="D21" i="7"/>
  <c r="C21" i="7"/>
  <c r="B21" i="7"/>
  <c r="A21" i="7"/>
  <c r="D20" i="7"/>
  <c r="C20" i="7"/>
  <c r="B20" i="7"/>
  <c r="A20" i="7"/>
  <c r="D19" i="7"/>
  <c r="C19" i="7"/>
  <c r="B19" i="7"/>
  <c r="A19" i="7"/>
  <c r="D18" i="7"/>
  <c r="C18" i="7"/>
  <c r="B18" i="7"/>
  <c r="A18" i="7"/>
  <c r="G17" i="7"/>
  <c r="D17" i="7"/>
  <c r="C17" i="7"/>
  <c r="B17" i="7"/>
  <c r="A17" i="7"/>
  <c r="G16" i="7"/>
  <c r="D16" i="7"/>
  <c r="C16" i="7"/>
  <c r="B16" i="7"/>
  <c r="A16" i="7"/>
  <c r="D15" i="7"/>
  <c r="C15" i="7"/>
  <c r="B15" i="7"/>
  <c r="A15" i="7"/>
  <c r="D14" i="7"/>
  <c r="C14" i="7"/>
  <c r="B14" i="7"/>
  <c r="A14" i="7"/>
  <c r="D13" i="7"/>
  <c r="C13" i="7"/>
  <c r="B13" i="7"/>
  <c r="A13" i="7"/>
  <c r="D12" i="7"/>
  <c r="C12" i="7"/>
  <c r="B12" i="7"/>
  <c r="A12" i="7"/>
  <c r="D11" i="7"/>
  <c r="C11" i="7"/>
  <c r="B11" i="7"/>
  <c r="A11" i="7"/>
  <c r="D10" i="7"/>
  <c r="C10" i="7"/>
  <c r="B10" i="7"/>
  <c r="A10" i="7"/>
  <c r="D9" i="7"/>
  <c r="C9" i="7"/>
  <c r="B9" i="7"/>
  <c r="A9" i="7"/>
  <c r="D8" i="7"/>
  <c r="C8" i="7"/>
  <c r="B8" i="7"/>
  <c r="A8" i="7"/>
  <c r="G7" i="7"/>
  <c r="D7" i="7"/>
  <c r="C7" i="7"/>
  <c r="B7" i="7"/>
  <c r="A7" i="7"/>
  <c r="G6" i="7"/>
  <c r="D6" i="7"/>
  <c r="C6" i="7"/>
  <c r="B6" i="7"/>
  <c r="A6" i="7"/>
  <c r="D5" i="7"/>
  <c r="C5" i="7"/>
  <c r="B5" i="7"/>
  <c r="A5" i="7"/>
  <c r="DW4" i="7"/>
  <c r="DV4" i="7"/>
  <c r="DU4" i="7"/>
  <c r="DT4" i="7"/>
  <c r="DS4" i="7"/>
  <c r="DR4" i="7"/>
  <c r="DQ4" i="7"/>
  <c r="DP4" i="7"/>
  <c r="DO4" i="7"/>
  <c r="DN4" i="7"/>
  <c r="DM4" i="7"/>
  <c r="DL4" i="7"/>
  <c r="DK4" i="7"/>
  <c r="DJ4" i="7"/>
  <c r="DI4" i="7"/>
  <c r="DH4" i="7"/>
  <c r="DG4" i="7"/>
  <c r="DF4" i="7"/>
  <c r="DE4" i="7"/>
  <c r="DD4" i="7"/>
  <c r="DC4" i="7"/>
  <c r="DB4" i="7"/>
  <c r="DA4" i="7"/>
  <c r="CZ4" i="7"/>
  <c r="CY4" i="7"/>
  <c r="CX4" i="7"/>
  <c r="CW4" i="7"/>
  <c r="CV4" i="7"/>
  <c r="CU4" i="7"/>
  <c r="CT4" i="7"/>
  <c r="CS4" i="7"/>
  <c r="CR4" i="7"/>
  <c r="CQ4" i="7"/>
  <c r="CP4" i="7"/>
  <c r="CO4" i="7"/>
  <c r="CN4" i="7"/>
  <c r="CM4" i="7"/>
  <c r="CL4" i="7"/>
  <c r="CK4" i="7"/>
  <c r="CJ4" i="7"/>
  <c r="CI4" i="7"/>
  <c r="CH4" i="7"/>
  <c r="CG4" i="7"/>
  <c r="CF4" i="7"/>
  <c r="CE4" i="7"/>
  <c r="CD4" i="7"/>
  <c r="CC4" i="7"/>
  <c r="CB4" i="7"/>
  <c r="CA4" i="7"/>
  <c r="BZ4" i="7"/>
  <c r="BY4" i="7"/>
  <c r="BX4" i="7"/>
  <c r="BW4" i="7"/>
  <c r="BV4" i="7"/>
  <c r="BU4" i="7"/>
  <c r="BT4" i="7"/>
  <c r="BS4" i="7"/>
  <c r="BR4" i="7"/>
  <c r="BQ4" i="7"/>
  <c r="BP4" i="7"/>
  <c r="BO4" i="7"/>
  <c r="BN4" i="7"/>
  <c r="BM4" i="7"/>
  <c r="BL4" i="7"/>
  <c r="BK4" i="7"/>
  <c r="BJ4" i="7"/>
  <c r="BI4" i="7"/>
  <c r="BH4" i="7"/>
  <c r="BG4" i="7"/>
  <c r="BF4" i="7"/>
  <c r="BE4" i="7"/>
  <c r="BD4" i="7"/>
  <c r="BC4" i="7"/>
  <c r="BB4" i="7"/>
  <c r="BA4" i="7"/>
  <c r="AZ4" i="7"/>
  <c r="AY4" i="7"/>
  <c r="AX4" i="7"/>
  <c r="AW4" i="7"/>
  <c r="AV4" i="7"/>
  <c r="AU4" i="7"/>
  <c r="AT4" i="7"/>
  <c r="AS4" i="7"/>
  <c r="AR4" i="7"/>
  <c r="AQ4" i="7"/>
  <c r="AP4" i="7"/>
  <c r="AO4" i="7"/>
  <c r="AN4" i="7"/>
  <c r="AM4" i="7"/>
  <c r="AL4" i="7"/>
  <c r="AK4" i="7"/>
  <c r="AJ4" i="7"/>
  <c r="AI4" i="7"/>
  <c r="AH4" i="7"/>
  <c r="AG4" i="7"/>
  <c r="AF4" i="7"/>
  <c r="AE4" i="7"/>
  <c r="AD4" i="7"/>
  <c r="AC4" i="7"/>
  <c r="AB4" i="7"/>
  <c r="AA4" i="7"/>
  <c r="Z4" i="7"/>
  <c r="Y4" i="7"/>
  <c r="X4" i="7"/>
  <c r="W4" i="7"/>
  <c r="V4" i="7"/>
  <c r="U4" i="7"/>
  <c r="T4" i="7"/>
  <c r="S4" i="7"/>
  <c r="R4" i="7"/>
  <c r="Q4" i="7"/>
  <c r="P4" i="7"/>
  <c r="O4" i="7"/>
  <c r="N4" i="7"/>
  <c r="M4" i="7"/>
  <c r="L4" i="7"/>
  <c r="K4" i="7"/>
  <c r="J4" i="7"/>
  <c r="I4" i="7"/>
  <c r="H4" i="7"/>
  <c r="H52" i="6"/>
  <c r="F52" i="6"/>
  <c r="G52" i="6" s="1"/>
  <c r="F51" i="7" s="1"/>
  <c r="H51" i="6"/>
  <c r="F51" i="6"/>
  <c r="G51" i="6" s="1"/>
  <c r="F50" i="7" s="1"/>
  <c r="H50" i="6"/>
  <c r="F50" i="6"/>
  <c r="G50" i="6" s="1"/>
  <c r="F49" i="7" s="1"/>
  <c r="H49" i="6"/>
  <c r="F49" i="6"/>
  <c r="G49" i="6" s="1"/>
  <c r="F48" i="7" s="1"/>
  <c r="H48" i="6"/>
  <c r="F48" i="6"/>
  <c r="G48" i="6" s="1"/>
  <c r="F47" i="7" s="1"/>
  <c r="H47" i="6"/>
  <c r="F47" i="6"/>
  <c r="G47" i="6" s="1"/>
  <c r="F46" i="7" s="1"/>
  <c r="H46" i="6"/>
  <c r="F46" i="6"/>
  <c r="G46" i="6" s="1"/>
  <c r="F45" i="7" s="1"/>
  <c r="H45" i="6"/>
  <c r="F45" i="6"/>
  <c r="G45" i="6" s="1"/>
  <c r="F44" i="7" s="1"/>
  <c r="H44" i="6"/>
  <c r="F44" i="6"/>
  <c r="G44" i="6" s="1"/>
  <c r="F43" i="7" s="1"/>
  <c r="H43" i="6"/>
  <c r="F43" i="6"/>
  <c r="G43" i="6" s="1"/>
  <c r="F42" i="7" s="1"/>
  <c r="F42" i="6"/>
  <c r="G42" i="6" s="1"/>
  <c r="F41" i="7" s="1"/>
  <c r="F41" i="6"/>
  <c r="G41" i="6" s="1"/>
  <c r="F40" i="7" s="1"/>
  <c r="H40" i="6"/>
  <c r="F40" i="6"/>
  <c r="G40" i="6" s="1"/>
  <c r="F39" i="7" s="1"/>
  <c r="H39" i="6"/>
  <c r="F39" i="6"/>
  <c r="G39" i="6" s="1"/>
  <c r="F38" i="7" s="1"/>
  <c r="H38" i="6"/>
  <c r="F38" i="6"/>
  <c r="G38" i="6" s="1"/>
  <c r="F37" i="7" s="1"/>
  <c r="H37" i="6"/>
  <c r="F37" i="6"/>
  <c r="G37" i="6" s="1"/>
  <c r="F36" i="7" s="1"/>
  <c r="H36" i="6"/>
  <c r="F36" i="6"/>
  <c r="G36" i="6" s="1"/>
  <c r="F35" i="7" s="1"/>
  <c r="H35" i="6"/>
  <c r="F35" i="6"/>
  <c r="G35" i="6" s="1"/>
  <c r="F34" i="7" s="1"/>
  <c r="H34" i="6"/>
  <c r="F34" i="6"/>
  <c r="G34" i="6" s="1"/>
  <c r="F33" i="7" s="1"/>
  <c r="H33" i="6"/>
  <c r="F33" i="6"/>
  <c r="G33" i="6" s="1"/>
  <c r="F32" i="7" s="1"/>
  <c r="H32" i="6"/>
  <c r="F32" i="6"/>
  <c r="G32" i="6" s="1"/>
  <c r="F31" i="7" s="1"/>
  <c r="H31" i="6"/>
  <c r="F31" i="6"/>
  <c r="G31" i="6" s="1"/>
  <c r="F30" i="7" s="1"/>
  <c r="F30" i="6"/>
  <c r="G30" i="6" s="1"/>
  <c r="F29" i="7" s="1"/>
  <c r="F29" i="6"/>
  <c r="G29" i="6" s="1"/>
  <c r="F28" i="7" s="1"/>
  <c r="H28" i="6"/>
  <c r="F28" i="6"/>
  <c r="G28" i="6" s="1"/>
  <c r="F27" i="7" s="1"/>
  <c r="H27" i="6"/>
  <c r="G26" i="7" s="1"/>
  <c r="F27" i="6"/>
  <c r="H26" i="6"/>
  <c r="G25" i="7" s="1"/>
  <c r="F26" i="6"/>
  <c r="H25" i="6"/>
  <c r="G24" i="7" s="1"/>
  <c r="F25" i="6"/>
  <c r="H24" i="6"/>
  <c r="G23" i="7" s="1"/>
  <c r="F24" i="6"/>
  <c r="H23" i="6"/>
  <c r="G22" i="7" s="1"/>
  <c r="F23" i="6"/>
  <c r="H22" i="6"/>
  <c r="G21" i="7" s="1"/>
  <c r="F22" i="6"/>
  <c r="H21" i="6"/>
  <c r="G20" i="7" s="1"/>
  <c r="F21" i="6"/>
  <c r="H20" i="6"/>
  <c r="G19" i="7" s="1"/>
  <c r="F20" i="6"/>
  <c r="H19" i="6"/>
  <c r="G18" i="7" s="1"/>
  <c r="F19" i="6"/>
  <c r="F18" i="6"/>
  <c r="F17" i="6"/>
  <c r="H16" i="6"/>
  <c r="G15" i="7" s="1"/>
  <c r="F16" i="6"/>
  <c r="H15" i="6"/>
  <c r="G14" i="7" s="1"/>
  <c r="F15" i="6"/>
  <c r="H14" i="6"/>
  <c r="G13" i="7" s="1"/>
  <c r="F14" i="6"/>
  <c r="H13" i="6"/>
  <c r="G12" i="7" s="1"/>
  <c r="F13" i="6"/>
  <c r="H12" i="6"/>
  <c r="G11" i="7" s="1"/>
  <c r="F12" i="6"/>
  <c r="H11" i="6"/>
  <c r="G10" i="7" s="1"/>
  <c r="F11" i="6"/>
  <c r="H10" i="6"/>
  <c r="G9" i="7" s="1"/>
  <c r="F10" i="6"/>
  <c r="H9" i="6"/>
  <c r="G8" i="7" s="1"/>
  <c r="F9" i="6"/>
  <c r="F8" i="6"/>
  <c r="F7" i="6"/>
  <c r="H6" i="6"/>
  <c r="G5" i="7" s="1"/>
  <c r="F6" i="6"/>
  <c r="E69" i="5"/>
  <c r="D69" i="5"/>
  <c r="C69" i="5"/>
  <c r="B69" i="5"/>
  <c r="A69" i="5"/>
  <c r="G68" i="5"/>
  <c r="E68" i="5"/>
  <c r="D68" i="5"/>
  <c r="C68" i="5"/>
  <c r="B68" i="5"/>
  <c r="A68" i="5"/>
  <c r="G67" i="5"/>
  <c r="E67" i="5"/>
  <c r="D67" i="5"/>
  <c r="C67" i="5"/>
  <c r="B67" i="5"/>
  <c r="A67" i="5"/>
  <c r="G66" i="5"/>
  <c r="E66" i="5"/>
  <c r="D66" i="5"/>
  <c r="C66" i="5"/>
  <c r="B66" i="5"/>
  <c r="A66" i="5"/>
  <c r="G65" i="5"/>
  <c r="E65" i="5"/>
  <c r="D65" i="5"/>
  <c r="C65" i="5"/>
  <c r="B65" i="5"/>
  <c r="A65" i="5"/>
  <c r="G64" i="5"/>
  <c r="E64" i="5"/>
  <c r="D64" i="5"/>
  <c r="C64" i="5"/>
  <c r="B64" i="5"/>
  <c r="A64" i="5"/>
  <c r="G63" i="5"/>
  <c r="E63" i="5"/>
  <c r="D63" i="5"/>
  <c r="C63" i="5"/>
  <c r="B63" i="5"/>
  <c r="A63" i="5"/>
  <c r="G62" i="5"/>
  <c r="E62" i="5"/>
  <c r="D62" i="5"/>
  <c r="C62" i="5"/>
  <c r="B62" i="5"/>
  <c r="A62" i="5"/>
  <c r="G61" i="5"/>
  <c r="E61" i="5"/>
  <c r="D61" i="5"/>
  <c r="C61" i="5"/>
  <c r="B61" i="5"/>
  <c r="A61" i="5"/>
  <c r="G60" i="5"/>
  <c r="E60" i="5"/>
  <c r="D60" i="5"/>
  <c r="C60" i="5"/>
  <c r="B60" i="5"/>
  <c r="A60" i="5"/>
  <c r="G59" i="5"/>
  <c r="E59" i="5"/>
  <c r="D59" i="5"/>
  <c r="C59" i="5"/>
  <c r="B59" i="5"/>
  <c r="A59" i="5"/>
  <c r="G58" i="5"/>
  <c r="E58" i="5"/>
  <c r="D58" i="5"/>
  <c r="C58" i="5"/>
  <c r="B58" i="5"/>
  <c r="A58" i="5"/>
  <c r="G57" i="5"/>
  <c r="E57" i="5"/>
  <c r="D57" i="5"/>
  <c r="C57" i="5"/>
  <c r="B57" i="5"/>
  <c r="A57" i="5"/>
  <c r="G56" i="5"/>
  <c r="E56" i="5"/>
  <c r="D56" i="5"/>
  <c r="C56" i="5"/>
  <c r="B56" i="5"/>
  <c r="A56" i="5"/>
  <c r="G55" i="5"/>
  <c r="F55" i="5"/>
  <c r="E55" i="5"/>
  <c r="D55" i="5"/>
  <c r="C55" i="5"/>
  <c r="B55" i="5"/>
  <c r="A55" i="5"/>
  <c r="G54" i="5"/>
  <c r="E54" i="5"/>
  <c r="D54" i="5"/>
  <c r="C54" i="5"/>
  <c r="B54" i="5"/>
  <c r="A54" i="5"/>
  <c r="G53" i="5"/>
  <c r="E53" i="5"/>
  <c r="D53" i="5"/>
  <c r="C53" i="5"/>
  <c r="B53" i="5"/>
  <c r="A53" i="5"/>
  <c r="G52" i="5"/>
  <c r="E52" i="5"/>
  <c r="D52" i="5"/>
  <c r="C52" i="5"/>
  <c r="B52" i="5"/>
  <c r="A52" i="5"/>
  <c r="G51" i="5"/>
  <c r="E51" i="5"/>
  <c r="D51" i="5"/>
  <c r="C51" i="5"/>
  <c r="B51" i="5"/>
  <c r="A51" i="5"/>
  <c r="G50" i="5"/>
  <c r="E50" i="5"/>
  <c r="D50" i="5"/>
  <c r="C50" i="5"/>
  <c r="B50" i="5"/>
  <c r="A50" i="5"/>
  <c r="G49" i="5"/>
  <c r="E49" i="5"/>
  <c r="D49" i="5"/>
  <c r="C49" i="5"/>
  <c r="B49" i="5"/>
  <c r="A49" i="5"/>
  <c r="G48" i="5"/>
  <c r="E48" i="5"/>
  <c r="D48" i="5"/>
  <c r="C48" i="5"/>
  <c r="B48" i="5"/>
  <c r="A48" i="5"/>
  <c r="G47" i="5"/>
  <c r="E47" i="5"/>
  <c r="D47" i="5"/>
  <c r="C47" i="5"/>
  <c r="B47" i="5"/>
  <c r="A47" i="5"/>
  <c r="D46" i="5"/>
  <c r="C46" i="5"/>
  <c r="B46" i="5"/>
  <c r="A46" i="5"/>
  <c r="D45" i="5"/>
  <c r="C45" i="5"/>
  <c r="B45" i="5"/>
  <c r="A45" i="5"/>
  <c r="D44" i="5"/>
  <c r="C44" i="5"/>
  <c r="B44" i="5"/>
  <c r="A44" i="5"/>
  <c r="G43" i="5"/>
  <c r="D43" i="5"/>
  <c r="C43" i="5"/>
  <c r="B43" i="5"/>
  <c r="A43" i="5"/>
  <c r="D42" i="5"/>
  <c r="C42" i="5"/>
  <c r="B42" i="5"/>
  <c r="A42" i="5"/>
  <c r="D41" i="5"/>
  <c r="C41" i="5"/>
  <c r="B41" i="5"/>
  <c r="A41" i="5"/>
  <c r="D40" i="5"/>
  <c r="C40" i="5"/>
  <c r="B40" i="5"/>
  <c r="A40" i="5"/>
  <c r="D39" i="5"/>
  <c r="C39" i="5"/>
  <c r="B39" i="5"/>
  <c r="A39" i="5"/>
  <c r="D38" i="5"/>
  <c r="C38" i="5"/>
  <c r="B38" i="5"/>
  <c r="A38" i="5"/>
  <c r="D37" i="5"/>
  <c r="C37" i="5"/>
  <c r="B37" i="5"/>
  <c r="A37" i="5"/>
  <c r="D36" i="5"/>
  <c r="C36" i="5"/>
  <c r="B36" i="5"/>
  <c r="A36" i="5"/>
  <c r="D35" i="5"/>
  <c r="C35" i="5"/>
  <c r="B35" i="5"/>
  <c r="A35" i="5"/>
  <c r="G34" i="5"/>
  <c r="D34" i="5"/>
  <c r="C34" i="5"/>
  <c r="B34" i="5"/>
  <c r="A34" i="5"/>
  <c r="D33" i="5"/>
  <c r="C33" i="5"/>
  <c r="B33" i="5"/>
  <c r="A33" i="5"/>
  <c r="D32" i="5"/>
  <c r="C32" i="5"/>
  <c r="B32" i="5"/>
  <c r="A32" i="5"/>
  <c r="D31" i="5"/>
  <c r="C31" i="5"/>
  <c r="B31" i="5"/>
  <c r="A31" i="5"/>
  <c r="D30" i="5"/>
  <c r="C30" i="5"/>
  <c r="B30" i="5"/>
  <c r="A30" i="5"/>
  <c r="D29" i="5"/>
  <c r="C29" i="5"/>
  <c r="B29" i="5"/>
  <c r="A29" i="5"/>
  <c r="D28" i="5"/>
  <c r="C28" i="5"/>
  <c r="B28" i="5"/>
  <c r="A28" i="5"/>
  <c r="D27" i="5"/>
  <c r="C27" i="5"/>
  <c r="B27" i="5"/>
  <c r="A27" i="5"/>
  <c r="D26" i="5"/>
  <c r="C26" i="5"/>
  <c r="B26" i="5"/>
  <c r="A26" i="5"/>
  <c r="G25" i="5"/>
  <c r="D25" i="5"/>
  <c r="C25" i="5"/>
  <c r="B25" i="5"/>
  <c r="A25" i="5"/>
  <c r="D24" i="5"/>
  <c r="C24" i="5"/>
  <c r="B24" i="5"/>
  <c r="A24" i="5"/>
  <c r="D23" i="5"/>
  <c r="C23" i="5"/>
  <c r="B23" i="5"/>
  <c r="A23" i="5"/>
  <c r="D22" i="5"/>
  <c r="C22" i="5"/>
  <c r="B22" i="5"/>
  <c r="A22" i="5"/>
  <c r="D21" i="5"/>
  <c r="C21" i="5"/>
  <c r="B21" i="5"/>
  <c r="A21" i="5"/>
  <c r="D20" i="5"/>
  <c r="C20" i="5"/>
  <c r="B20" i="5"/>
  <c r="A20" i="5"/>
  <c r="D19" i="5"/>
  <c r="C19" i="5"/>
  <c r="B19" i="5"/>
  <c r="A19" i="5"/>
  <c r="D18" i="5"/>
  <c r="C18" i="5"/>
  <c r="B18" i="5"/>
  <c r="A18" i="5"/>
  <c r="D17" i="5"/>
  <c r="C17" i="5"/>
  <c r="B17" i="5"/>
  <c r="A17" i="5"/>
  <c r="G16" i="5"/>
  <c r="E16" i="5"/>
  <c r="D16" i="5"/>
  <c r="C16" i="5"/>
  <c r="B16" i="5"/>
  <c r="A16" i="5"/>
  <c r="D15" i="5"/>
  <c r="C15" i="5"/>
  <c r="B15" i="5"/>
  <c r="A15" i="5"/>
  <c r="D14" i="5"/>
  <c r="C14" i="5"/>
  <c r="B14" i="5"/>
  <c r="A14" i="5"/>
  <c r="D13" i="5"/>
  <c r="C13" i="5"/>
  <c r="B13" i="5"/>
  <c r="A13" i="5"/>
  <c r="D12" i="5"/>
  <c r="C12" i="5"/>
  <c r="B12" i="5"/>
  <c r="A12" i="5"/>
  <c r="D11" i="5"/>
  <c r="C11" i="5"/>
  <c r="B11" i="5"/>
  <c r="A11" i="5"/>
  <c r="D10" i="5"/>
  <c r="C10" i="5"/>
  <c r="B10" i="5"/>
  <c r="A10" i="5"/>
  <c r="D9" i="5"/>
  <c r="C9" i="5"/>
  <c r="B9" i="5"/>
  <c r="A9" i="5"/>
  <c r="D8" i="5"/>
  <c r="C8" i="5"/>
  <c r="B8" i="5"/>
  <c r="A8" i="5"/>
  <c r="G7" i="5"/>
  <c r="D7" i="5"/>
  <c r="C7" i="5"/>
  <c r="B7" i="5"/>
  <c r="A7" i="5"/>
  <c r="G6" i="5"/>
  <c r="D6" i="5"/>
  <c r="C6" i="5"/>
  <c r="B6" i="5"/>
  <c r="A6" i="5"/>
  <c r="D5" i="5"/>
  <c r="C5" i="5"/>
  <c r="B5" i="5"/>
  <c r="A5" i="5"/>
  <c r="DW4" i="5"/>
  <c r="DV4" i="5"/>
  <c r="DU4" i="5"/>
  <c r="DT4" i="5"/>
  <c r="DS4" i="5"/>
  <c r="DR4" i="5"/>
  <c r="DQ4" i="5"/>
  <c r="DP4" i="5"/>
  <c r="DO4" i="5"/>
  <c r="DN4" i="5"/>
  <c r="DM4" i="5"/>
  <c r="DL4" i="5"/>
  <c r="DK4" i="5"/>
  <c r="DJ4" i="5"/>
  <c r="DI4" i="5"/>
  <c r="DH4" i="5"/>
  <c r="DG4" i="5"/>
  <c r="DF4" i="5"/>
  <c r="DE4" i="5"/>
  <c r="DD4" i="5"/>
  <c r="DC4" i="5"/>
  <c r="DB4" i="5"/>
  <c r="DA4" i="5"/>
  <c r="CZ4" i="5"/>
  <c r="CY4" i="5"/>
  <c r="CX4" i="5"/>
  <c r="CW4" i="5"/>
  <c r="CV4" i="5"/>
  <c r="CU4" i="5"/>
  <c r="CT4" i="5"/>
  <c r="CS4" i="5"/>
  <c r="CR4" i="5"/>
  <c r="CQ4" i="5"/>
  <c r="CP4" i="5"/>
  <c r="CO4" i="5"/>
  <c r="CN4" i="5"/>
  <c r="CM4" i="5"/>
  <c r="CL4" i="5"/>
  <c r="CK4" i="5"/>
  <c r="CJ4" i="5"/>
  <c r="CI4" i="5"/>
  <c r="CH4" i="5"/>
  <c r="CG4" i="5"/>
  <c r="CF4" i="5"/>
  <c r="CE4" i="5"/>
  <c r="CD4" i="5"/>
  <c r="CC4" i="5"/>
  <c r="CB4" i="5"/>
  <c r="CA4" i="5"/>
  <c r="BZ4" i="5"/>
  <c r="BY4" i="5"/>
  <c r="BX4" i="5"/>
  <c r="BW4" i="5"/>
  <c r="BV4" i="5"/>
  <c r="BU4" i="5"/>
  <c r="BT4" i="5"/>
  <c r="BS4" i="5"/>
  <c r="BR4" i="5"/>
  <c r="BQ4" i="5"/>
  <c r="BP4" i="5"/>
  <c r="BO4" i="5"/>
  <c r="BN4" i="5"/>
  <c r="BM4" i="5"/>
  <c r="BL4" i="5"/>
  <c r="BK4" i="5"/>
  <c r="BJ4" i="5"/>
  <c r="BI4" i="5"/>
  <c r="BH4" i="5"/>
  <c r="BG4" i="5"/>
  <c r="BF4" i="5"/>
  <c r="BE4" i="5"/>
  <c r="BD4" i="5"/>
  <c r="BC4" i="5"/>
  <c r="BB4" i="5"/>
  <c r="BA4" i="5"/>
  <c r="AZ4" i="5"/>
  <c r="AY4" i="5"/>
  <c r="AX4" i="5"/>
  <c r="AW4" i="5"/>
  <c r="AV4" i="5"/>
  <c r="AU4" i="5"/>
  <c r="AT4" i="5"/>
  <c r="AS4" i="5"/>
  <c r="AR4" i="5"/>
  <c r="AQ4" i="5"/>
  <c r="AP4" i="5"/>
  <c r="AO4" i="5"/>
  <c r="AN4" i="5"/>
  <c r="AM4" i="5"/>
  <c r="AL4" i="5"/>
  <c r="AK4" i="5"/>
  <c r="AJ4" i="5"/>
  <c r="AI4" i="5"/>
  <c r="AH4" i="5"/>
  <c r="AG4" i="5"/>
  <c r="AF4" i="5"/>
  <c r="AE4" i="5"/>
  <c r="AD4" i="5"/>
  <c r="AC4" i="5"/>
  <c r="AB4" i="5"/>
  <c r="AA4" i="5"/>
  <c r="Z4" i="5"/>
  <c r="Y4" i="5"/>
  <c r="X4" i="5"/>
  <c r="W4" i="5"/>
  <c r="V4" i="5"/>
  <c r="U4" i="5"/>
  <c r="T4" i="5"/>
  <c r="S4" i="5"/>
  <c r="R4" i="5"/>
  <c r="Q4" i="5"/>
  <c r="P4" i="5"/>
  <c r="O4" i="5"/>
  <c r="N4" i="5"/>
  <c r="M4" i="5"/>
  <c r="L4" i="5"/>
  <c r="K4" i="5"/>
  <c r="J4" i="5"/>
  <c r="I4" i="5"/>
  <c r="H4" i="5"/>
  <c r="H70" i="4"/>
  <c r="G69" i="5" s="1"/>
  <c r="F70" i="4"/>
  <c r="G70" i="4" s="1"/>
  <c r="F69" i="5" s="1"/>
  <c r="H69" i="4"/>
  <c r="F69" i="4"/>
  <c r="G69" i="4" s="1"/>
  <c r="F68" i="5" s="1"/>
  <c r="H68" i="4"/>
  <c r="F68" i="4"/>
  <c r="G68" i="4" s="1"/>
  <c r="F67" i="5" s="1"/>
  <c r="H67" i="4"/>
  <c r="F67" i="4"/>
  <c r="G67" i="4" s="1"/>
  <c r="F66" i="5" s="1"/>
  <c r="H66" i="4"/>
  <c r="F66" i="4"/>
  <c r="G66" i="4" s="1"/>
  <c r="F65" i="5" s="1"/>
  <c r="H65" i="4"/>
  <c r="F65" i="4"/>
  <c r="G65" i="4" s="1"/>
  <c r="F64" i="5" s="1"/>
  <c r="H64" i="4"/>
  <c r="F64" i="4"/>
  <c r="G64" i="4" s="1"/>
  <c r="F63" i="5" s="1"/>
  <c r="H63" i="4"/>
  <c r="F63" i="4"/>
  <c r="G63" i="4" s="1"/>
  <c r="F62" i="5" s="1"/>
  <c r="F62" i="4"/>
  <c r="G62" i="4" s="1"/>
  <c r="F61" i="5" s="1"/>
  <c r="H61" i="4"/>
  <c r="F61" i="4"/>
  <c r="G61" i="4" s="1"/>
  <c r="F60" i="5" s="1"/>
  <c r="H60" i="4"/>
  <c r="F60" i="4"/>
  <c r="G60" i="4" s="1"/>
  <c r="F59" i="5" s="1"/>
  <c r="H59" i="4"/>
  <c r="F59" i="4"/>
  <c r="G59" i="4" s="1"/>
  <c r="F58" i="5" s="1"/>
  <c r="H58" i="4"/>
  <c r="F58" i="4"/>
  <c r="G58" i="4" s="1"/>
  <c r="F57" i="5" s="1"/>
  <c r="H57" i="4"/>
  <c r="F57" i="4"/>
  <c r="G57" i="4" s="1"/>
  <c r="F56" i="5" s="1"/>
  <c r="H56" i="4"/>
  <c r="G56" i="4"/>
  <c r="F56" i="4"/>
  <c r="H55" i="4"/>
  <c r="F55" i="4"/>
  <c r="G55" i="4" s="1"/>
  <c r="F54" i="5" s="1"/>
  <c r="H54" i="4"/>
  <c r="F54" i="4"/>
  <c r="G54" i="4" s="1"/>
  <c r="F53" i="5" s="1"/>
  <c r="F53" i="4"/>
  <c r="G53" i="4" s="1"/>
  <c r="F52" i="5" s="1"/>
  <c r="H52" i="4"/>
  <c r="F52" i="4"/>
  <c r="G52" i="4" s="1"/>
  <c r="F51" i="5" s="1"/>
  <c r="H51" i="4"/>
  <c r="F51" i="4"/>
  <c r="G51" i="4" s="1"/>
  <c r="F50" i="5" s="1"/>
  <c r="H50" i="4"/>
  <c r="F50" i="4"/>
  <c r="G50" i="4" s="1"/>
  <c r="F49" i="5" s="1"/>
  <c r="H49" i="4"/>
  <c r="F49" i="4"/>
  <c r="G49" i="4" s="1"/>
  <c r="F48" i="5" s="1"/>
  <c r="H48" i="4"/>
  <c r="F48" i="4"/>
  <c r="G48" i="4" s="1"/>
  <c r="F47" i="5" s="1"/>
  <c r="H47" i="4"/>
  <c r="G46" i="5" s="1"/>
  <c r="F47" i="4"/>
  <c r="H46" i="4"/>
  <c r="G45" i="5" s="1"/>
  <c r="F46" i="4"/>
  <c r="H45" i="4"/>
  <c r="G44" i="5" s="1"/>
  <c r="F45" i="4"/>
  <c r="F44" i="4"/>
  <c r="H43" i="4"/>
  <c r="G42" i="5" s="1"/>
  <c r="F43" i="4"/>
  <c r="H42" i="4"/>
  <c r="G41" i="5" s="1"/>
  <c r="F42" i="4"/>
  <c r="H41" i="4"/>
  <c r="G40" i="5" s="1"/>
  <c r="F41" i="4"/>
  <c r="H40" i="4"/>
  <c r="G39" i="5" s="1"/>
  <c r="F40" i="4"/>
  <c r="H39" i="4"/>
  <c r="G38" i="5" s="1"/>
  <c r="F39" i="4"/>
  <c r="H38" i="4"/>
  <c r="G37" i="5" s="1"/>
  <c r="F38" i="4"/>
  <c r="H37" i="4"/>
  <c r="G36" i="5" s="1"/>
  <c r="F37" i="4"/>
  <c r="H36" i="4"/>
  <c r="G35" i="5" s="1"/>
  <c r="F36" i="4"/>
  <c r="F35" i="4"/>
  <c r="H34" i="4"/>
  <c r="G33" i="5" s="1"/>
  <c r="F34" i="4"/>
  <c r="H33" i="4"/>
  <c r="G32" i="5" s="1"/>
  <c r="F33" i="4"/>
  <c r="H32" i="4"/>
  <c r="G31" i="5" s="1"/>
  <c r="F32" i="4"/>
  <c r="H31" i="4"/>
  <c r="G30" i="5" s="1"/>
  <c r="F31" i="4"/>
  <c r="H30" i="4"/>
  <c r="G29" i="5" s="1"/>
  <c r="F30" i="4"/>
  <c r="H29" i="4"/>
  <c r="G28" i="5" s="1"/>
  <c r="F29" i="4"/>
  <c r="H28" i="4"/>
  <c r="G27" i="5" s="1"/>
  <c r="F28" i="4"/>
  <c r="H27" i="4"/>
  <c r="G26" i="5" s="1"/>
  <c r="F27" i="4"/>
  <c r="F26" i="4"/>
  <c r="H25" i="4"/>
  <c r="G24" i="5" s="1"/>
  <c r="F25" i="4"/>
  <c r="H24" i="4"/>
  <c r="G23" i="5" s="1"/>
  <c r="F24" i="4"/>
  <c r="H23" i="4"/>
  <c r="G22" i="5" s="1"/>
  <c r="F23" i="4"/>
  <c r="H22" i="4"/>
  <c r="G21" i="5" s="1"/>
  <c r="F22" i="4"/>
  <c r="H21" i="4"/>
  <c r="G20" i="5" s="1"/>
  <c r="F21" i="4"/>
  <c r="H20" i="4"/>
  <c r="G19" i="5" s="1"/>
  <c r="F20" i="4"/>
  <c r="H19" i="4"/>
  <c r="G18" i="5" s="1"/>
  <c r="F19" i="4"/>
  <c r="H18" i="4"/>
  <c r="G17" i="5" s="1"/>
  <c r="F18" i="4"/>
  <c r="F17" i="4"/>
  <c r="G17" i="4" s="1"/>
  <c r="F16" i="5" s="1"/>
  <c r="H16" i="4"/>
  <c r="G15" i="5" s="1"/>
  <c r="F16" i="4"/>
  <c r="H15" i="4"/>
  <c r="G14" i="5" s="1"/>
  <c r="F15" i="4"/>
  <c r="H14" i="4"/>
  <c r="G13" i="5" s="1"/>
  <c r="F14" i="4"/>
  <c r="H13" i="4"/>
  <c r="G12" i="5" s="1"/>
  <c r="F13" i="4"/>
  <c r="H12" i="4"/>
  <c r="G11" i="5" s="1"/>
  <c r="F12" i="4"/>
  <c r="H11" i="4"/>
  <c r="G10" i="5" s="1"/>
  <c r="F11" i="4"/>
  <c r="H10" i="4"/>
  <c r="G9" i="5" s="1"/>
  <c r="F10" i="4"/>
  <c r="H9" i="4"/>
  <c r="G8" i="5" s="1"/>
  <c r="F9" i="4"/>
  <c r="F8" i="4"/>
  <c r="F7" i="4"/>
  <c r="H6" i="4"/>
  <c r="G5" i="5" s="1"/>
  <c r="F6" i="4"/>
  <c r="G89" i="3"/>
  <c r="E89" i="3"/>
  <c r="D89" i="3"/>
  <c r="C89" i="3"/>
  <c r="B89" i="3"/>
  <c r="A89" i="3"/>
  <c r="E88" i="3"/>
  <c r="D88" i="3"/>
  <c r="C88" i="3"/>
  <c r="B88" i="3"/>
  <c r="A88" i="3"/>
  <c r="G87" i="3"/>
  <c r="E87" i="3"/>
  <c r="D87" i="3"/>
  <c r="C87" i="3"/>
  <c r="B87" i="3"/>
  <c r="A87" i="3"/>
  <c r="G86" i="3"/>
  <c r="E86" i="3"/>
  <c r="D86" i="3"/>
  <c r="C86" i="3"/>
  <c r="B86" i="3"/>
  <c r="A86" i="3"/>
  <c r="G85" i="3"/>
  <c r="E85" i="3"/>
  <c r="D85" i="3"/>
  <c r="C85" i="3"/>
  <c r="B85" i="3"/>
  <c r="A85" i="3"/>
  <c r="G84" i="3"/>
  <c r="E84" i="3"/>
  <c r="D84" i="3"/>
  <c r="C84" i="3"/>
  <c r="B84" i="3"/>
  <c r="A84" i="3"/>
  <c r="G83" i="3"/>
  <c r="E83" i="3"/>
  <c r="D83" i="3"/>
  <c r="C83" i="3"/>
  <c r="B83" i="3"/>
  <c r="A83" i="3"/>
  <c r="G82" i="3"/>
  <c r="E82" i="3"/>
  <c r="D82" i="3"/>
  <c r="C82" i="3"/>
  <c r="B82" i="3"/>
  <c r="A82" i="3"/>
  <c r="G81" i="3"/>
  <c r="E81" i="3"/>
  <c r="D81" i="3"/>
  <c r="C81" i="3"/>
  <c r="B81" i="3"/>
  <c r="A81" i="3"/>
  <c r="G80" i="3"/>
  <c r="E80" i="3"/>
  <c r="D80" i="3"/>
  <c r="C80" i="3"/>
  <c r="B80" i="3"/>
  <c r="A80" i="3"/>
  <c r="G79" i="3"/>
  <c r="E79" i="3"/>
  <c r="D79" i="3"/>
  <c r="C79" i="3"/>
  <c r="B79" i="3"/>
  <c r="A79" i="3"/>
  <c r="G78" i="3"/>
  <c r="F78" i="3"/>
  <c r="E78" i="3"/>
  <c r="D78" i="3"/>
  <c r="C78" i="3"/>
  <c r="B78" i="3"/>
  <c r="A78" i="3"/>
  <c r="G77" i="3"/>
  <c r="E77" i="3"/>
  <c r="D77" i="3"/>
  <c r="C77" i="3"/>
  <c r="B77" i="3"/>
  <c r="A77" i="3"/>
  <c r="G76" i="3"/>
  <c r="E76" i="3"/>
  <c r="D76" i="3"/>
  <c r="C76" i="3"/>
  <c r="B76" i="3"/>
  <c r="A76" i="3"/>
  <c r="G75" i="3"/>
  <c r="E75" i="3"/>
  <c r="D75" i="3"/>
  <c r="C75" i="3"/>
  <c r="B75" i="3"/>
  <c r="A75" i="3"/>
  <c r="G74" i="3"/>
  <c r="E74" i="3"/>
  <c r="D74" i="3"/>
  <c r="C74" i="3"/>
  <c r="B74" i="3"/>
  <c r="A74" i="3"/>
  <c r="G73" i="3"/>
  <c r="E73" i="3"/>
  <c r="D73" i="3"/>
  <c r="C73" i="3"/>
  <c r="B73" i="3"/>
  <c r="A73" i="3"/>
  <c r="G72" i="3"/>
  <c r="E72" i="3"/>
  <c r="D72" i="3"/>
  <c r="C72" i="3"/>
  <c r="B72" i="3"/>
  <c r="A72" i="3"/>
  <c r="G71" i="3"/>
  <c r="E71" i="3"/>
  <c r="D71" i="3"/>
  <c r="C71" i="3"/>
  <c r="B71" i="3"/>
  <c r="A71" i="3"/>
  <c r="G70" i="3"/>
  <c r="E70" i="3"/>
  <c r="D70" i="3"/>
  <c r="C70" i="3"/>
  <c r="B70" i="3"/>
  <c r="A70" i="3"/>
  <c r="G69" i="3"/>
  <c r="E69" i="3"/>
  <c r="D69" i="3"/>
  <c r="C69" i="3"/>
  <c r="B69" i="3"/>
  <c r="A69" i="3"/>
  <c r="G68" i="3"/>
  <c r="E68" i="3"/>
  <c r="D68" i="3"/>
  <c r="C68" i="3"/>
  <c r="B68" i="3"/>
  <c r="A68" i="3"/>
  <c r="G67" i="3"/>
  <c r="E67" i="3"/>
  <c r="D67" i="3"/>
  <c r="C67" i="3"/>
  <c r="B67" i="3"/>
  <c r="A67" i="3"/>
  <c r="G66" i="3"/>
  <c r="D66" i="3"/>
  <c r="C66" i="3"/>
  <c r="B66" i="3"/>
  <c r="A66" i="3"/>
  <c r="D65" i="3"/>
  <c r="C65" i="3"/>
  <c r="B65" i="3"/>
  <c r="A65" i="3"/>
  <c r="G64" i="3"/>
  <c r="D64" i="3"/>
  <c r="C64" i="3"/>
  <c r="B64" i="3"/>
  <c r="A64" i="3"/>
  <c r="D63" i="3"/>
  <c r="C63" i="3"/>
  <c r="B63" i="3"/>
  <c r="A63" i="3"/>
  <c r="G62" i="3"/>
  <c r="D62" i="3"/>
  <c r="C62" i="3"/>
  <c r="B62" i="3"/>
  <c r="A62" i="3"/>
  <c r="D61" i="3"/>
  <c r="C61" i="3"/>
  <c r="B61" i="3"/>
  <c r="A61" i="3"/>
  <c r="G60" i="3"/>
  <c r="D60" i="3"/>
  <c r="C60" i="3"/>
  <c r="B60" i="3"/>
  <c r="A60" i="3"/>
  <c r="G59" i="3"/>
  <c r="D59" i="3"/>
  <c r="C59" i="3"/>
  <c r="B59" i="3"/>
  <c r="A59" i="3"/>
  <c r="G58" i="3"/>
  <c r="D58" i="3"/>
  <c r="C58" i="3"/>
  <c r="B58" i="3"/>
  <c r="A58" i="3"/>
  <c r="G57" i="3"/>
  <c r="D57" i="3"/>
  <c r="C57" i="3"/>
  <c r="B57" i="3"/>
  <c r="A57" i="3"/>
  <c r="D56" i="3"/>
  <c r="C56" i="3"/>
  <c r="B56" i="3"/>
  <c r="A56" i="3"/>
  <c r="G55" i="3"/>
  <c r="D55" i="3"/>
  <c r="C55" i="3"/>
  <c r="B55" i="3"/>
  <c r="A55" i="3"/>
  <c r="D54" i="3"/>
  <c r="C54" i="3"/>
  <c r="B54" i="3"/>
  <c r="A54" i="3"/>
  <c r="G53" i="3"/>
  <c r="D53" i="3"/>
  <c r="C53" i="3"/>
  <c r="B53" i="3"/>
  <c r="A53" i="3"/>
  <c r="G52" i="3"/>
  <c r="D52" i="3"/>
  <c r="C52" i="3"/>
  <c r="B52" i="3"/>
  <c r="A52" i="3"/>
  <c r="G51" i="3"/>
  <c r="D51" i="3"/>
  <c r="C51" i="3"/>
  <c r="B51" i="3"/>
  <c r="A51" i="3"/>
  <c r="G50" i="3"/>
  <c r="D50" i="3"/>
  <c r="C50" i="3"/>
  <c r="B50" i="3"/>
  <c r="A50" i="3"/>
  <c r="D49" i="3"/>
  <c r="C49" i="3"/>
  <c r="B49" i="3"/>
  <c r="A49" i="3"/>
  <c r="D48" i="3"/>
  <c r="C48" i="3"/>
  <c r="B48" i="3"/>
  <c r="A48" i="3"/>
  <c r="G47" i="3"/>
  <c r="D47" i="3"/>
  <c r="C47" i="3"/>
  <c r="B47" i="3"/>
  <c r="A47" i="3"/>
  <c r="D46" i="3"/>
  <c r="C46" i="3"/>
  <c r="B46" i="3"/>
  <c r="A46" i="3"/>
  <c r="G45" i="3"/>
  <c r="D45" i="3"/>
  <c r="C45" i="3"/>
  <c r="B45" i="3"/>
  <c r="A45" i="3"/>
  <c r="G44" i="3"/>
  <c r="D44" i="3"/>
  <c r="C44" i="3"/>
  <c r="B44" i="3"/>
  <c r="A44" i="3"/>
  <c r="G43" i="3"/>
  <c r="D43" i="3"/>
  <c r="C43" i="3"/>
  <c r="B43" i="3"/>
  <c r="A43" i="3"/>
  <c r="G42" i="3"/>
  <c r="D42" i="3"/>
  <c r="C42" i="3"/>
  <c r="B42" i="3"/>
  <c r="A42" i="3"/>
  <c r="D41" i="3"/>
  <c r="C41" i="3"/>
  <c r="B41" i="3"/>
  <c r="A41" i="3"/>
  <c r="G40" i="3"/>
  <c r="D40" i="3"/>
  <c r="C40" i="3"/>
  <c r="B40" i="3"/>
  <c r="A40" i="3"/>
  <c r="D39" i="3"/>
  <c r="C39" i="3"/>
  <c r="B39" i="3"/>
  <c r="A39" i="3"/>
  <c r="G38" i="3"/>
  <c r="D38" i="3"/>
  <c r="C38" i="3"/>
  <c r="B38" i="3"/>
  <c r="A38" i="3"/>
  <c r="D37" i="3"/>
  <c r="C37" i="3"/>
  <c r="B37" i="3"/>
  <c r="A37" i="3"/>
  <c r="G36" i="3"/>
  <c r="D36" i="3"/>
  <c r="C36" i="3"/>
  <c r="B36" i="3"/>
  <c r="A36" i="3"/>
  <c r="G35" i="3"/>
  <c r="D35" i="3"/>
  <c r="C35" i="3"/>
  <c r="B35" i="3"/>
  <c r="A35" i="3"/>
  <c r="G34" i="3"/>
  <c r="D34" i="3"/>
  <c r="C34" i="3"/>
  <c r="B34" i="3"/>
  <c r="A34" i="3"/>
  <c r="G33" i="3"/>
  <c r="D33" i="3"/>
  <c r="C33" i="3"/>
  <c r="B33" i="3"/>
  <c r="A33" i="3"/>
  <c r="D32" i="3"/>
  <c r="C32" i="3"/>
  <c r="B32" i="3"/>
  <c r="A32" i="3"/>
  <c r="G31" i="3"/>
  <c r="D31" i="3"/>
  <c r="C31" i="3"/>
  <c r="B31" i="3"/>
  <c r="A31" i="3"/>
  <c r="D30" i="3"/>
  <c r="C30" i="3"/>
  <c r="B30" i="3"/>
  <c r="A30" i="3"/>
  <c r="G29" i="3"/>
  <c r="D29" i="3"/>
  <c r="C29" i="3"/>
  <c r="B29" i="3"/>
  <c r="A29" i="3"/>
  <c r="G28" i="3"/>
  <c r="D28" i="3"/>
  <c r="C28" i="3"/>
  <c r="B28" i="3"/>
  <c r="A28" i="3"/>
  <c r="D27" i="3"/>
  <c r="C27" i="3"/>
  <c r="B27" i="3"/>
  <c r="A27" i="3"/>
  <c r="G26" i="3"/>
  <c r="D26" i="3"/>
  <c r="C26" i="3"/>
  <c r="B26" i="3"/>
  <c r="A26" i="3"/>
  <c r="D25" i="3"/>
  <c r="C25" i="3"/>
  <c r="B25" i="3"/>
  <c r="A25" i="3"/>
  <c r="G24" i="3"/>
  <c r="D24" i="3"/>
  <c r="C24" i="3"/>
  <c r="B24" i="3"/>
  <c r="A24" i="3"/>
  <c r="G23" i="3"/>
  <c r="D23" i="3"/>
  <c r="C23" i="3"/>
  <c r="B23" i="3"/>
  <c r="A23" i="3"/>
  <c r="D22" i="3"/>
  <c r="C22" i="3"/>
  <c r="B22" i="3"/>
  <c r="A22" i="3"/>
  <c r="G21" i="3"/>
  <c r="D21" i="3"/>
  <c r="C21" i="3"/>
  <c r="B21" i="3"/>
  <c r="A21" i="3"/>
  <c r="G20" i="3"/>
  <c r="D20" i="3"/>
  <c r="C20" i="3"/>
  <c r="B20" i="3"/>
  <c r="A20" i="3"/>
  <c r="G19" i="3"/>
  <c r="D19" i="3"/>
  <c r="C19" i="3"/>
  <c r="B19" i="3"/>
  <c r="A19" i="3"/>
  <c r="G18" i="3"/>
  <c r="D18" i="3"/>
  <c r="C18" i="3"/>
  <c r="B18" i="3"/>
  <c r="A18" i="3"/>
  <c r="D17" i="3"/>
  <c r="C17" i="3"/>
  <c r="B17" i="3"/>
  <c r="A17" i="3"/>
  <c r="G16" i="3"/>
  <c r="D16" i="3"/>
  <c r="C16" i="3"/>
  <c r="B16" i="3"/>
  <c r="A16" i="3"/>
  <c r="D15" i="3"/>
  <c r="C15" i="3"/>
  <c r="B15" i="3"/>
  <c r="A15" i="3"/>
  <c r="G14" i="3"/>
  <c r="D14" i="3"/>
  <c r="C14" i="3"/>
  <c r="B14" i="3"/>
  <c r="A14" i="3"/>
  <c r="D13" i="3"/>
  <c r="C13" i="3"/>
  <c r="B13" i="3"/>
  <c r="A13" i="3"/>
  <c r="G12" i="3"/>
  <c r="D12" i="3"/>
  <c r="C12" i="3"/>
  <c r="B12" i="3"/>
  <c r="A12" i="3"/>
  <c r="G11" i="3"/>
  <c r="D11" i="3"/>
  <c r="C11" i="3"/>
  <c r="B11" i="3"/>
  <c r="A11" i="3"/>
  <c r="G10" i="3"/>
  <c r="D10" i="3"/>
  <c r="C10" i="3"/>
  <c r="B10" i="3"/>
  <c r="A10" i="3"/>
  <c r="G9" i="3"/>
  <c r="D9" i="3"/>
  <c r="C9" i="3"/>
  <c r="B9" i="3"/>
  <c r="A9" i="3"/>
  <c r="D8" i="3"/>
  <c r="C8" i="3"/>
  <c r="B8" i="3"/>
  <c r="A8" i="3"/>
  <c r="G7" i="3"/>
  <c r="D7" i="3"/>
  <c r="C7" i="3"/>
  <c r="B7" i="3"/>
  <c r="A7" i="3"/>
  <c r="G6" i="3"/>
  <c r="D6" i="3"/>
  <c r="C6" i="3"/>
  <c r="B6" i="3"/>
  <c r="A6" i="3"/>
  <c r="D5" i="3"/>
  <c r="C5" i="3"/>
  <c r="B5" i="3"/>
  <c r="A5" i="3"/>
  <c r="DW4" i="3"/>
  <c r="DV4" i="3"/>
  <c r="DU4" i="3"/>
  <c r="DT4" i="3"/>
  <c r="DS4" i="3"/>
  <c r="DR4" i="3"/>
  <c r="DQ4" i="3"/>
  <c r="DP4" i="3"/>
  <c r="DO4" i="3"/>
  <c r="DN4" i="3"/>
  <c r="DM4" i="3"/>
  <c r="DL4" i="3"/>
  <c r="DK4" i="3"/>
  <c r="DJ4" i="3"/>
  <c r="DI4" i="3"/>
  <c r="DH4" i="3"/>
  <c r="DG4" i="3"/>
  <c r="DF4" i="3"/>
  <c r="DE4" i="3"/>
  <c r="DD4" i="3"/>
  <c r="DC4" i="3"/>
  <c r="DB4" i="3"/>
  <c r="DA4" i="3"/>
  <c r="CZ4" i="3"/>
  <c r="CY4" i="3"/>
  <c r="CX4" i="3"/>
  <c r="CW4" i="3"/>
  <c r="CV4" i="3"/>
  <c r="CU4" i="3"/>
  <c r="CT4" i="3"/>
  <c r="CS4" i="3"/>
  <c r="CR4" i="3"/>
  <c r="CQ4" i="3"/>
  <c r="CP4" i="3"/>
  <c r="CO4" i="3"/>
  <c r="CN4" i="3"/>
  <c r="CM4" i="3"/>
  <c r="CL4" i="3"/>
  <c r="CK4" i="3"/>
  <c r="CJ4" i="3"/>
  <c r="CI4" i="3"/>
  <c r="CH4" i="3"/>
  <c r="CG4" i="3"/>
  <c r="CF4" i="3"/>
  <c r="CE4" i="3"/>
  <c r="CD4" i="3"/>
  <c r="CC4" i="3"/>
  <c r="CB4" i="3"/>
  <c r="CA4" i="3"/>
  <c r="BZ4" i="3"/>
  <c r="BY4" i="3"/>
  <c r="BX4" i="3"/>
  <c r="BW4" i="3"/>
  <c r="BV4" i="3"/>
  <c r="BU4" i="3"/>
  <c r="BT4" i="3"/>
  <c r="BS4" i="3"/>
  <c r="BR4" i="3"/>
  <c r="BQ4" i="3"/>
  <c r="BP4" i="3"/>
  <c r="BO4" i="3"/>
  <c r="BN4" i="3"/>
  <c r="BM4" i="3"/>
  <c r="BL4" i="3"/>
  <c r="BK4" i="3"/>
  <c r="BJ4" i="3"/>
  <c r="BI4" i="3"/>
  <c r="BH4" i="3"/>
  <c r="BG4" i="3"/>
  <c r="BF4" i="3"/>
  <c r="BE4" i="3"/>
  <c r="BD4" i="3"/>
  <c r="BC4" i="3"/>
  <c r="BB4" i="3"/>
  <c r="BA4" i="3"/>
  <c r="AZ4" i="3"/>
  <c r="AY4" i="3"/>
  <c r="AX4" i="3"/>
  <c r="AW4" i="3"/>
  <c r="AV4" i="3"/>
  <c r="AU4" i="3"/>
  <c r="AT4" i="3"/>
  <c r="AS4" i="3"/>
  <c r="AR4" i="3"/>
  <c r="AQ4" i="3"/>
  <c r="AP4" i="3"/>
  <c r="AO4" i="3"/>
  <c r="AN4" i="3"/>
  <c r="AM4" i="3"/>
  <c r="AL4" i="3"/>
  <c r="AK4" i="3"/>
  <c r="AJ4" i="3"/>
  <c r="AI4" i="3"/>
  <c r="AH4" i="3"/>
  <c r="AG4" i="3"/>
  <c r="AF4" i="3"/>
  <c r="AE4" i="3"/>
  <c r="AD4" i="3"/>
  <c r="AC4" i="3"/>
  <c r="AB4" i="3"/>
  <c r="AA4" i="3"/>
  <c r="Z4" i="3"/>
  <c r="Y4" i="3"/>
  <c r="X4" i="3"/>
  <c r="W4" i="3"/>
  <c r="V4" i="3"/>
  <c r="U4" i="3"/>
  <c r="T4" i="3"/>
  <c r="S4" i="3"/>
  <c r="R4" i="3"/>
  <c r="Q4" i="3"/>
  <c r="P4" i="3"/>
  <c r="O4" i="3"/>
  <c r="N4" i="3"/>
  <c r="M4" i="3"/>
  <c r="L4" i="3"/>
  <c r="K4" i="3"/>
  <c r="J4" i="3"/>
  <c r="I4" i="3"/>
  <c r="H4" i="3"/>
  <c r="F90" i="2"/>
  <c r="G90" i="2" s="1"/>
  <c r="F89" i="3" s="1"/>
  <c r="H89" i="2"/>
  <c r="G88" i="3" s="1"/>
  <c r="F89" i="2"/>
  <c r="G89" i="2" s="1"/>
  <c r="F88" i="3" s="1"/>
  <c r="F88" i="2"/>
  <c r="G88" i="2" s="1"/>
  <c r="F87" i="3" s="1"/>
  <c r="F87" i="2"/>
  <c r="G87" i="2" s="1"/>
  <c r="F86" i="3" s="1"/>
  <c r="F86" i="2"/>
  <c r="G86" i="2" s="1"/>
  <c r="F85" i="3" s="1"/>
  <c r="H85" i="2"/>
  <c r="F85" i="2"/>
  <c r="G85" i="2" s="1"/>
  <c r="F84" i="3" s="1"/>
  <c r="F84" i="2"/>
  <c r="G84" i="2" s="1"/>
  <c r="F83" i="3" s="1"/>
  <c r="F83" i="2"/>
  <c r="G83" i="2" s="1"/>
  <c r="F82" i="3" s="1"/>
  <c r="F82" i="2"/>
  <c r="G82" i="2" s="1"/>
  <c r="F81" i="3" s="1"/>
  <c r="F81" i="2"/>
  <c r="G81" i="2" s="1"/>
  <c r="F80" i="3" s="1"/>
  <c r="H80" i="2"/>
  <c r="F80" i="2"/>
  <c r="G80" i="2" s="1"/>
  <c r="F79" i="3" s="1"/>
  <c r="G79" i="2"/>
  <c r="F79" i="2"/>
  <c r="H78" i="2"/>
  <c r="F78" i="2"/>
  <c r="G78" i="2" s="1"/>
  <c r="F77" i="3" s="1"/>
  <c r="F77" i="2"/>
  <c r="G77" i="2" s="1"/>
  <c r="F76" i="3" s="1"/>
  <c r="F76" i="2"/>
  <c r="G76" i="2" s="1"/>
  <c r="F75" i="3" s="1"/>
  <c r="H75" i="2"/>
  <c r="F75" i="2"/>
  <c r="G75" i="2" s="1"/>
  <c r="F74" i="3" s="1"/>
  <c r="F74" i="2"/>
  <c r="G74" i="2" s="1"/>
  <c r="F73" i="3" s="1"/>
  <c r="H73" i="2"/>
  <c r="F73" i="2"/>
  <c r="G73" i="2" s="1"/>
  <c r="F72" i="3" s="1"/>
  <c r="F72" i="2"/>
  <c r="G72" i="2" s="1"/>
  <c r="F71" i="3" s="1"/>
  <c r="H71" i="2"/>
  <c r="F71" i="2"/>
  <c r="G71" i="2" s="1"/>
  <c r="F70" i="3" s="1"/>
  <c r="F70" i="2"/>
  <c r="G70" i="2" s="1"/>
  <c r="F69" i="3" s="1"/>
  <c r="F69" i="2"/>
  <c r="G69" i="2" s="1"/>
  <c r="F68" i="3" s="1"/>
  <c r="F68" i="2"/>
  <c r="G68" i="2" s="1"/>
  <c r="F67" i="3" s="1"/>
  <c r="F67" i="2"/>
  <c r="H66" i="2"/>
  <c r="G65" i="3" s="1"/>
  <c r="F66" i="2"/>
  <c r="F65" i="2"/>
  <c r="H64" i="2"/>
  <c r="G63" i="3" s="1"/>
  <c r="G64" i="2"/>
  <c r="F63" i="3" s="1"/>
  <c r="F64" i="2"/>
  <c r="E63" i="3" s="1"/>
  <c r="F63" i="2"/>
  <c r="H62" i="2"/>
  <c r="G61" i="3" s="1"/>
  <c r="F62" i="2"/>
  <c r="F61" i="2"/>
  <c r="F60" i="2"/>
  <c r="F59" i="2"/>
  <c r="F58" i="2"/>
  <c r="H57" i="2"/>
  <c r="G56" i="3" s="1"/>
  <c r="F57" i="2"/>
  <c r="F56" i="2"/>
  <c r="H55" i="2"/>
  <c r="G54" i="3" s="1"/>
  <c r="F55" i="2"/>
  <c r="F54" i="2"/>
  <c r="F53" i="2"/>
  <c r="F52" i="2"/>
  <c r="F51" i="2"/>
  <c r="H50" i="2"/>
  <c r="G49" i="3" s="1"/>
  <c r="F50" i="2"/>
  <c r="H49" i="2"/>
  <c r="G48" i="3" s="1"/>
  <c r="F49" i="2"/>
  <c r="F48" i="2"/>
  <c r="H47" i="2"/>
  <c r="G46" i="3" s="1"/>
  <c r="F47" i="2"/>
  <c r="F46" i="2"/>
  <c r="F45" i="2"/>
  <c r="F44" i="2"/>
  <c r="F43" i="2"/>
  <c r="H42" i="2"/>
  <c r="G41" i="3" s="1"/>
  <c r="F42" i="2"/>
  <c r="F41" i="2"/>
  <c r="H40" i="2"/>
  <c r="G39" i="3" s="1"/>
  <c r="F40" i="2"/>
  <c r="F39" i="2"/>
  <c r="H38" i="2"/>
  <c r="G37" i="3" s="1"/>
  <c r="F38" i="2"/>
  <c r="F37" i="2"/>
  <c r="F36" i="2"/>
  <c r="F35" i="2"/>
  <c r="F34" i="2"/>
  <c r="H33" i="2"/>
  <c r="G32" i="3" s="1"/>
  <c r="F33" i="2"/>
  <c r="F32" i="2"/>
  <c r="H31" i="2"/>
  <c r="G30" i="3" s="1"/>
  <c r="F31" i="2"/>
  <c r="F30" i="2"/>
  <c r="F29" i="2"/>
  <c r="H28" i="2"/>
  <c r="G27" i="3" s="1"/>
  <c r="F28" i="2"/>
  <c r="F27" i="2"/>
  <c r="H26" i="2"/>
  <c r="G25" i="3" s="1"/>
  <c r="F26" i="2"/>
  <c r="F25" i="2"/>
  <c r="F24" i="2"/>
  <c r="H23" i="2"/>
  <c r="G22" i="3" s="1"/>
  <c r="F23" i="2"/>
  <c r="F22" i="2"/>
  <c r="F21" i="2"/>
  <c r="F20" i="2"/>
  <c r="F19" i="2"/>
  <c r="H18" i="2"/>
  <c r="G17" i="3" s="1"/>
  <c r="F18" i="2"/>
  <c r="F17" i="2"/>
  <c r="H16" i="2"/>
  <c r="G15" i="3" s="1"/>
  <c r="F16" i="2"/>
  <c r="F15" i="2"/>
  <c r="H14" i="2"/>
  <c r="G13" i="3" s="1"/>
  <c r="F14" i="2"/>
  <c r="F13" i="2"/>
  <c r="F12" i="2"/>
  <c r="G11" i="2"/>
  <c r="F10" i="3" s="1"/>
  <c r="F11" i="2"/>
  <c r="E10" i="3" s="1"/>
  <c r="F10" i="2"/>
  <c r="H9" i="2"/>
  <c r="G8" i="3" s="1"/>
  <c r="F9" i="2"/>
  <c r="F8" i="2"/>
  <c r="F7" i="2"/>
  <c r="H6" i="2"/>
  <c r="G5" i="3" s="1"/>
  <c r="F6" i="2"/>
  <c r="E26" i="7" l="1"/>
  <c r="G27" i="6"/>
  <c r="F26" i="7" s="1"/>
  <c r="E25" i="7"/>
  <c r="G26" i="6"/>
  <c r="F25" i="7" s="1"/>
  <c r="E24" i="7"/>
  <c r="G25" i="6"/>
  <c r="F24" i="7" s="1"/>
  <c r="E23" i="7"/>
  <c r="G24" i="6"/>
  <c r="F23" i="7" s="1"/>
  <c r="E22" i="7"/>
  <c r="G23" i="6"/>
  <c r="F22" i="7" s="1"/>
  <c r="E21" i="7"/>
  <c r="G22" i="6"/>
  <c r="F21" i="7" s="1"/>
  <c r="E20" i="7"/>
  <c r="G21" i="6"/>
  <c r="F20" i="7" s="1"/>
  <c r="E19" i="7"/>
  <c r="G20" i="6"/>
  <c r="F19" i="7" s="1"/>
  <c r="G19" i="6"/>
  <c r="F18" i="7" s="1"/>
  <c r="E18" i="7"/>
  <c r="G18" i="6"/>
  <c r="F17" i="7" s="1"/>
  <c r="E17" i="7"/>
  <c r="G17" i="6"/>
  <c r="F16" i="7" s="1"/>
  <c r="E16" i="7"/>
  <c r="E15" i="7"/>
  <c r="G16" i="6"/>
  <c r="F15" i="7" s="1"/>
  <c r="E14" i="7"/>
  <c r="G15" i="6"/>
  <c r="F14" i="7" s="1"/>
  <c r="E13" i="7"/>
  <c r="G14" i="6"/>
  <c r="F13" i="7" s="1"/>
  <c r="E12" i="7"/>
  <c r="G13" i="6"/>
  <c r="F12" i="7" s="1"/>
  <c r="E11" i="7"/>
  <c r="G12" i="6"/>
  <c r="F11" i="7" s="1"/>
  <c r="E10" i="7"/>
  <c r="G11" i="6"/>
  <c r="F10" i="7" s="1"/>
  <c r="E9" i="7"/>
  <c r="G10" i="6"/>
  <c r="F9" i="7" s="1"/>
  <c r="E8" i="7"/>
  <c r="G9" i="6"/>
  <c r="F8" i="7" s="1"/>
  <c r="E7" i="7"/>
  <c r="G8" i="6"/>
  <c r="F7" i="7" s="1"/>
  <c r="G7" i="6"/>
  <c r="F6" i="7" s="1"/>
  <c r="E6" i="7"/>
  <c r="G6" i="6"/>
  <c r="E5" i="7"/>
  <c r="G47" i="4"/>
  <c r="F46" i="5" s="1"/>
  <c r="E46" i="5"/>
  <c r="E45" i="5"/>
  <c r="G46" i="4"/>
  <c r="F45" i="5" s="1"/>
  <c r="E44" i="5"/>
  <c r="G45" i="4"/>
  <c r="F44" i="5" s="1"/>
  <c r="E43" i="5"/>
  <c r="G44" i="4"/>
  <c r="F43" i="5" s="1"/>
  <c r="E42" i="5"/>
  <c r="G43" i="4"/>
  <c r="F42" i="5" s="1"/>
  <c r="G42" i="4"/>
  <c r="F41" i="5" s="1"/>
  <c r="E41" i="5"/>
  <c r="E40" i="5"/>
  <c r="G41" i="4"/>
  <c r="F40" i="5" s="1"/>
  <c r="E39" i="5"/>
  <c r="G40" i="4"/>
  <c r="F39" i="5" s="1"/>
  <c r="G39" i="4"/>
  <c r="F38" i="5" s="1"/>
  <c r="E38" i="5"/>
  <c r="E37" i="5"/>
  <c r="G38" i="4"/>
  <c r="F37" i="5" s="1"/>
  <c r="E36" i="5"/>
  <c r="G37" i="4"/>
  <c r="F36" i="5" s="1"/>
  <c r="G36" i="4"/>
  <c r="F35" i="5" s="1"/>
  <c r="E35" i="5"/>
  <c r="E34" i="5"/>
  <c r="G35" i="4"/>
  <c r="F34" i="5" s="1"/>
  <c r="E33" i="5"/>
  <c r="G34" i="4"/>
  <c r="F33" i="5" s="1"/>
  <c r="E32" i="5"/>
  <c r="G33" i="4"/>
  <c r="F32" i="5" s="1"/>
  <c r="E31" i="5"/>
  <c r="G32" i="4"/>
  <c r="F31" i="5" s="1"/>
  <c r="G31" i="4"/>
  <c r="F30" i="5" s="1"/>
  <c r="E30" i="5"/>
  <c r="E29" i="5"/>
  <c r="G30" i="4"/>
  <c r="F29" i="5" s="1"/>
  <c r="G29" i="4"/>
  <c r="F28" i="5" s="1"/>
  <c r="E28" i="5"/>
  <c r="E27" i="5"/>
  <c r="G28" i="4"/>
  <c r="F27" i="5" s="1"/>
  <c r="E26" i="5"/>
  <c r="G27" i="4"/>
  <c r="F26" i="5" s="1"/>
  <c r="E25" i="5"/>
  <c r="G26" i="4"/>
  <c r="F25" i="5" s="1"/>
  <c r="E24" i="5"/>
  <c r="G25" i="4"/>
  <c r="F24" i="5" s="1"/>
  <c r="E23" i="5"/>
  <c r="G24" i="4"/>
  <c r="F23" i="5" s="1"/>
  <c r="E22" i="5"/>
  <c r="G23" i="4"/>
  <c r="F22" i="5" s="1"/>
  <c r="E21" i="5"/>
  <c r="G22" i="4"/>
  <c r="F21" i="5" s="1"/>
  <c r="E20" i="5"/>
  <c r="G21" i="4"/>
  <c r="F20" i="5" s="1"/>
  <c r="G20" i="4"/>
  <c r="F19" i="5" s="1"/>
  <c r="E19" i="5"/>
  <c r="E18" i="5"/>
  <c r="G19" i="4"/>
  <c r="F18" i="5" s="1"/>
  <c r="G18" i="4"/>
  <c r="F17" i="5" s="1"/>
  <c r="E17" i="5"/>
  <c r="E15" i="5"/>
  <c r="G16" i="4"/>
  <c r="F15" i="5" s="1"/>
  <c r="E14" i="5"/>
  <c r="G15" i="4"/>
  <c r="F14" i="5" s="1"/>
  <c r="E13" i="5"/>
  <c r="G14" i="4"/>
  <c r="F13" i="5" s="1"/>
  <c r="E12" i="5"/>
  <c r="G13" i="4"/>
  <c r="F12" i="5" s="1"/>
  <c r="E11" i="5"/>
  <c r="G12" i="4"/>
  <c r="F11" i="5" s="1"/>
  <c r="G11" i="4"/>
  <c r="F10" i="5" s="1"/>
  <c r="E10" i="5"/>
  <c r="E9" i="5"/>
  <c r="G10" i="4"/>
  <c r="F9" i="5" s="1"/>
  <c r="G9" i="4"/>
  <c r="F8" i="5" s="1"/>
  <c r="E8" i="5"/>
  <c r="G8" i="4"/>
  <c r="F7" i="5" s="1"/>
  <c r="E7" i="5"/>
  <c r="G7" i="4"/>
  <c r="F6" i="5" s="1"/>
  <c r="E6" i="5"/>
  <c r="G6" i="4"/>
  <c r="E5" i="5"/>
  <c r="E66" i="3"/>
  <c r="G67" i="2"/>
  <c r="F66" i="3" s="1"/>
  <c r="E65" i="3"/>
  <c r="G66" i="2"/>
  <c r="F65" i="3" s="1"/>
  <c r="E64" i="3"/>
  <c r="G65" i="2"/>
  <c r="F64" i="3" s="1"/>
  <c r="E62" i="3"/>
  <c r="G63" i="2"/>
  <c r="F62" i="3" s="1"/>
  <c r="G62" i="2"/>
  <c r="F61" i="3" s="1"/>
  <c r="E61" i="3"/>
  <c r="E60" i="3"/>
  <c r="G61" i="2"/>
  <c r="F60" i="3" s="1"/>
  <c r="E59" i="3"/>
  <c r="G60" i="2"/>
  <c r="F59" i="3" s="1"/>
  <c r="G59" i="2"/>
  <c r="F58" i="3" s="1"/>
  <c r="E58" i="3"/>
  <c r="E57" i="3"/>
  <c r="G58" i="2"/>
  <c r="F57" i="3" s="1"/>
  <c r="G57" i="2"/>
  <c r="F56" i="3" s="1"/>
  <c r="E56" i="3"/>
  <c r="E55" i="3"/>
  <c r="G56" i="2"/>
  <c r="F55" i="3" s="1"/>
  <c r="E54" i="3"/>
  <c r="G55" i="2"/>
  <c r="F54" i="3" s="1"/>
  <c r="E53" i="3"/>
  <c r="G54" i="2"/>
  <c r="F53" i="3" s="1"/>
  <c r="E52" i="3"/>
  <c r="G53" i="2"/>
  <c r="F52" i="3" s="1"/>
  <c r="E51" i="3"/>
  <c r="G52" i="2"/>
  <c r="F51" i="3" s="1"/>
  <c r="E50" i="3"/>
  <c r="G51" i="2"/>
  <c r="F50" i="3" s="1"/>
  <c r="G50" i="2"/>
  <c r="F49" i="3" s="1"/>
  <c r="E49" i="3"/>
  <c r="E48" i="3"/>
  <c r="G49" i="2"/>
  <c r="F48" i="3" s="1"/>
  <c r="G48" i="2"/>
  <c r="F47" i="3" s="1"/>
  <c r="E47" i="3"/>
  <c r="G47" i="2"/>
  <c r="F46" i="3" s="1"/>
  <c r="E46" i="3"/>
  <c r="E45" i="3"/>
  <c r="G46" i="2"/>
  <c r="F45" i="3" s="1"/>
  <c r="E44" i="3"/>
  <c r="G45" i="2"/>
  <c r="F44" i="3" s="1"/>
  <c r="G44" i="2"/>
  <c r="F43" i="3" s="1"/>
  <c r="E43" i="3"/>
  <c r="G43" i="2"/>
  <c r="F42" i="3" s="1"/>
  <c r="E42" i="3"/>
  <c r="E41" i="3"/>
  <c r="G42" i="2"/>
  <c r="F41" i="3" s="1"/>
  <c r="E40" i="3"/>
  <c r="G41" i="2"/>
  <c r="F40" i="3" s="1"/>
  <c r="E39" i="3"/>
  <c r="G40" i="2"/>
  <c r="F39" i="3" s="1"/>
  <c r="G39" i="2"/>
  <c r="F38" i="3" s="1"/>
  <c r="E38" i="3"/>
  <c r="G38" i="2"/>
  <c r="F37" i="3" s="1"/>
  <c r="E37" i="3"/>
  <c r="E36" i="3"/>
  <c r="G37" i="2"/>
  <c r="F36" i="3" s="1"/>
  <c r="E35" i="3"/>
  <c r="G36" i="2"/>
  <c r="F35" i="3" s="1"/>
  <c r="E34" i="3"/>
  <c r="G35" i="2"/>
  <c r="F34" i="3" s="1"/>
  <c r="E33" i="3"/>
  <c r="G34" i="2"/>
  <c r="F33" i="3" s="1"/>
  <c r="G33" i="2"/>
  <c r="F32" i="3" s="1"/>
  <c r="E32" i="3"/>
  <c r="G32" i="2"/>
  <c r="F31" i="3" s="1"/>
  <c r="E31" i="3"/>
  <c r="G31" i="2"/>
  <c r="F30" i="3" s="1"/>
  <c r="E30" i="3"/>
  <c r="E29" i="3"/>
  <c r="G30" i="2"/>
  <c r="F29" i="3" s="1"/>
  <c r="E28" i="3"/>
  <c r="G29" i="2"/>
  <c r="F28" i="3" s="1"/>
  <c r="E27" i="3"/>
  <c r="G28" i="2"/>
  <c r="F27" i="3" s="1"/>
  <c r="G27" i="2"/>
  <c r="F26" i="3" s="1"/>
  <c r="E26" i="3"/>
  <c r="G26" i="2"/>
  <c r="F25" i="3" s="1"/>
  <c r="E25" i="3"/>
  <c r="G25" i="2"/>
  <c r="F24" i="3" s="1"/>
  <c r="E24" i="3"/>
  <c r="G24" i="2"/>
  <c r="F23" i="3" s="1"/>
  <c r="E23" i="3"/>
  <c r="G23" i="2"/>
  <c r="F22" i="3" s="1"/>
  <c r="E22" i="3"/>
  <c r="G22" i="2"/>
  <c r="F21" i="3" s="1"/>
  <c r="E21" i="3"/>
  <c r="G21" i="2"/>
  <c r="F20" i="3" s="1"/>
  <c r="E20" i="3"/>
  <c r="E19" i="3"/>
  <c r="G20" i="2"/>
  <c r="F19" i="3" s="1"/>
  <c r="G19" i="2"/>
  <c r="F18" i="3" s="1"/>
  <c r="E18" i="3"/>
  <c r="G18" i="2"/>
  <c r="F17" i="3" s="1"/>
  <c r="E17" i="3"/>
  <c r="E16" i="3"/>
  <c r="G17" i="2"/>
  <c r="F16" i="3" s="1"/>
  <c r="E15" i="3"/>
  <c r="G16" i="2"/>
  <c r="F15" i="3" s="1"/>
  <c r="G15" i="2"/>
  <c r="F14" i="3" s="1"/>
  <c r="E14" i="3"/>
  <c r="E13" i="3"/>
  <c r="G14" i="2"/>
  <c r="F13" i="3" s="1"/>
  <c r="E12" i="3"/>
  <c r="G13" i="2"/>
  <c r="F12" i="3" s="1"/>
  <c r="E11" i="3"/>
  <c r="G12" i="2"/>
  <c r="F11" i="3" s="1"/>
  <c r="E9" i="3"/>
  <c r="G10" i="2"/>
  <c r="F9" i="3" s="1"/>
  <c r="E8" i="3"/>
  <c r="G9" i="2"/>
  <c r="F8" i="3" s="1"/>
  <c r="E7" i="3"/>
  <c r="G8" i="2"/>
  <c r="F7" i="3" s="1"/>
  <c r="G7" i="2"/>
  <c r="F6" i="3" s="1"/>
  <c r="E6" i="3"/>
  <c r="E5" i="3"/>
  <c r="G6" i="2"/>
  <c r="C6" i="9" l="1"/>
  <c r="D6" i="9" s="1"/>
  <c r="F5" i="7"/>
  <c r="C8" i="9"/>
  <c r="F5" i="5"/>
  <c r="B8" i="9"/>
  <c r="B6" i="9"/>
  <c r="F5" i="3"/>
  <c r="B22" i="11"/>
  <c r="B9" i="1"/>
  <c r="B12" i="1" l="1"/>
  <c r="B10" i="1"/>
  <c r="B11" i="1"/>
  <c r="D8" i="9"/>
</calcChain>
</file>

<file path=xl/sharedStrings.xml><?xml version="1.0" encoding="utf-8"?>
<sst xmlns="http://schemas.openxmlformats.org/spreadsheetml/2006/main" count="2110" uniqueCount="802">
  <si>
    <t>🎛️ AGI TR Transportation - Control Panel</t>
  </si>
  <si>
    <t>📌 시작일(B4)을 변경하면 모든 일정이 자동 업데이트됩니다. VBA 매크로 활성화 필요.</t>
  </si>
  <si>
    <t>📅 프로젝트 시작일:</t>
  </si>
  <si>
    <t>⏱️ 작업 소요시간 (일)</t>
  </si>
  <si>
    <t>🌊 기상 설정</t>
  </si>
  <si>
    <t>🎯 목표 완료일:</t>
  </si>
  <si>
    <t>Mobilization:</t>
  </si>
  <si>
    <t>Shamal 시작:</t>
  </si>
  <si>
    <t>Deck Prep:</t>
  </si>
  <si>
    <t>Shamal 종료:</t>
  </si>
  <si>
    <t>Load-out:</t>
  </si>
  <si>
    <t>Tide Threshold (m):</t>
  </si>
  <si>
    <t>📊 자동 계산 요약</t>
  </si>
  <si>
    <t>Sea Fastening:</t>
  </si>
  <si>
    <t>📊 Gantt 최소 일수:</t>
  </si>
  <si>
    <t>예상 완료일:</t>
  </si>
  <si>
    <t>MWS Approval:</t>
  </si>
  <si>
    <t>📊 Gantt 버퍼 일수:</t>
  </si>
  <si>
    <t>총 기간 (일):</t>
  </si>
  <si>
    <t>Sailing:</t>
  </si>
  <si>
    <t>목표 대비:</t>
  </si>
  <si>
    <t>AGI Unload:</t>
  </si>
  <si>
    <t>잔여 일수:</t>
  </si>
  <si>
    <t>Turning:</t>
  </si>
  <si>
    <t>Jack-down:</t>
  </si>
  <si>
    <t>Return:</t>
  </si>
  <si>
    <t>🔘 VBA 매크로 (Alt+F8)</t>
  </si>
  <si>
    <t>Buffer:</t>
  </si>
  <si>
    <t>▶ UpdateAllSchedules - 전체 일정 재계산</t>
  </si>
  <si>
    <t>▶ UpdateAllScenarios - 모든 시나리오 일괄 업데이트</t>
  </si>
  <si>
    <t>▶ RefreshGanttChart - Gantt 색상 갱신</t>
  </si>
  <si>
    <t>▶ RefreshAllGanttCharts - 모든 Gantt 차트 갱신</t>
  </si>
  <si>
    <t>▶ RefreshTideData - 조석 데이터 강조</t>
  </si>
  <si>
    <t>▶ GenerateReport - 현황 리포트</t>
  </si>
  <si>
    <t>▶ ExportToPDF - PDF 내보내기</t>
  </si>
  <si>
    <t>▶ SimulateDelay - 지연 시뮬레이션</t>
  </si>
  <si>
    <t>▶ HighlightCritical - Critical Path 강조</t>
  </si>
  <si>
    <t>▶ HighlightToday - 오늘 날짜 표시</t>
  </si>
  <si>
    <t>▶ CheckShamalRisk - Shamal 위험 체크</t>
  </si>
  <si>
    <t>AGI HVDC TR 1-7 Transportation Master Schedule</t>
  </si>
  <si>
    <t>7 Voyages | 4 Jack-down Events | LCT BUSHRA | Mina Zayed ↔ AGI Site</t>
  </si>
  <si>
    <t>⚠️ Winter Shamal Risk Period: Feb 05-14, 2026 | Tide ≥1.90m + Weather Gate | Schedule Auto-Updates from Control_Panel</t>
  </si>
  <si>
    <t>ID</t>
  </si>
  <si>
    <t>WBS</t>
  </si>
  <si>
    <t>Task</t>
  </si>
  <si>
    <t>Phase</t>
  </si>
  <si>
    <t>Owner</t>
  </si>
  <si>
    <t>Start</t>
  </si>
  <si>
    <t>End</t>
  </si>
  <si>
    <t>Duration</t>
  </si>
  <si>
    <t>Notes</t>
  </si>
  <si>
    <t>MOB-001</t>
  </si>
  <si>
    <t>0.0</t>
  </si>
  <si>
    <t>Mobilization (crew/equipment)</t>
  </si>
  <si>
    <t>MOBILIZATION</t>
  </si>
  <si>
    <t>Mammoet</t>
  </si>
  <si>
    <t>SPMT + grillage in MZP</t>
  </si>
  <si>
    <t>PREP-001</t>
  </si>
  <si>
    <t>LCT deck preparations + fenders + mooring</t>
  </si>
  <si>
    <t>DECK_PREP</t>
  </si>
  <si>
    <t>Mammoet/KFS</t>
  </si>
  <si>
    <t>MWS pre-check ready</t>
  </si>
  <si>
    <t>V1</t>
  </si>
  <si>
    <t>1.0</t>
  </si>
  <si>
    <t>VOYAGE 1: TR1 Transport (single)</t>
  </si>
  <si>
    <t>MILESTONE</t>
  </si>
  <si>
    <t>SCT/Mammoet/KFS</t>
  </si>
  <si>
    <t>TIDE&gt;=1.90 required (LO/ARR)</t>
  </si>
  <si>
    <t>LO-101</t>
  </si>
  <si>
    <t>Loadout TR1 onto LCT Bushra</t>
  </si>
  <si>
    <t>LOADOUT</t>
  </si>
  <si>
    <t>High tide window required</t>
  </si>
  <si>
    <t>SF-102</t>
  </si>
  <si>
    <t>Sea fastening TR1</t>
  </si>
  <si>
    <t>SEAFAST</t>
  </si>
  <si>
    <t>Weld + lash</t>
  </si>
  <si>
    <t>MWS-103</t>
  </si>
  <si>
    <t>MWS Survey + MPI + Final checks</t>
  </si>
  <si>
    <t>BUFFER</t>
  </si>
  <si>
    <t>MWS/Sterling</t>
  </si>
  <si>
    <t>DAS stamp</t>
  </si>
  <si>
    <t>SAIL-104</t>
  </si>
  <si>
    <t>Sail-away (MZP?묨GI)</t>
  </si>
  <si>
    <t>SAIL</t>
  </si>
  <si>
    <t>KFS</t>
  </si>
  <si>
    <t>Weather gate: wind/wave/vis</t>
  </si>
  <si>
    <t>ARR-105</t>
  </si>
  <si>
    <t>Arrive/berth AGI jetty</t>
  </si>
  <si>
    <t>AGI_UNLOAD</t>
  </si>
  <si>
    <t>KFS/AD Ports</t>
  </si>
  <si>
    <t>Align high tide</t>
  </si>
  <si>
    <t>STORE-106</t>
  </si>
  <si>
    <t>Unload &amp; store TR1 at laydown</t>
  </si>
  <si>
    <t>Mammoet/SCT</t>
  </si>
  <si>
    <t>Await TR2</t>
  </si>
  <si>
    <t>RET-107</t>
  </si>
  <si>
    <t>LCT Return to MZP</t>
  </si>
  <si>
    <t>RETURN</t>
  </si>
  <si>
    <t>After unload</t>
  </si>
  <si>
    <t>BUF-108</t>
  </si>
  <si>
    <t>Buffer / standby</t>
  </si>
  <si>
    <t>SCT</t>
  </si>
  <si>
    <t>WX/tide slip</t>
  </si>
  <si>
    <t>V2</t>
  </si>
  <si>
    <t>2.0</t>
  </si>
  <si>
    <t>VOYAGE 2: TR2 Transport + JD-1</t>
  </si>
  <si>
    <t>LO-109</t>
  </si>
  <si>
    <t>Loadout TR2 onto LCT</t>
  </si>
  <si>
    <t>SF-110</t>
  </si>
  <si>
    <t>Sea fastening TR2</t>
  </si>
  <si>
    <t>MWS-110A</t>
  </si>
  <si>
    <t>MWS Survey + Final checks</t>
  </si>
  <si>
    <t>SAIL-111</t>
  </si>
  <si>
    <t>Sail-away</t>
  </si>
  <si>
    <t>ARR-112</t>
  </si>
  <si>
    <t>Arrive/berth AGI</t>
  </si>
  <si>
    <t>TRN-113</t>
  </si>
  <si>
    <t>Inland transport TR1 to Bay-1</t>
  </si>
  <si>
    <t>TURNING</t>
  </si>
  <si>
    <t>SPMT 14 axle (assumption)</t>
  </si>
  <si>
    <t>TURN-114</t>
  </si>
  <si>
    <t>Turn TR1 orientation (Bay-1)</t>
  </si>
  <si>
    <t>Bay-1 final alignment</t>
  </si>
  <si>
    <t>BRG-115</t>
  </si>
  <si>
    <t>Steel bridge install (AGI Gate-1)</t>
  </si>
  <si>
    <t>Mammoet/ALS</t>
  </si>
  <si>
    <t>Gate-1 crossing readiness</t>
  </si>
  <si>
    <t>TRN-116</t>
  </si>
  <si>
    <t>Inland transport TR2 to Bay-2</t>
  </si>
  <si>
    <t>TURN-117</t>
  </si>
  <si>
    <t>Turn TR2 orientation (Bay-2)</t>
  </si>
  <si>
    <t>Bay-2 final alignment</t>
  </si>
  <si>
    <t>BUF-118</t>
  </si>
  <si>
    <t>TR2 Laydown buffer</t>
  </si>
  <si>
    <t>Flex / WX hold</t>
  </si>
  <si>
    <t>JD-120</t>
  </si>
  <si>
    <t>JACKDOWN-1: TR1+TR2 set-down in bays</t>
  </si>
  <si>
    <t>JACKDOWN</t>
  </si>
  <si>
    <t>Tight tolerances / HSE gate</t>
  </si>
  <si>
    <t>RET-119</t>
  </si>
  <si>
    <t>LCT Return after JD-1</t>
  </si>
  <si>
    <t>Post jackdown</t>
  </si>
  <si>
    <t>BUF-120</t>
  </si>
  <si>
    <t>Buffer / Shamal recovery</t>
  </si>
  <si>
    <t>Shamal + fog/dust risk</t>
  </si>
  <si>
    <t>V3</t>
  </si>
  <si>
    <t>3.0</t>
  </si>
  <si>
    <t>VOYAGE 3: TR3 Transport</t>
  </si>
  <si>
    <t>LO-121</t>
  </si>
  <si>
    <t>Loadout TR3</t>
  </si>
  <si>
    <t>SF-122</t>
  </si>
  <si>
    <t>Sea fastening TR3</t>
  </si>
  <si>
    <t>MWS-122A</t>
  </si>
  <si>
    <t>SAIL-123</t>
  </si>
  <si>
    <t>ARR-124</t>
  </si>
  <si>
    <t>STORE-125</t>
  </si>
  <si>
    <t>Unload &amp; store TR3 laydown</t>
  </si>
  <si>
    <t>Await TR4</t>
  </si>
  <si>
    <t>RET-126</t>
  </si>
  <si>
    <t>BUF-127</t>
  </si>
  <si>
    <t>Buffer</t>
  </si>
  <si>
    <t>V4</t>
  </si>
  <si>
    <t>4.0</t>
  </si>
  <si>
    <t>VOYAGE 4: TR4 Transport + JD-2</t>
  </si>
  <si>
    <t>LO-128</t>
  </si>
  <si>
    <t>Loadout TR4</t>
  </si>
  <si>
    <t>SF-129</t>
  </si>
  <si>
    <t>Sea fastening TR4</t>
  </si>
  <si>
    <t>MWS-129A</t>
  </si>
  <si>
    <t>SAIL-130</t>
  </si>
  <si>
    <t>ARR-131</t>
  </si>
  <si>
    <t>TRN-132</t>
  </si>
  <si>
    <t>Inland transport TR3 to Bay-3</t>
  </si>
  <si>
    <t>TURN-133</t>
  </si>
  <si>
    <t>Turn TR3 orientation (Bay-3)</t>
  </si>
  <si>
    <t>Bay-3 final alignment</t>
  </si>
  <si>
    <t>BUF-134</t>
  </si>
  <si>
    <t>TR3 Laydown buffer</t>
  </si>
  <si>
    <t>Flex between turning &amp; JD</t>
  </si>
  <si>
    <t>TRN-135</t>
  </si>
  <si>
    <t>Inland transport TR4 to Bay-4</t>
  </si>
  <si>
    <t>TURN-136</t>
  </si>
  <si>
    <t>Turn TR4 orientation (Bay-4)</t>
  </si>
  <si>
    <t>Bay-4 final alignment</t>
  </si>
  <si>
    <t>BUF-137</t>
  </si>
  <si>
    <t>TR4 Laydown buffer</t>
  </si>
  <si>
    <t>Compressed (risk)</t>
  </si>
  <si>
    <t>JD-139</t>
  </si>
  <si>
    <t>JACKDOWN-2: TR3+TR4</t>
  </si>
  <si>
    <t>RET-138</t>
  </si>
  <si>
    <t>LCT Return after JD-2</t>
  </si>
  <si>
    <t>BUF-140</t>
  </si>
  <si>
    <t>Recovery / handover (compressed)</t>
  </si>
  <si>
    <t>V5</t>
  </si>
  <si>
    <t>5.0</t>
  </si>
  <si>
    <t>VOYAGE 5: TR5 Transport</t>
  </si>
  <si>
    <t>LO-140</t>
  </si>
  <si>
    <t>Loadout TR5</t>
  </si>
  <si>
    <t>SF-141</t>
  </si>
  <si>
    <t>Sea fastening TR5</t>
  </si>
  <si>
    <t>Same-day to meet tide</t>
  </si>
  <si>
    <t>MWS-141A</t>
  </si>
  <si>
    <t>SAIL-142</t>
  </si>
  <si>
    <t>ARR-143</t>
  </si>
  <si>
    <t>STORE-144</t>
  </si>
  <si>
    <t>Unload &amp; store TR5 laydown</t>
  </si>
  <si>
    <t>Await TR6</t>
  </si>
  <si>
    <t>RET-145</t>
  </si>
  <si>
    <t>BUF-146</t>
  </si>
  <si>
    <t>V6</t>
  </si>
  <si>
    <t>6.0</t>
  </si>
  <si>
    <t>VOYAGE 6: TR6 Transport + JD-3</t>
  </si>
  <si>
    <t>LO-147</t>
  </si>
  <si>
    <t>Loadout TR6</t>
  </si>
  <si>
    <t>High tide window required (early AM)</t>
  </si>
  <si>
    <t>SF-148</t>
  </si>
  <si>
    <t>Sea fastening TR6</t>
  </si>
  <si>
    <t>MWS-148A</t>
  </si>
  <si>
    <t>SAIL-149</t>
  </si>
  <si>
    <t>ARR-150</t>
  </si>
  <si>
    <t>Align high tide (early AM)</t>
  </si>
  <si>
    <t>TRN-151</t>
  </si>
  <si>
    <t>Inland transport TR5 to Bay-5</t>
  </si>
  <si>
    <t>TURN-152</t>
  </si>
  <si>
    <t>Turn TR5 orientation (Bay-5)</t>
  </si>
  <si>
    <t>Bay-5 final alignment</t>
  </si>
  <si>
    <t>TRN-154</t>
  </si>
  <si>
    <t>Inland transport TR6 to Bay-6</t>
  </si>
  <si>
    <t>TURN-155</t>
  </si>
  <si>
    <t>Turn TR6 orientation (Bay-6)</t>
  </si>
  <si>
    <t>Bay-6 final alignment</t>
  </si>
  <si>
    <t>BUF-156</t>
  </si>
  <si>
    <t>TR6 Laydown buffer</t>
  </si>
  <si>
    <t>JD-157</t>
  </si>
  <si>
    <t>JACKDOWN-3: TR5+TR6</t>
  </si>
  <si>
    <t>RET-158</t>
  </si>
  <si>
    <t>LCT Return after JD-3</t>
  </si>
  <si>
    <t>BUF-159</t>
  </si>
  <si>
    <t>V7</t>
  </si>
  <si>
    <t>7.0</t>
  </si>
  <si>
    <t>VOYAGE 7: TR7 Transport + JD-4</t>
  </si>
  <si>
    <t>LO-201</t>
  </si>
  <si>
    <t>Loadout TR7</t>
  </si>
  <si>
    <t>SF-202</t>
  </si>
  <si>
    <t>Sea fastening TR7</t>
  </si>
  <si>
    <t>MWS-202A</t>
  </si>
  <si>
    <t>SAIL-203</t>
  </si>
  <si>
    <t>ARR-204</t>
  </si>
  <si>
    <t>TRN-205</t>
  </si>
  <si>
    <t>Inland transport TR7 to Bay-7</t>
  </si>
  <si>
    <t>TURN-206</t>
  </si>
  <si>
    <t>Turn TR7 orientation (Bay-7)</t>
  </si>
  <si>
    <t>Bay-7 final alignment</t>
  </si>
  <si>
    <t>JD-207</t>
  </si>
  <si>
    <t>JACKDOWN-4: TR7</t>
  </si>
  <si>
    <t>Final set-down</t>
  </si>
  <si>
    <t>RET-208</t>
  </si>
  <si>
    <t>LCT Final return</t>
  </si>
  <si>
    <t>Backhaul + close</t>
  </si>
  <si>
    <t>DEMOB-999</t>
  </si>
  <si>
    <t>9.0</t>
  </si>
  <si>
    <t>Demobilization &amp; closeout</t>
  </si>
  <si>
    <t>SPMT demob + docs</t>
  </si>
  <si>
    <t>END-000</t>
  </si>
  <si>
    <t>PROJECT END / Handover</t>
  </si>
  <si>
    <t>Mechanical completion handover</t>
  </si>
  <si>
    <t>AGI HVDC TR 1-7 Master Gantt Chart (Auto-Updated)</t>
  </si>
  <si>
    <t>Orange Zone = Winter Shamal Risk Period (Feb 05-14) | Tide ≥1.90m + Weather Gate | VBA: RefreshGanttChart로 색상 갱신</t>
  </si>
  <si>
    <t>Jan 2026</t>
  </si>
  <si>
    <t>Dur</t>
  </si>
  <si>
    <t>★</t>
  </si>
  <si>
    <t>AGI TR Transportation - ScenarioA Schedule</t>
  </si>
  <si>
    <t>Start = 2026-01-15 | Auto-Updates from Control_Panel</t>
  </si>
  <si>
    <t>⚠️ Winter Shamal Risk Period: Feb 05-14, 2026 | Tide ≥1.90m + Weather Gate</t>
  </si>
  <si>
    <t>VOYAGE 1: TR1 Transport</t>
  </si>
  <si>
    <t>TIDE&gt;=1.90 required (Loadout start)</t>
  </si>
  <si>
    <t>LO-01</t>
  </si>
  <si>
    <t>Loadout TR1 onto LCT</t>
  </si>
  <si>
    <t>OK 2.01m (12:00-16:00)</t>
  </si>
  <si>
    <t>SF-01</t>
  </si>
  <si>
    <t>Sea fastening + MWS checks (TR1)</t>
  </si>
  <si>
    <t>Mammoet/KFS/MWS</t>
  </si>
  <si>
    <t>Lashing + survey</t>
  </si>
  <si>
    <t>SAIL-01</t>
  </si>
  <si>
    <t>Sail-away MZP→AGI</t>
  </si>
  <si>
    <t>LCT</t>
  </si>
  <si>
    <t>WX gate</t>
  </si>
  <si>
    <t>UL-01-1</t>
  </si>
  <si>
    <t>Unload TR1 at AGI (1 unit/day)</t>
  </si>
  <si>
    <t>RORO + ramp</t>
  </si>
  <si>
    <t>TURN-01-1</t>
  </si>
  <si>
    <t>Turning TR1 (90°)</t>
  </si>
  <si>
    <t>3.0d/unit</t>
  </si>
  <si>
    <t>JD-01-1</t>
  </si>
  <si>
    <t>Jackdown TR1</t>
  </si>
  <si>
    <t>1.0d/unit</t>
  </si>
  <si>
    <t>RET-01</t>
  </si>
  <si>
    <t>LCT Return AGI→MZP</t>
  </si>
  <si>
    <t>After final JD</t>
  </si>
  <si>
    <t>BUF-01</t>
  </si>
  <si>
    <t>Buffer / reset</t>
  </si>
  <si>
    <t>All</t>
  </si>
  <si>
    <t>contingency</t>
  </si>
  <si>
    <t>VOYAGE 2: TR2 Transport</t>
  </si>
  <si>
    <t>LO-02</t>
  </si>
  <si>
    <t>OK 2.03m (06:00-09:00, 15:00-18:00)</t>
  </si>
  <si>
    <t>SF-02</t>
  </si>
  <si>
    <t>Sea fastening + MWS checks (TR2)</t>
  </si>
  <si>
    <t>SAIL-02</t>
  </si>
  <si>
    <t>UL-02-1</t>
  </si>
  <si>
    <t>Unload TR2 at AGI (1 unit/day)</t>
  </si>
  <si>
    <t>TURN-02-1</t>
  </si>
  <si>
    <t>Turning TR2 (90°)</t>
  </si>
  <si>
    <t>JD-02-1</t>
  </si>
  <si>
    <t>Jackdown TR2</t>
  </si>
  <si>
    <t>RET-02</t>
  </si>
  <si>
    <t>BUF-02</t>
  </si>
  <si>
    <t>LO-03</t>
  </si>
  <si>
    <t>Loadout TR3 onto LCT</t>
  </si>
  <si>
    <t>OK 1.90m (12:00-15:00)</t>
  </si>
  <si>
    <t>SF-03</t>
  </si>
  <si>
    <t>Sea fastening + MWS checks (TR3)</t>
  </si>
  <si>
    <t>SAIL-03</t>
  </si>
  <si>
    <t>UL-03-1</t>
  </si>
  <si>
    <t>Unload TR3 at AGI (1 unit/day)</t>
  </si>
  <si>
    <t>TURN-03-1</t>
  </si>
  <si>
    <t>Turning TR3 (90°)</t>
  </si>
  <si>
    <t>JD-03-1</t>
  </si>
  <si>
    <t>Jackdown TR3</t>
  </si>
  <si>
    <t>RET-03</t>
  </si>
  <si>
    <t>BUF-03</t>
  </si>
  <si>
    <t>VOYAGE 4: TR4 Transport</t>
  </si>
  <si>
    <t>LO-04</t>
  </si>
  <si>
    <t>Loadout TR4 onto LCT</t>
  </si>
  <si>
    <t>OK 2.01m (05:00-09:00, 15:00-18:00)</t>
  </si>
  <si>
    <t>SF-04</t>
  </si>
  <si>
    <t>Sea fastening + MWS checks (TR4)</t>
  </si>
  <si>
    <t>SAIL-04</t>
  </si>
  <si>
    <t>UL-04-1</t>
  </si>
  <si>
    <t>Unload TR4 at AGI (1 unit/day)</t>
  </si>
  <si>
    <t>TURN-04-1</t>
  </si>
  <si>
    <t>Turning TR4 (90°)</t>
  </si>
  <si>
    <t>JD-04-1</t>
  </si>
  <si>
    <t>Jackdown TR4</t>
  </si>
  <si>
    <t>RET-04</t>
  </si>
  <si>
    <t>BUF-04</t>
  </si>
  <si>
    <t>LO-05</t>
  </si>
  <si>
    <t>Loadout TR5 onto LCT</t>
  </si>
  <si>
    <t>TIDE_TBD(after 2026-02-28)</t>
  </si>
  <si>
    <t>SF-05</t>
  </si>
  <si>
    <t>Sea fastening + MWS checks (TR5)</t>
  </si>
  <si>
    <t>SAIL-05</t>
  </si>
  <si>
    <t>UL-05-1</t>
  </si>
  <si>
    <t>Unload TR5 at AGI (1 unit/day)</t>
  </si>
  <si>
    <t>TURN-05-1</t>
  </si>
  <si>
    <t>Turning TR5 (90°)</t>
  </si>
  <si>
    <t>JD-05-1</t>
  </si>
  <si>
    <t>Jackdown TR5</t>
  </si>
  <si>
    <t>RET-05</t>
  </si>
  <si>
    <t>BUF-05</t>
  </si>
  <si>
    <t>VOYAGE 6: TR6 Transport</t>
  </si>
  <si>
    <t>LO-06</t>
  </si>
  <si>
    <t>Loadout TR6 onto LCT</t>
  </si>
  <si>
    <t>SF-06</t>
  </si>
  <si>
    <t>Sea fastening + MWS checks (TR6)</t>
  </si>
  <si>
    <t>SAIL-06</t>
  </si>
  <si>
    <t>UL-06-1</t>
  </si>
  <si>
    <t>Unload TR6 at AGI (1 unit/day)</t>
  </si>
  <si>
    <t>TURN-06-1</t>
  </si>
  <si>
    <t>Turning TR6 (90°)</t>
  </si>
  <si>
    <t>JD-06-1</t>
  </si>
  <si>
    <t>Jackdown TR6</t>
  </si>
  <si>
    <t>RET-06</t>
  </si>
  <si>
    <t>BUF-06</t>
  </si>
  <si>
    <t>VOYAGE 7: TR7 Transport</t>
  </si>
  <si>
    <t>LO-07</t>
  </si>
  <si>
    <t>Loadout TR7 onto LCT</t>
  </si>
  <si>
    <t>SF-07</t>
  </si>
  <si>
    <t>Sea fastening + MWS checks (TR7)</t>
  </si>
  <si>
    <t>SAIL-07</t>
  </si>
  <si>
    <t>UL-07-1</t>
  </si>
  <si>
    <t>Unload TR7 at AGI (1 unit/day)</t>
  </si>
  <si>
    <t>TURN-07-1</t>
  </si>
  <si>
    <t>Turning TR7 (90°)</t>
  </si>
  <si>
    <t>JD-07-1</t>
  </si>
  <si>
    <t>Jackdown TR7</t>
  </si>
  <si>
    <t>RET-07</t>
  </si>
  <si>
    <t>BUF-07</t>
  </si>
  <si>
    <t>AGI TR Transportation - ScenarioA Gantt Chart</t>
  </si>
  <si>
    <t>Orange Zone = Winter Shamal Risk Period (Feb 05-14) | Tide ≥1.90m + Weather Gate | VBA: RefreshGanttChart_ScenarioA로 색상 갱신</t>
  </si>
  <si>
    <t>AGI TR Transportation - ScenarioB Schedule</t>
  </si>
  <si>
    <t>VOYAGE 2: TR2-TR3 Transport</t>
  </si>
  <si>
    <t>Loadout TR2-TR3 onto LCT</t>
  </si>
  <si>
    <t>Sea fastening + MWS checks (TR2-TR3)</t>
  </si>
  <si>
    <t>UL-02-2</t>
  </si>
  <si>
    <t>TURN-02-2</t>
  </si>
  <si>
    <t>JD-02-2</t>
  </si>
  <si>
    <t>VOYAGE 3: TR4-TR5 Transport</t>
  </si>
  <si>
    <t>Loadout TR4-TR5 onto LCT</t>
  </si>
  <si>
    <t>Sea fastening + MWS checks (TR4-TR5)</t>
  </si>
  <si>
    <t>UL-03-2</t>
  </si>
  <si>
    <t>TURN-03-2</t>
  </si>
  <si>
    <t>JD-03-2</t>
  </si>
  <si>
    <t>VOYAGE 4: TR6-TR7 Transport</t>
  </si>
  <si>
    <t>Loadout TR6-TR7 onto LCT</t>
  </si>
  <si>
    <t>Sea fastening + MWS checks (TR6-TR7)</t>
  </si>
  <si>
    <t>UL-04-2</t>
  </si>
  <si>
    <t>TURN-04-2</t>
  </si>
  <si>
    <t>JD-04-2</t>
  </si>
  <si>
    <t>AGI TR Transportation - ScenarioB Gantt Chart</t>
  </si>
  <si>
    <t>Orange Zone = Winter Shamal Risk Period (Feb 05-14) | Tide ≥1.90m + Weather Gate | VBA: RefreshGanttChart_ScenarioB로 색상 갱신</t>
  </si>
  <si>
    <t>MINA ZAYED PORT - High Tide Data</t>
  </si>
  <si>
    <t>Tide ≥1.90m required for Load-out and AGI Arrival | VBA: RefreshTideData로 업데이트</t>
  </si>
  <si>
    <t>Date</t>
  </si>
  <si>
    <t>High Tide Window</t>
  </si>
  <si>
    <t>Max Height (m)</t>
  </si>
  <si>
    <t>Risk Level</t>
  </si>
  <si>
    <t>09:00-13:00</t>
  </si>
  <si>
    <t>LOW</t>
  </si>
  <si>
    <t>10:00-14:00</t>
  </si>
  <si>
    <t>MEDIUM</t>
  </si>
  <si>
    <t>09:00-12:00</t>
  </si>
  <si>
    <t>HIGH</t>
  </si>
  <si>
    <t>10:00-15:00</t>
  </si>
  <si>
    <t>11:00-15:00</t>
  </si>
  <si>
    <t>12:00-16:00</t>
  </si>
  <si>
    <t>13:00-17:00</t>
  </si>
  <si>
    <t>04:00-06:00, 14:00-17:00</t>
  </si>
  <si>
    <t>04:00-07:00, 15:00-17:00</t>
  </si>
  <si>
    <t>05:00-08:00, 15:00-18:00</t>
  </si>
  <si>
    <t>06:00-09:00, 15:00-18:00</t>
  </si>
  <si>
    <t>06:00-10:00, 16:00-18:00</t>
  </si>
  <si>
    <t>07:00-10:00, 16:00-19:00</t>
  </si>
  <si>
    <t>08:00-12:00</t>
  </si>
  <si>
    <t>11:00-14:00</t>
  </si>
  <si>
    <t>12:00-15:00</t>
  </si>
  <si>
    <t>13:00-16:00</t>
  </si>
  <si>
    <t>05:00-09:00, 15:00-18:00</t>
  </si>
  <si>
    <t>07:00-10:00, 16:00-18:00</t>
  </si>
  <si>
    <t>10:36-12:30</t>
  </si>
  <si>
    <t>11:35-13:33</t>
  </si>
  <si>
    <t>12:35-14:17</t>
  </si>
  <si>
    <t>13:48-14:24</t>
  </si>
  <si>
    <t>04:00-05:00</t>
  </si>
  <si>
    <t>04:48-05:10</t>
  </si>
  <si>
    <t>01:56-03:09</t>
  </si>
  <si>
    <t>01:49-04:17</t>
  </si>
  <si>
    <t>02:00-05:10</t>
  </si>
  <si>
    <t>02:27-05:56</t>
  </si>
  <si>
    <t>03:08-06:35</t>
  </si>
  <si>
    <t>04:18-07:11</t>
  </si>
  <si>
    <t>AGI TR Transportation - Scenario Comparison</t>
  </si>
  <si>
    <t>Metric</t>
  </si>
  <si>
    <t>ScenarioA (1x1x1x1x1x1x1)</t>
  </si>
  <si>
    <t>ScenarioB (1-2-2-2)</t>
  </si>
  <si>
    <t>Difference</t>
  </si>
  <si>
    <t>Total Tasks</t>
  </si>
  <si>
    <t>Task count difference</t>
  </si>
  <si>
    <t>Total Voyages</t>
  </si>
  <si>
    <t>Project Duration (days)</t>
  </si>
  <si>
    <t>Days difference</t>
  </si>
  <si>
    <t>Total Jack-down Events</t>
  </si>
  <si>
    <t>Project End Date</t>
  </si>
  <si>
    <t>Date difference</t>
  </si>
  <si>
    <t>UAE Winter Weather Analysis - Jan 2026</t>
  </si>
  <si>
    <t>Parameter</t>
  </si>
  <si>
    <t>Jan 15-24</t>
  </si>
  <si>
    <t>Jan 25-Feb 03</t>
  </si>
  <si>
    <t>Feb 04-13</t>
  </si>
  <si>
    <t>Feb 14-23</t>
  </si>
  <si>
    <t>Feb 24-28</t>
  </si>
  <si>
    <t>Avg Wind (kt)</t>
  </si>
  <si>
    <t>11-13</t>
  </si>
  <si>
    <t>16-21</t>
  </si>
  <si>
    <t>Peak Shamal: Feb 05-14</t>
  </si>
  <si>
    <t>Max Gust (kt)</t>
  </si>
  <si>
    <t>18-20</t>
  </si>
  <si>
    <t>25-30</t>
  </si>
  <si>
    <t>NO-GO if &gt;22kt gust</t>
  </si>
  <si>
    <t>Wave Height (m)</t>
  </si>
  <si>
    <t>0.4-0.6</t>
  </si>
  <si>
    <t>0.8-1.2</t>
  </si>
  <si>
    <t>HOLD if &gt;0.8m</t>
  </si>
  <si>
    <t>Visibility (km)</t>
  </si>
  <si>
    <t>8-10</t>
  </si>
  <si>
    <t>2-5</t>
  </si>
  <si>
    <t>Reduced during Shamal</t>
  </si>
  <si>
    <t>Recommendation</t>
  </si>
  <si>
    <t>GO</t>
  </si>
  <si>
    <t>NO-GO</t>
  </si>
  <si>
    <t>AGI HVDC Transformer Transportation - Project Summary</t>
  </si>
  <si>
    <t>Key Parameters</t>
  </si>
  <si>
    <t>Total Transformers</t>
  </si>
  <si>
    <t>7 units (TR1-TR7)</t>
  </si>
  <si>
    <t>Weight per TR</t>
  </si>
  <si>
    <t>217-271 tons</t>
  </si>
  <si>
    <t>7 (1 TR per voyage)</t>
  </si>
  <si>
    <t>Jack-down Events</t>
  </si>
  <si>
    <t>4 (after V2, V4, V6, V7)</t>
  </si>
  <si>
    <t>Vessel</t>
  </si>
  <si>
    <t>LCT BUSHRA</t>
  </si>
  <si>
    <t>Route</t>
  </si>
  <si>
    <t>Mina Zayed Port ↔ AGI Site</t>
  </si>
  <si>
    <t>Schedule Summary</t>
  </si>
  <si>
    <t>Project Start</t>
  </si>
  <si>
    <t>Target End</t>
  </si>
  <si>
    <t>Mobilization</t>
  </si>
  <si>
    <t>Day 0-1</t>
  </si>
  <si>
    <t>Voyage 1 (TR1 Transport (single))</t>
  </si>
  <si>
    <t>Day 3-7</t>
  </si>
  <si>
    <t>Voyage 2 (TR2 Transport + JD-1)</t>
  </si>
  <si>
    <t>Day 11-23</t>
  </si>
  <si>
    <t>Voyage 3 (TR3 Transport)</t>
  </si>
  <si>
    <t>Day 32-37</t>
  </si>
  <si>
    <t>Voyage 4 (TR4 Transport + JD-2)</t>
  </si>
  <si>
    <t>Day 39-45</t>
  </si>
  <si>
    <t>Voyage 5 (TR5 Transport)</t>
  </si>
  <si>
    <t>Day 46-50</t>
  </si>
  <si>
    <t>Voyage 6 (TR6 Transport + JD-3)</t>
  </si>
  <si>
    <t>Day 53-65</t>
  </si>
  <si>
    <t>Voyage 7 (TR7 Transport + JD-4)</t>
  </si>
  <si>
    <t>Day 68-78</t>
  </si>
  <si>
    <t>Project Complete</t>
  </si>
  <si>
    <t>Weather Constraints</t>
  </si>
  <si>
    <t>Shamal Period</t>
  </si>
  <si>
    <t>Feb 05-14, 2026</t>
  </si>
  <si>
    <t>Tide Requirement</t>
  </si>
  <si>
    <t>≥1.90m for LO/ARR</t>
  </si>
  <si>
    <t>Wind Limit</t>
  </si>
  <si>
    <t>≤18kt sustained, ≤22kt gust</t>
  </si>
  <si>
    <t>Wave Limit</t>
  </si>
  <si>
    <t>≤0.8m (HOLD), ≤1.0m (NO-GO)</t>
  </si>
  <si>
    <t>AGI Draft Limit</t>
  </si>
  <si>
    <t>≤2.70m forward draft</t>
  </si>
  <si>
    <t>📋 VBA 코드 - Alt+F11 → Module에 붙여넣기 → .xlsm으로 저장</t>
  </si>
  <si>
    <t>Option Explicit</t>
  </si>
  <si>
    <t>' ============================================</t>
  </si>
  <si>
    <t>' AGI TR Multi-Scenario Master Gantt - VBA Macros</t>
  </si>
  <si>
    <t>' 사용법: Alt+F11 → Module 삽입 → 코드 붙여넣기</t>
  </si>
  <si>
    <t>' === 통합 업데이트 함수 ===</t>
  </si>
  <si>
    <t>Sub UpdateAllScenarios()</t>
  </si>
  <si>
    <t xml:space="preserve">    Application.ScreenUpdating = False</t>
  </si>
  <si>
    <t xml:space="preserve">    Application.Calculation = xlCalculationManual</t>
  </si>
  <si>
    <t xml:space="preserve">    </t>
  </si>
  <si>
    <t xml:space="preserve">    On Error Resume Next</t>
  </si>
  <si>
    <t xml:space="preserve">    Sheets("Schedule_Data_ScenarioA").Calculate</t>
  </si>
  <si>
    <t xml:space="preserve">    Sheets("Gantt_Chart_ScenarioA").Calculate</t>
  </si>
  <si>
    <t xml:space="preserve">    Sheets("Schedule_Data_ScenarioB").Calculate</t>
  </si>
  <si>
    <t xml:space="preserve">    Sheets("Gantt_Chart_ScenarioB").Calculate</t>
  </si>
  <si>
    <t xml:space="preserve">    Sheets("Tide_Data").Calculate</t>
  </si>
  <si>
    <t xml:space="preserve">    Sheets("Scenario_Comparison").Calculate</t>
  </si>
  <si>
    <t xml:space="preserve">    On Error GoTo 0</t>
  </si>
  <si>
    <t xml:space="preserve">    Sheets("Schedule_Data").Calculate</t>
  </si>
  <si>
    <t xml:space="preserve">    Sheets("Gantt_Chart").Calculate</t>
  </si>
  <si>
    <t xml:space="preserve">    Sheets("Control_Panel").Calculate</t>
  </si>
  <si>
    <t xml:space="preserve">    Sheets("Summary").Calculate</t>
  </si>
  <si>
    <t xml:space="preserve">    Sheets("Weather_Analysis").Calculate</t>
  </si>
  <si>
    <t xml:space="preserve">    Call RefreshAllGanttCharts</t>
  </si>
  <si>
    <t xml:space="preserve">    Application.Calculation = xlCalculationAutomatic</t>
  </si>
  <si>
    <t xml:space="preserve">    Application.ScreenUpdating = True</t>
  </si>
  <si>
    <t xml:space="preserve">    MsgBox "✅ 모든 시나리오 업데이트 완료!", vbInformation, "Update Complete"</t>
  </si>
  <si>
    <t>End Sub</t>
  </si>
  <si>
    <t>' === 모든 Gantt 차트 색상 갱신 ===</t>
  </si>
  <si>
    <t>Sub RefreshAllGanttCharts()</t>
  </si>
  <si>
    <t xml:space="preserve">    Call RefreshGanttChart_ScenarioA</t>
  </si>
  <si>
    <t xml:space="preserve">    Call RefreshGanttChart_ScenarioB</t>
  </si>
  <si>
    <t xml:space="preserve">    Call RefreshGanttChart</t>
  </si>
  <si>
    <t>' === ScenarioA Gantt 갱신 ===</t>
  </si>
  <si>
    <t>Sub RefreshGanttChart_ScenarioA()</t>
  </si>
  <si>
    <t xml:space="preserve">    Dim ws As Worksheet, wsd As Worksheet</t>
  </si>
  <si>
    <t xml:space="preserve">    Dim i As Long, j As Long, lastRow As Long, ganttRow As Long</t>
  </si>
  <si>
    <t xml:space="preserve">    Dim startD As Date, endD As Date, projStart As Date, cellDate As Date</t>
  </si>
  <si>
    <t xml:space="preserve">    Dim phase As String, dc As Long, lastCol As Long, maxJ As Long</t>
  </si>
  <si>
    <t xml:space="preserve">    Dim shamalStart As Date, shamalEnd As Date</t>
  </si>
  <si>
    <t xml:space="preserve">    Set ws = Sheets("Gantt_Chart_ScenarioA")</t>
  </si>
  <si>
    <t xml:space="preserve">    Set wsd = Sheets("Schedule_Data_ScenarioA")</t>
  </si>
  <si>
    <t xml:space="preserve">    projStart = Sheets("Control_Panel").Range("B4").Value</t>
  </si>
  <si>
    <t xml:space="preserve">    shamalStart = Sheets("Control_Panel").Range("H5").Value</t>
  </si>
  <si>
    <t xml:space="preserve">    shamalEnd = Sheets("Control_Panel").Range("H6").Value</t>
  </si>
  <si>
    <t xml:space="preserve">    dc = 8</t>
  </si>
  <si>
    <t xml:space="preserve">    lastCol = ws.Cells(4, ws.Columns.Count).End(xlToLeft).Column</t>
  </si>
  <si>
    <t xml:space="preserve">    maxJ = lastCol - dc</t>
  </si>
  <si>
    <t xml:space="preserve">    lastRow = wsd.Cells(wsd.Rows.Count, 1).End(xlUp).Row</t>
  </si>
  <si>
    <t xml:space="preserve">    ws.Range(ws.Cells(5, dc), ws.Cells(lastRow, lastCol)).Interior.ColorIndex = xlNone</t>
  </si>
  <si>
    <t xml:space="preserve">    For j = 0 To maxJ</t>
  </si>
  <si>
    <t xml:space="preserve">        ws.Cells(4, dc + j).Interior.Color = RGB(31, 78, 121)</t>
  </si>
  <si>
    <t xml:space="preserve">        cellDate = projStart + j</t>
  </si>
  <si>
    <t xml:space="preserve">        If cellDate &gt;= shamalStart And cellDate &lt;= shamalEnd Then</t>
  </si>
  <si>
    <t xml:space="preserve">            ws.Cells(4, dc + j).Interior.Color = RGB(255, 152, 0)</t>
  </si>
  <si>
    <t xml:space="preserve">        End If</t>
  </si>
  <si>
    <t xml:space="preserve">    Next j</t>
  </si>
  <si>
    <t xml:space="preserve">    For i = 6 To lastRow</t>
  </si>
  <si>
    <t xml:space="preserve">        If IsDate(wsd.Cells(i, 6).Value) And wsd.Cells(i, 6).Value &lt;&gt; "" Then</t>
  </si>
  <si>
    <t xml:space="preserve">            startD = wsd.Cells(i, 6).Value</t>
  </si>
  <si>
    <t xml:space="preserve">            If IsDate(wsd.Cells(i, 7).Value) Then</t>
  </si>
  <si>
    <t xml:space="preserve">                endD = wsd.Cells(i, 7).Value</t>
  </si>
  <si>
    <t xml:space="preserve">            Else</t>
  </si>
  <si>
    <t xml:space="preserve">                endD = startD</t>
  </si>
  <si>
    <t xml:space="preserve">            End If</t>
  </si>
  <si>
    <t xml:space="preserve">            phase = wsd.Cells(i, 4).Value</t>
  </si>
  <si>
    <t xml:space="preserve">            </t>
  </si>
  <si>
    <t xml:space="preserve">            ganttRow = i - 1</t>
  </si>
  <si>
    <t xml:space="preserve">            For j = 0 To maxJ</t>
  </si>
  <si>
    <t xml:space="preserve">                cellDate = projStart + j</t>
  </si>
  <si>
    <t xml:space="preserve">                If cellDate &gt;= startD And cellDate &lt; endD Then</t>
  </si>
  <si>
    <t xml:space="preserve">                    ws.Cells(ganttRow, dc + j).Interior.Color = GetPhaseColor(phase)</t>
  </si>
  <si>
    <t xml:space="preserve">                ElseIf cellDate = startD And startD = endD Then</t>
  </si>
  <si>
    <t xml:space="preserve">                    ws.Cells(ganttRow, dc + j).Value = Chr(9733)</t>
  </si>
  <si>
    <t xml:space="preserve">                    ws.Cells(ganttRow, dc + j).HorizontalAlignment = xlCenter</t>
  </si>
  <si>
    <t xml:space="preserve">                    ws.Cells(ganttRow, dc + j).Font.Size = 8</t>
  </si>
  <si>
    <t xml:space="preserve">                End If</t>
  </si>
  <si>
    <t xml:space="preserve">            Next j</t>
  </si>
  <si>
    <t xml:space="preserve">    Next i</t>
  </si>
  <si>
    <t>' === ScenarioB Gantt 갱신 ===</t>
  </si>
  <si>
    <t>Sub RefreshGanttChart_ScenarioB()</t>
  </si>
  <si>
    <t xml:space="preserve">    Set ws = Sheets("Gantt_Chart_ScenarioB")</t>
  </si>
  <si>
    <t xml:space="preserve">    Set wsd = Sheets("Schedule_Data_ScenarioB")</t>
  </si>
  <si>
    <t>' === 조석 데이터 갱신 ===</t>
  </si>
  <si>
    <t>Sub RefreshTideData()</t>
  </si>
  <si>
    <t xml:space="preserve">    Dim ws As Worksheet</t>
  </si>
  <si>
    <t xml:space="preserve">    Dim i As Long</t>
  </si>
  <si>
    <t xml:space="preserve">    Dim tideThreshold As Double</t>
  </si>
  <si>
    <t xml:space="preserve">    Set ws = Sheets("Tide_Data")</t>
  </si>
  <si>
    <t xml:space="preserve">    tideThreshold = Sheets("Control_Panel").Range("H7").Value</t>
  </si>
  <si>
    <t xml:space="preserve">    If tideThreshold = 0 Then tideThreshold = 1.9</t>
  </si>
  <si>
    <t xml:space="preserve">    For i = 5 To ws.Cells(ws.Rows.Count, 1).End(xlUp).Row</t>
  </si>
  <si>
    <t xml:space="preserve">        If IsNumeric(ws.Cells(i, 3).Value) Then</t>
  </si>
  <si>
    <t xml:space="preserve">            If ws.Cells(i, 3).Value &gt;= tideThreshold Then</t>
  </si>
  <si>
    <t xml:space="preserve">                ws.Cells(i, 3).Font.Bold = True</t>
  </si>
  <si>
    <t xml:space="preserve">                ws.Cells(i, 3).Font.Color = RGB(0, 102, 204)</t>
  </si>
  <si>
    <t xml:space="preserve">                ws.Cells(i, 1).Interior.Color = RGB(227, 242, 253)</t>
  </si>
  <si>
    <t xml:space="preserve">    MsgBox "✅ 조석 데이터 강조 완료 (Tide ≥" &amp; Format(tideThreshold, "0.00") &amp; "m)", vbInformation</t>
  </si>
  <si>
    <t>' === 1. 전체 일정 업데이트 ===</t>
  </si>
  <si>
    <t>Sub UpdateAllSchedules()</t>
  </si>
  <si>
    <t xml:space="preserve">    MsgBox "✅ 일정 업데이트 완료!" &amp; vbCrLf &amp; vbCrLf &amp; _</t>
  </si>
  <si>
    <t xml:space="preserve">           "프로젝트 시작: " &amp; Format(Sheets("Control_Panel").Range("B4").Value, "YYYY-MM-DD") &amp; vbCrLf &amp; _</t>
  </si>
  <si>
    <t xml:space="preserve">           "예상 완료: " &amp; Format(Sheets("Control_Panel").Range("B9").Value, "YYYY-MM-DD"), _</t>
  </si>
  <si>
    <t xml:space="preserve">           vbInformation, "Schedule Updated"</t>
  </si>
  <si>
    <t>' === 2. Gantt Chart 색상 갱신 ===</t>
  </si>
  <si>
    <t>Sub RefreshGanttChart()</t>
  </si>
  <si>
    <t xml:space="preserve">    Set ws = Sheets("Gantt_Chart")</t>
  </si>
  <si>
    <t xml:space="preserve">    Set wsd = Sheets("Schedule_Data")</t>
  </si>
  <si>
    <t xml:space="preserve">    dc = 8 ' Date columns start at H</t>
  </si>
  <si>
    <t xml:space="preserve">    ' Clear existing colors in date columns</t>
  </si>
  <si>
    <t xml:space="preserve">    ' Reset header colors + Shamal highlight</t>
  </si>
  <si>
    <t xml:space="preserve">        ws.Cells(4, dc + j).Interior.Color = RGB(31, 78, 121) ' HEADER color</t>
  </si>
  <si>
    <t xml:space="preserve">            ws.Cells(4, dc + j).Interior.Color = RGB(255, 152, 0) ' Orange</t>
  </si>
  <si>
    <t xml:space="preserve">    ' Apply Gantt bars</t>
  </si>
  <si>
    <t xml:space="preserve">                    ws.Cells(ganttRow, dc + j).Value = Chr(9733) ' Star</t>
  </si>
  <si>
    <t xml:space="preserve">    ' Highlight today</t>
  </si>
  <si>
    <t xml:space="preserve">        If cellDate = Date Then</t>
  </si>
  <si>
    <t xml:space="preserve">            ws.Range(ws.Cells(4, dc + j), ws.Cells(lastRow, dc + j)).Borders(xlEdgeLeft).Color = RGB(255, 0, 0)</t>
  </si>
  <si>
    <t xml:space="preserve">            ws.Range(ws.Cells(4, dc + j), ws.Cells(lastRow, dc + j)).Borders(xlEdgeLeft).Weight = xlThick</t>
  </si>
  <si>
    <t xml:space="preserve">            Exit For</t>
  </si>
  <si>
    <t>' === Phase Color Helper ===</t>
  </si>
  <si>
    <t>Function GetPhaseColor(phase As String) As Long</t>
  </si>
  <si>
    <t xml:space="preserve">    Select Case phase</t>
  </si>
  <si>
    <t xml:space="preserve">        Case "MOBILIZATION": GetPhaseColor = RGB(142, 124, 195)</t>
  </si>
  <si>
    <t xml:space="preserve">        Case "DECK_PREP": GetPhaseColor = RGB(111, 168, 220)</t>
  </si>
  <si>
    <t xml:space="preserve">        Case "LOADOUT": GetPhaseColor = RGB(147, 196, 125)</t>
  </si>
  <si>
    <t xml:space="preserve">        Case "SEAFAST": GetPhaseColor = RGB(118, 165, 175)</t>
  </si>
  <si>
    <t xml:space="preserve">        Case "SAIL": GetPhaseColor = RGB(164, 194, 244)</t>
  </si>
  <si>
    <t xml:space="preserve">        Case "AGI_UNLOAD": GetPhaseColor = RGB(246, 178, 107)</t>
  </si>
  <si>
    <t xml:space="preserve">        Case "TURNING": GetPhaseColor = RGB(255, 217, 102)</t>
  </si>
  <si>
    <t xml:space="preserve">        Case "JACKDOWN": GetPhaseColor = RGB(224, 102, 102)</t>
  </si>
  <si>
    <t xml:space="preserve">        Case "RETURN": GetPhaseColor = RGB(153, 153, 153)</t>
  </si>
  <si>
    <t xml:space="preserve">        Case "BUFFER": GetPhaseColor = RGB(217, 217, 217)</t>
  </si>
  <si>
    <t xml:space="preserve">        Case "MILESTONE": GetPhaseColor = RGB(255, 0, 0)</t>
  </si>
  <si>
    <t xml:space="preserve">        Case Else: GetPhaseColor = RGB(255, 255, 255)</t>
  </si>
  <si>
    <t xml:space="preserve">    End Select</t>
  </si>
  <si>
    <t>End Function</t>
  </si>
  <si>
    <t>' === 3. 프로젝트 리포트 생성 ===</t>
  </si>
  <si>
    <t>Sub GenerateReport()</t>
  </si>
  <si>
    <t xml:space="preserve">    Dim wsd As Worksheet</t>
  </si>
  <si>
    <t xml:space="preserve">    Dim i As Long, total As Long, jdCount As Long, lastRow As Long</t>
  </si>
  <si>
    <t xml:space="preserve">    Dim voyages As Long, milestones As Long</t>
  </si>
  <si>
    <t xml:space="preserve">        If wsd.Cells(i, 1).Value &lt;&gt; "" Then</t>
  </si>
  <si>
    <t xml:space="preserve">            total = total + 1</t>
  </si>
  <si>
    <t xml:space="preserve">            If wsd.Cells(i, 4).Value = "JACKDOWN" Then jdCount = jdCount + 1</t>
  </si>
  <si>
    <t xml:space="preserve">            If wsd.Cells(i, 4).Value = "MILESTONE" Then milestones = milestones + 1</t>
  </si>
  <si>
    <t xml:space="preserve">            If Left(wsd.Cells(i, 1).Value, 1) = "V" And Len(wsd.Cells(i, 1).Value) = 2 Then voyages = voyages + 1</t>
  </si>
  <si>
    <t xml:space="preserve">    Dim rpt As String</t>
  </si>
  <si>
    <t xml:space="preserve">    rpt = "╔══════════════════════════════════════╗" &amp; vbCrLf &amp; _</t>
  </si>
  <si>
    <t xml:space="preserve">          "║   AGI HVDC TR Transportation Report  ║" &amp; vbCrLf &amp; _</t>
  </si>
  <si>
    <t xml:space="preserve">          "╠══════════════════════════════════════╣" &amp; vbCrLf &amp; _</t>
  </si>
  <si>
    <t xml:space="preserve">          "║ Report Date: " &amp; Format(Now, "YYYY-MM-DD HH:MM") &amp; "      ║" &amp; vbCrLf &amp; _</t>
  </si>
  <si>
    <t xml:space="preserve">          "║ PROJECT STATUS                       ║" &amp; vbCrLf &amp; _</t>
  </si>
  <si>
    <t xml:space="preserve">          "║  Total Tasks: " &amp; total &amp; "                      ║" &amp; vbCrLf &amp; _</t>
  </si>
  <si>
    <t xml:space="preserve">          "║  Voyages: " &amp; voyages &amp; "                          ║" &amp; vbCrLf &amp; _</t>
  </si>
  <si>
    <t xml:space="preserve">          "║  Jack-down Events: " &amp; jdCount &amp; "                 ║" &amp; vbCrLf &amp; _</t>
  </si>
  <si>
    <t xml:space="preserve">          "║  Milestones: " &amp; milestones &amp; "                       ║" &amp; vbCrLf &amp; _</t>
  </si>
  <si>
    <t xml:space="preserve">          "║ KEY DATES                            ║" &amp; vbCrLf &amp; _</t>
  </si>
  <si>
    <t xml:space="preserve">          "║  Start: " &amp; Format(Sheets("Control_Panel").Range("B4").Value, "YYYY-MM-DD") &amp; "              ║" &amp; vbCrLf &amp; _</t>
  </si>
  <si>
    <t xml:space="preserve">          "║  Target: " &amp; Format(Sheets("Control_Panel").Range("B5").Value, "YYYY-MM-DD") &amp; "             ║" &amp; vbCrLf &amp; _</t>
  </si>
  <si>
    <t xml:space="preserve">          "║  Est.End: " &amp; Format(Sheets("Control_Panel").Range("B9").Value, "YYYY-MM-DD") &amp; "            ║" &amp; vbCrLf &amp; _</t>
  </si>
  <si>
    <t xml:space="preserve">          "║  Status: " &amp; Sheets("Control_Panel").Range("B11").Value &amp; "               ║" &amp; vbCrLf &amp; _</t>
  </si>
  <si>
    <t xml:space="preserve">          "║ WEATHER RISK                         ║" &amp; vbCrLf &amp; _</t>
  </si>
  <si>
    <t xml:space="preserve">          "║  Shamal: " &amp; Format(Sheets("Control_Panel").Range("H5").Value, "MM/DD") &amp; " - " &amp; Format(Sheets("Control_Panel").Range("H6").Value, "MM/DD") &amp; "           ║" &amp; vbCrLf &amp; _</t>
  </si>
  <si>
    <t xml:space="preserve">          "╚══════════════════════════════════════╝"</t>
  </si>
  <si>
    <t xml:space="preserve">    MsgBox rpt, vbInformation, "Project Report"</t>
  </si>
  <si>
    <t>' === 4. PDF 내보내기 ===</t>
  </si>
  <si>
    <t>Sub ExportToPDF()</t>
  </si>
  <si>
    <t xml:space="preserve">    Dim fp As String</t>
  </si>
  <si>
    <t xml:space="preserve">    fp = ThisWorkbook.Path &amp; "\AGI_TR_Gantt_" &amp; Format(Date, "YYYYMMDD") &amp; ".pdf"</t>
  </si>
  <si>
    <t xml:space="preserve">    Sheets(Array("Schedule_Data", "Gantt_Chart", "Summary")).Select</t>
  </si>
  <si>
    <t xml:space="preserve">    ActiveSheet.ExportAsFixedFormat xlTypePDF, fp, xlQualityStandard, True</t>
  </si>
  <si>
    <t xml:space="preserve">    Sheets("Control_Panel").Select</t>
  </si>
  <si>
    <t xml:space="preserve">    MsgBox "✅ PDF 저장 완료:" &amp; vbCrLf &amp; fp, vbInformation, "Export Complete"</t>
  </si>
  <si>
    <t>' === 5. 지연 시뮬레이션 ===</t>
  </si>
  <si>
    <t>Sub SimulateDelay()</t>
  </si>
  <si>
    <t xml:space="preserve">    Dim delayDays As Integer, origStart As Date</t>
  </si>
  <si>
    <t xml:space="preserve">    Dim wsCtrl As Worksheet</t>
  </si>
  <si>
    <t xml:space="preserve">    Set wsCtrl = Sheets("Control_Panel")</t>
  </si>
  <si>
    <t xml:space="preserve">    origStart = wsCtrl.Range("B4").Value</t>
  </si>
  <si>
    <t xml:space="preserve">    delayDays = InputBox("시뮬레이션할 지연 일수를 입력하세요:" &amp; vbCrLf &amp; _</t>
  </si>
  <si>
    <t xml:space="preserve">                         "(현재 시작일: " &amp; Format(origStart, "YYYY-MM-DD") &amp; ")", _</t>
  </si>
  <si>
    <t xml:space="preserve">                         "Delay Simulation", "7")</t>
  </si>
  <si>
    <t xml:space="preserve">    If IsNumeric(delayDays) And delayDays &lt;&gt; 0 Then</t>
  </si>
  <si>
    <t xml:space="preserve">        wsCtrl.Range("B4").Value = origStart + delayDays</t>
  </si>
  <si>
    <t xml:space="preserve">        Call UpdateAllSchedules</t>
  </si>
  <si>
    <t xml:space="preserve">        </t>
  </si>
  <si>
    <t xml:space="preserve">        MsgBox "시뮬레이션 결과:" &amp; vbCrLf &amp; _</t>
  </si>
  <si>
    <t xml:space="preserve">               "새 시작일: " &amp; Format(wsCtrl.Range("B4").Value, "YYYY-MM-DD") &amp; vbCrLf &amp; _</t>
  </si>
  <si>
    <t xml:space="preserve">               "새 완료일: " &amp; Format(wsCtrl.Range("B9").Value, "YYYY-MM-DD") &amp; vbCrLf &amp; _</t>
  </si>
  <si>
    <t xml:space="preserve">               "목표 대비: " &amp; wsCtrl.Range("B11").Value, vbInformation, "Simulation Result"</t>
  </si>
  <si>
    <t xml:space="preserve">        If MsgBox("원래 일정으로 복원하시겠습니까?", vbYesNo + vbQuestion, "Restore?") = vbYes Then</t>
  </si>
  <si>
    <t xml:space="preserve">            wsCtrl.Range("B4").Value = origStart</t>
  </si>
  <si>
    <t xml:space="preserve">            Call UpdateAllSchedules</t>
  </si>
  <si>
    <t xml:space="preserve">    End If</t>
  </si>
  <si>
    <t>' === 6. Critical Path 강조 ===</t>
  </si>
  <si>
    <t>Sub HighlightCritical()</t>
  </si>
  <si>
    <t xml:space="preserve">    Dim wsd As Worksheet, i As Long, lastRow As Long</t>
  </si>
  <si>
    <t xml:space="preserve">    ' Reset</t>
  </si>
  <si>
    <t xml:space="preserve">    wsd.Range(wsd.Cells(6, 1), wsd.Cells(lastRow, 9)).Font.Bold = False</t>
  </si>
  <si>
    <t xml:space="preserve">    wsd.Range(wsd.Cells(6, 1), wsd.Cells(lastRow, 9)).Font.Color = RGB(0, 0, 0)</t>
  </si>
  <si>
    <t xml:space="preserve">    ' Highlight Jack-down and Milestones</t>
  </si>
  <si>
    <t xml:space="preserve">        If wsd.Cells(i, 4).Value = "JACKDOWN" Then</t>
  </si>
  <si>
    <t xml:space="preserve">            wsd.Range(wsd.Cells(i, 1), wsd.Cells(i, 9)).Font.Bold = True</t>
  </si>
  <si>
    <t xml:space="preserve">            wsd.Range(wsd.Cells(i, 1), wsd.Cells(i, 9)).Font.Color = RGB(183, 28, 28)</t>
  </si>
  <si>
    <t xml:space="preserve">        ElseIf wsd.Cells(i, 4).Value = "MILESTONE" Then</t>
  </si>
  <si>
    <t xml:space="preserve">            wsd.Range(wsd.Cells(i, 1), wsd.Cells(i, 9)).Font.Color = RGB(21, 101, 192)</t>
  </si>
  <si>
    <t xml:space="preserve">    MsgBox "✅ Critical Path 강조 완료" &amp; vbCrLf &amp; _</t>
  </si>
  <si>
    <t xml:space="preserve">           "🔴 빨강 = Jack-down (Critical)" &amp; vbCrLf &amp; _</t>
  </si>
  <si>
    <t xml:space="preserve">           "🔵 파랑 = Milestone", vbInformation, "Critical Path"</t>
  </si>
  <si>
    <t>' === 7. 오늘 날짜 하이라이트 ===</t>
  </si>
  <si>
    <t>Sub HighlightToday()</t>
  </si>
  <si>
    <t xml:space="preserve">    Dim ws As Worksheet, j As Long, lastCol As Long, maxJ As Long, lastRow As Long</t>
  </si>
  <si>
    <t xml:space="preserve">    Dim projStart As Date, dc As Long</t>
  </si>
  <si>
    <t xml:space="preserve">    lastRow = ws.Cells(ws.Rows.Count, 1).End(xlUp).Row</t>
  </si>
  <si>
    <t xml:space="preserve">        If projStart + j = Date Then</t>
  </si>
  <si>
    <t xml:space="preserve">            ws.Range(ws.Cells(4, dc + j), ws.Cells(lastRow, dc + j)).Interior.Color = RGB(255, 255, 200)</t>
  </si>
  <si>
    <t xml:space="preserve">            ws.Cells(3, dc + j).Value = "TODAY"</t>
  </si>
  <si>
    <t xml:space="preserve">            ws.Cells(3, dc + j).Font.Bold = True</t>
  </si>
  <si>
    <t xml:space="preserve">            ws.Cells(3, dc + j).Font.Color = RGB(255, 0, 0)</t>
  </si>
  <si>
    <t xml:space="preserve">            MsgBox "오늘 날짜 (" &amp; Format(Date, "MM/DD") &amp; ") 컬럼이 강조되었습니다.", vbInformation</t>
  </si>
  <si>
    <t>' === 8. 날짜 변경 자동 트리거 (Control_Panel 시트에 추가) ===</t>
  </si>
  <si>
    <t>' 아래 코드를 Control_Panel 시트의 코드 영역에 붙여넣으세요:</t>
  </si>
  <si>
    <t>'</t>
  </si>
  <si>
    <t>' Private Sub Worksheet_Change(ByVal Target As Range)</t>
  </si>
  <si>
    <t>'     If Target.Address = "$B$4" Then</t>
  </si>
  <si>
    <t>'         Call UpdateAllSchedules</t>
  </si>
  <si>
    <t>'     End If</t>
  </si>
  <si>
    <t>' End Sub</t>
  </si>
  <si>
    <t>' === 9. 진행률 일괄 업데이트 ===</t>
  </si>
  <si>
    <t>Sub BulkProgressUpdate()</t>
  </si>
  <si>
    <t xml:space="preserve">    Dim pctValue As Double</t>
  </si>
  <si>
    <t xml:space="preserve">    pctValue = InputBox("일괄 적용할 진행률을 입력하세요 (0-100):", "Bulk Progress", "50")</t>
  </si>
  <si>
    <t xml:space="preserve">    If IsNumeric(pctValue) Then</t>
  </si>
  <si>
    <t xml:space="preserve">        pctValue = pctValue / 100</t>
  </si>
  <si>
    <t xml:space="preserve">        Set wsd = Sheets("Schedule_Data")</t>
  </si>
  <si>
    <t xml:space="preserve">        lastRow = wsd.Cells(wsd.Rows.Count, 1).End(xlUp).Row</t>
  </si>
  <si>
    <t xml:space="preserve">        ' Progress 컬럼이 없으면 추가</t>
  </si>
  <si>
    <t xml:space="preserve">        If wsd.Cells(5, 10).Value &lt;&gt; "Progress" Then</t>
  </si>
  <si>
    <t xml:space="preserve">            wsd.Cells(5, 10).Value = "Progress"</t>
  </si>
  <si>
    <t xml:space="preserve">            wsd.Cells(5, 10).Font.Bold = True</t>
  </si>
  <si>
    <t xml:space="preserve">            wsd.Cells(5, 10).Font.Color = RGB(255, 255, 255)</t>
  </si>
  <si>
    <t xml:space="preserve">            wsd.Cells(5, 10).Fill.Color = RGB(31, 78, 121)</t>
  </si>
  <si>
    <t xml:space="preserve">        For i = 6 To lastRow</t>
  </si>
  <si>
    <t xml:space="preserve">            If wsd.Cells(i, 1).Value &lt;&gt; "" Then</t>
  </si>
  <si>
    <t xml:space="preserve">                wsd.Cells(i, 10).Value = pctValue</t>
  </si>
  <si>
    <t xml:space="preserve">                wsd.Cells(i, 10).NumberFormat = "0%"</t>
  </si>
  <si>
    <t xml:space="preserve">        Next i</t>
  </si>
  <si>
    <t xml:space="preserve">        MsgBox "진행률 " &amp; Format(pctValue, "0%") &amp; " 일괄 적용 완료", vbInformation</t>
  </si>
  <si>
    <t>' === 10. Shamal 위험 체크 ===</t>
  </si>
  <si>
    <t>Sub CheckShamalRisk()</t>
  </si>
  <si>
    <t xml:space="preserve">    Dim taskDate As Date, shamalStart As Date, shamalEnd As Date</t>
  </si>
  <si>
    <t xml:space="preserve">    Dim riskTasks As String, cnt As Long</t>
  </si>
  <si>
    <t xml:space="preserve">        If IsDate(wsd.Cells(i, 6).Value) Then</t>
  </si>
  <si>
    <t xml:space="preserve">            taskDate = wsd.Cells(i, 6).Value</t>
  </si>
  <si>
    <t xml:space="preserve">            If taskDate &gt;= shamalStart And taskDate &lt;= shamalEnd Then</t>
  </si>
  <si>
    <t xml:space="preserve">                ' SAIL tasks are weather-critical</t>
  </si>
  <si>
    <t xml:space="preserve">                If wsd.Cells(i, 4).Value = "SAIL" Or wsd.Cells(i, 4).Value = "LOADOUT" Then</t>
  </si>
  <si>
    <t xml:space="preserve">                    cnt = cnt + 1</t>
  </si>
  <si>
    <t xml:space="preserve">                    riskTasks = riskTasks &amp; vbCrLf &amp; "  ⚠️ " &amp; wsd.Cells(i, 1).Value &amp; ": " &amp; wsd.Cells(i, 3).Value</t>
  </si>
  <si>
    <t xml:space="preserve">    If cnt &gt; 0 Then</t>
  </si>
  <si>
    <t xml:space="preserve">        MsgBox "⚠️ SHAMAL 위험 경고!" &amp; vbCrLf &amp; vbCrLf &amp; _</t>
  </si>
  <si>
    <t xml:space="preserve">               "Shamal 기간 (" &amp; Format(shamalStart, "MM/DD") &amp; "-" &amp; Format(shamalEnd, "MM/DD") &amp; ") 중 " &amp; cnt &amp; "개 기상 민감 작업 발견:" &amp; vbCrLf &amp; _</t>
  </si>
  <si>
    <t xml:space="preserve">               riskTasks &amp; vbCrLf &amp; vbCrLf &amp; _</t>
  </si>
  <si>
    <t xml:space="preserve">               "일정 조정을 권장합니다.", vbExclamation, "Weather Risk Alert"</t>
  </si>
  <si>
    <t xml:space="preserve">    Else</t>
  </si>
  <si>
    <t xml:space="preserve">        MsgBox "✅ Shamal 기간 중 기상 민감 작업 없음" &amp; vbCrLf &amp; _</t>
  </si>
  <si>
    <t xml:space="preserve">               "현재 일정은 안전합니다.", vbInformation, "Weather Check OK"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</si>
</sst>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176" formatCode="yyyy\-mm\-dd"/>
    <numFmt numFmtId="177" formatCode="0.0"/>
    <numFmt numFmtId="178" formatCode="d"/>
  </numFmts>
  <fonts count="18">
    <font>
      <sz val="11"/>
      <color theme="1"/>
      <name val="맑은 고딕"/>
      <family val="2"/>
      <scheme val="minor"/>
    </font>
    <font>
      <b/>
      <sz val="16"/>
      <color rgb="FFFFFFFF"/>
      <name val="맑은 고딕"/>
      <family val="3"/>
      <charset val="129"/>
    </font>
    <font>
      <b/>
      <sz val="12"/>
      <name val="맑은 고딕"/>
      <family val="3"/>
      <charset val="129"/>
    </font>
    <font>
      <b/>
      <sz val="11"/>
      <name val="맑은 고딕"/>
      <family val="3"/>
      <charset val="129"/>
    </font>
    <font>
      <sz val="10"/>
      <name val="맑은 고딕"/>
      <family val="3"/>
      <charset val="129"/>
    </font>
    <font>
      <sz val="11"/>
      <color rgb="FFFFFFFF"/>
      <name val="맑은 고딕"/>
      <family val="3"/>
      <charset val="129"/>
    </font>
    <font>
      <i/>
      <sz val="10"/>
      <name val="맑은 고딕"/>
      <family val="3"/>
      <charset val="129"/>
    </font>
    <font>
      <b/>
      <sz val="11"/>
      <color rgb="FFFFFFFF"/>
      <name val="맑은 고딕"/>
      <family val="3"/>
      <charset val="129"/>
    </font>
    <font>
      <b/>
      <sz val="11"/>
      <color rgb="FFB71C1C"/>
      <name val="맑은 고딕"/>
      <family val="3"/>
      <charset val="129"/>
    </font>
    <font>
      <b/>
      <sz val="14"/>
      <color rgb="FFFFFFFF"/>
      <name val="맑은 고딕"/>
      <family val="3"/>
      <charset val="129"/>
    </font>
    <font>
      <b/>
      <sz val="9"/>
      <color rgb="FFFFFFFF"/>
      <name val="맑은 고딕"/>
      <family val="3"/>
      <charset val="129"/>
    </font>
    <font>
      <b/>
      <sz val="8"/>
      <color rgb="FFFFFFFF"/>
      <name val="맑은 고딕"/>
      <family val="3"/>
      <charset val="129"/>
    </font>
    <font>
      <sz val="8"/>
      <name val="맑은 고딕"/>
      <family val="3"/>
      <charset val="129"/>
    </font>
    <font>
      <b/>
      <sz val="11"/>
      <color rgb="FF0066CC"/>
      <name val="맑은 고딕"/>
      <family val="3"/>
      <charset val="129"/>
    </font>
    <font>
      <b/>
      <sz val="14"/>
      <name val="맑은 고딕"/>
      <family val="3"/>
      <charset val="129"/>
    </font>
    <font>
      <sz val="11"/>
      <name val="맑은 고딕"/>
      <family val="3"/>
      <charset val="129"/>
    </font>
    <font>
      <sz val="9"/>
      <name val="Consolas"/>
    </font>
    <font>
      <sz val="8"/>
      <name val="맑은 고딕"/>
      <family val="3"/>
      <charset val="129"/>
      <scheme val="minor"/>
    </font>
  </fonts>
  <fills count="22">
    <fill>
      <patternFill patternType="none"/>
    </fill>
    <fill>
      <patternFill patternType="gray125"/>
    </fill>
    <fill>
      <patternFill patternType="solid">
        <fgColor rgb="FF1F4E79"/>
      </patternFill>
    </fill>
    <fill>
      <patternFill patternType="solid">
        <fgColor rgb="FFFFF9C4"/>
      </patternFill>
    </fill>
    <fill>
      <patternFill patternType="solid">
        <fgColor rgb="FFFFFDE7"/>
      </patternFill>
    </fill>
    <fill>
      <patternFill patternType="solid">
        <fgColor rgb="FFFF9800"/>
      </patternFill>
    </fill>
    <fill>
      <patternFill patternType="solid">
        <fgColor rgb="FFE3F2FD"/>
      </patternFill>
    </fill>
    <fill>
      <patternFill patternType="solid">
        <fgColor rgb="FF2E75B6"/>
      </patternFill>
    </fill>
    <fill>
      <patternFill patternType="solid">
        <fgColor rgb="FF8E7CC3"/>
      </patternFill>
    </fill>
    <fill>
      <patternFill patternType="solid">
        <fgColor rgb="FF6FA8DC"/>
      </patternFill>
    </fill>
    <fill>
      <patternFill patternType="solid">
        <fgColor rgb="FFFF0000"/>
      </patternFill>
    </fill>
    <fill>
      <patternFill patternType="solid">
        <fgColor rgb="FF93C47D"/>
      </patternFill>
    </fill>
    <fill>
      <patternFill patternType="solid">
        <fgColor rgb="FF76A5AF"/>
      </patternFill>
    </fill>
    <fill>
      <patternFill patternType="solid">
        <fgColor rgb="FFD9D9D9"/>
      </patternFill>
    </fill>
    <fill>
      <patternFill patternType="solid">
        <fgColor rgb="FFA4C2F4"/>
      </patternFill>
    </fill>
    <fill>
      <patternFill patternType="solid">
        <fgColor rgb="FFF6B26B"/>
      </patternFill>
    </fill>
    <fill>
      <patternFill patternType="solid">
        <fgColor rgb="FF999999"/>
      </patternFill>
    </fill>
    <fill>
      <patternFill patternType="solid">
        <fgColor rgb="FFFFD966"/>
      </patternFill>
    </fill>
    <fill>
      <patternFill patternType="solid">
        <fgColor rgb="FFE06666"/>
      </patternFill>
    </fill>
    <fill>
      <patternFill patternType="solid">
        <fgColor rgb="FFC8E6C9"/>
      </patternFill>
    </fill>
    <fill>
      <patternFill patternType="solid">
        <fgColor rgb="FFFFE0B2"/>
      </patternFill>
    </fill>
    <fill>
      <patternFill patternType="solid">
        <fgColor rgb="FFFFCDD2"/>
      </patternFill>
    </fill>
  </fills>
  <borders count="2">
    <border>
      <left/>
      <right/>
      <top/>
      <bottom/>
      <diagonal/>
    </border>
    <border>
      <left style="thin">
        <color rgb="FFA6A6A6"/>
      </left>
      <right style="thin">
        <color rgb="FFA6A6A6"/>
      </right>
      <top style="thin">
        <color rgb="FFA6A6A6"/>
      </top>
      <bottom style="thin">
        <color rgb="FFA6A6A6"/>
      </bottom>
      <diagonal/>
    </border>
  </borders>
  <cellStyleXfs count="1">
    <xf numFmtId="0" fontId="0" fillId="0" borderId="0"/>
  </cellStyleXfs>
  <cellXfs count="65">
    <xf numFmtId="0" fontId="0" fillId="0" borderId="0" xfId="0"/>
    <xf numFmtId="0" fontId="2" fillId="0" borderId="0" xfId="0" applyFont="1"/>
    <xf numFmtId="176" fontId="2" fillId="4" borderId="1" xfId="0" applyNumberFormat="1" applyFont="1" applyFill="1" applyBorder="1"/>
    <xf numFmtId="0" fontId="3" fillId="0" borderId="0" xfId="0" applyFont="1"/>
    <xf numFmtId="176" fontId="0" fillId="4" borderId="1" xfId="0" applyNumberFormat="1" applyFill="1" applyBorder="1"/>
    <xf numFmtId="177" fontId="0" fillId="4" borderId="1" xfId="0" applyNumberFormat="1" applyFill="1" applyBorder="1"/>
    <xf numFmtId="176" fontId="0" fillId="5" borderId="0" xfId="0" applyNumberFormat="1" applyFill="1"/>
    <xf numFmtId="2" fontId="0" fillId="4" borderId="1" xfId="0" applyNumberFormat="1" applyFill="1" applyBorder="1"/>
    <xf numFmtId="1" fontId="0" fillId="4" borderId="1" xfId="0" applyNumberFormat="1" applyFill="1" applyBorder="1"/>
    <xf numFmtId="176" fontId="0" fillId="6" borderId="1" xfId="0" applyNumberFormat="1" applyFill="1" applyBorder="1"/>
    <xf numFmtId="0" fontId="0" fillId="6" borderId="1" xfId="0" applyFill="1" applyBorder="1"/>
    <xf numFmtId="0" fontId="4" fillId="0" borderId="0" xfId="0" applyFont="1"/>
    <xf numFmtId="0" fontId="7" fillId="2" borderId="1" xfId="0" applyFont="1" applyFill="1" applyBorder="1" applyAlignment="1">
      <alignment horizontal="center"/>
    </xf>
    <xf numFmtId="0" fontId="0" fillId="0" borderId="1" xfId="0" applyBorder="1"/>
    <xf numFmtId="0" fontId="0" fillId="8" borderId="1" xfId="0" applyFill="1" applyBorder="1"/>
    <xf numFmtId="176" fontId="0" fillId="0" borderId="1" xfId="0" applyNumberFormat="1" applyBorder="1"/>
    <xf numFmtId="0" fontId="0" fillId="9" borderId="1" xfId="0" applyFill="1" applyBorder="1"/>
    <xf numFmtId="0" fontId="3" fillId="0" borderId="1" xfId="0" applyFont="1" applyBorder="1"/>
    <xf numFmtId="0" fontId="3" fillId="10" borderId="1" xfId="0" applyFont="1" applyFill="1" applyBorder="1"/>
    <xf numFmtId="176" fontId="3" fillId="0" borderId="1" xfId="0" applyNumberFormat="1" applyFont="1" applyBorder="1"/>
    <xf numFmtId="0" fontId="0" fillId="11" borderId="1" xfId="0" applyFill="1" applyBorder="1"/>
    <xf numFmtId="0" fontId="0" fillId="12" borderId="1" xfId="0" applyFill="1" applyBorder="1"/>
    <xf numFmtId="0" fontId="0" fillId="13" borderId="1" xfId="0" applyFill="1" applyBorder="1"/>
    <xf numFmtId="0" fontId="0" fillId="14" borderId="1" xfId="0" applyFill="1" applyBorder="1"/>
    <xf numFmtId="0" fontId="0" fillId="15" borderId="1" xfId="0" applyFill="1" applyBorder="1"/>
    <xf numFmtId="0" fontId="0" fillId="16" borderId="1" xfId="0" applyFill="1" applyBorder="1"/>
    <xf numFmtId="0" fontId="0" fillId="17" borderId="1" xfId="0" applyFill="1" applyBorder="1"/>
    <xf numFmtId="0" fontId="8" fillId="0" borderId="1" xfId="0" applyFont="1" applyBorder="1"/>
    <xf numFmtId="0" fontId="8" fillId="18" borderId="1" xfId="0" applyFont="1" applyFill="1" applyBorder="1"/>
    <xf numFmtId="176" fontId="8" fillId="0" borderId="1" xfId="0" applyNumberFormat="1" applyFont="1" applyBorder="1"/>
    <xf numFmtId="0" fontId="10" fillId="2" borderId="1" xfId="0" applyFont="1" applyFill="1" applyBorder="1" applyAlignment="1">
      <alignment horizontal="center"/>
    </xf>
    <xf numFmtId="178" fontId="11" fillId="2" borderId="1" xfId="0" applyNumberFormat="1" applyFont="1" applyFill="1" applyBorder="1" applyAlignment="1">
      <alignment horizontal="center"/>
    </xf>
    <xf numFmtId="178" fontId="11" fillId="5" borderId="1" xfId="0" applyNumberFormat="1" applyFont="1" applyFill="1" applyBorder="1" applyAlignment="1">
      <alignment horizontal="center"/>
    </xf>
    <xf numFmtId="58" fontId="0" fillId="0" borderId="1" xfId="0" applyNumberFormat="1" applyBorder="1"/>
    <xf numFmtId="0" fontId="0" fillId="10" borderId="1" xfId="0" applyFill="1" applyBorder="1"/>
    <xf numFmtId="0" fontId="12" fillId="10" borderId="1" xfId="0" applyFont="1" applyFill="1" applyBorder="1" applyAlignment="1">
      <alignment horizontal="center"/>
    </xf>
    <xf numFmtId="0" fontId="12" fillId="12" borderId="1" xfId="0" applyFont="1" applyFill="1" applyBorder="1" applyAlignment="1">
      <alignment horizontal="center"/>
    </xf>
    <xf numFmtId="0" fontId="12" fillId="13" borderId="1" xfId="0" applyFont="1" applyFill="1" applyBorder="1" applyAlignment="1">
      <alignment horizontal="center"/>
    </xf>
    <xf numFmtId="0" fontId="12" fillId="14" borderId="1" xfId="0" applyFont="1" applyFill="1" applyBorder="1" applyAlignment="1">
      <alignment horizontal="center"/>
    </xf>
    <xf numFmtId="0" fontId="12" fillId="15" borderId="1" xfId="0" applyFont="1" applyFill="1" applyBorder="1" applyAlignment="1">
      <alignment horizontal="center"/>
    </xf>
    <xf numFmtId="0" fontId="12" fillId="16" borderId="1" xfId="0" applyFont="1" applyFill="1" applyBorder="1" applyAlignment="1">
      <alignment horizontal="center"/>
    </xf>
    <xf numFmtId="0" fontId="12" fillId="17" borderId="1" xfId="0" applyFont="1" applyFill="1" applyBorder="1" applyAlignment="1">
      <alignment horizontal="center"/>
    </xf>
    <xf numFmtId="0" fontId="0" fillId="18" borderId="1" xfId="0" applyFill="1" applyBorder="1"/>
    <xf numFmtId="0" fontId="12" fillId="18" borderId="1" xfId="0" applyFont="1" applyFill="1" applyBorder="1" applyAlignment="1">
      <alignment horizontal="center"/>
    </xf>
    <xf numFmtId="2" fontId="13" fillId="0" borderId="1" xfId="0" applyNumberFormat="1" applyFont="1" applyBorder="1"/>
    <xf numFmtId="0" fontId="0" fillId="19" borderId="1" xfId="0" applyFill="1" applyBorder="1"/>
    <xf numFmtId="2" fontId="0" fillId="0" borderId="1" xfId="0" applyNumberFormat="1" applyBorder="1"/>
    <xf numFmtId="0" fontId="0" fillId="20" borderId="1" xfId="0" applyFill="1" applyBorder="1"/>
    <xf numFmtId="0" fontId="0" fillId="21" borderId="1" xfId="0" applyFill="1" applyBorder="1"/>
    <xf numFmtId="1" fontId="0" fillId="0" borderId="1" xfId="0" applyNumberFormat="1" applyBorder="1"/>
    <xf numFmtId="0" fontId="14" fillId="0" borderId="0" xfId="0" applyFont="1"/>
    <xf numFmtId="0" fontId="7" fillId="2" borderId="1" xfId="0" applyFont="1" applyFill="1" applyBorder="1"/>
    <xf numFmtId="0" fontId="15" fillId="0" borderId="0" xfId="0" applyFont="1"/>
    <xf numFmtId="176" fontId="0" fillId="0" borderId="0" xfId="0" applyNumberFormat="1"/>
    <xf numFmtId="0" fontId="16" fillId="0" borderId="0" xfId="0" applyFont="1"/>
    <xf numFmtId="0" fontId="0" fillId="3" borderId="0" xfId="0" applyFill="1"/>
    <xf numFmtId="0" fontId="0" fillId="0" borderId="0" xfId="0"/>
    <xf numFmtId="0" fontId="1" fillId="2" borderId="0" xfId="0" applyFont="1" applyFill="1" applyAlignment="1">
      <alignment horizontal="center"/>
    </xf>
    <xf numFmtId="0" fontId="1" fillId="2" borderId="0" xfId="0" applyFont="1" applyFill="1"/>
    <xf numFmtId="0" fontId="6" fillId="5" borderId="0" xfId="0" applyFont="1" applyFill="1"/>
    <xf numFmtId="0" fontId="5" fillId="7" borderId="0" xfId="0" applyFont="1" applyFill="1"/>
    <xf numFmtId="0" fontId="9" fillId="2" borderId="0" xfId="0" applyFont="1" applyFill="1"/>
    <xf numFmtId="0" fontId="3" fillId="0" borderId="0" xfId="0" applyFont="1"/>
    <xf numFmtId="0" fontId="9" fillId="2" borderId="0" xfId="0" applyFont="1" applyFill="1" applyAlignment="1">
      <alignment horizontal="center"/>
    </xf>
    <xf numFmtId="0" fontId="14" fillId="0" borderId="0" xfId="0" applyFont="1"/>
  </cellXfs>
  <cellStyles count="1">
    <cellStyle name="표준" xfId="0" builtinId="0"/>
  </cellStyles>
  <dxfs count="0"/>
  <tableStyles count="1" defaultTableStyle="TableStyleMedium9" defaultPivotStyle="PivotStyleLight16">
    <tableStyle name="Invisible" pivot="0" table="0" count="0" xr9:uid="{054D0713-3E7C-4D58-B9E5-4CD1EFA415E1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I26"/>
  <sheetViews>
    <sheetView tabSelected="1" workbookViewId="0">
      <selection sqref="A1:H1"/>
    </sheetView>
  </sheetViews>
  <sheetFormatPr defaultRowHeight="16.899999999999999"/>
  <cols>
    <col min="1" max="1" width="20" customWidth="1"/>
    <col min="2" max="2" width="15" customWidth="1"/>
    <col min="4" max="4" width="16" customWidth="1"/>
    <col min="5" max="5" width="10" customWidth="1"/>
    <col min="7" max="7" width="14" customWidth="1"/>
    <col min="8" max="8" width="18.5625" bestFit="1" customWidth="1"/>
    <col min="9" max="9" width="10" customWidth="1"/>
  </cols>
  <sheetData>
    <row r="1" spans="1:9" ht="30" customHeight="1">
      <c r="A1" s="57" t="s">
        <v>0</v>
      </c>
      <c r="B1" s="56"/>
      <c r="C1" s="56"/>
      <c r="D1" s="56"/>
      <c r="E1" s="56"/>
      <c r="F1" s="56"/>
      <c r="G1" s="56"/>
      <c r="H1" s="56"/>
    </row>
    <row r="2" spans="1:9">
      <c r="A2" s="55" t="s">
        <v>1</v>
      </c>
      <c r="B2" s="56"/>
      <c r="C2" s="56"/>
      <c r="D2" s="56"/>
      <c r="E2" s="56"/>
      <c r="F2" s="56"/>
      <c r="G2" s="56"/>
      <c r="H2" s="56"/>
    </row>
    <row r="4" spans="1:9" ht="19.149999999999999">
      <c r="A4" s="1" t="s">
        <v>2</v>
      </c>
      <c r="B4" s="2">
        <v>46037</v>
      </c>
      <c r="D4" s="1" t="s">
        <v>3</v>
      </c>
      <c r="G4" s="1" t="s">
        <v>4</v>
      </c>
    </row>
    <row r="5" spans="1:9">
      <c r="A5" s="3" t="s">
        <v>5</v>
      </c>
      <c r="B5" s="4">
        <v>46081</v>
      </c>
      <c r="D5" s="3" t="s">
        <v>6</v>
      </c>
      <c r="E5" s="5">
        <v>1</v>
      </c>
      <c r="G5" t="s">
        <v>7</v>
      </c>
      <c r="H5" s="6">
        <v>46058</v>
      </c>
    </row>
    <row r="6" spans="1:9">
      <c r="D6" s="3" t="s">
        <v>8</v>
      </c>
      <c r="E6" s="5">
        <v>3</v>
      </c>
      <c r="G6" t="s">
        <v>9</v>
      </c>
      <c r="H6" s="6">
        <v>46067</v>
      </c>
    </row>
    <row r="7" spans="1:9">
      <c r="D7" s="3" t="s">
        <v>10</v>
      </c>
      <c r="E7" s="5">
        <v>1</v>
      </c>
      <c r="G7" s="3" t="s">
        <v>11</v>
      </c>
      <c r="H7" s="7">
        <v>1.9</v>
      </c>
    </row>
    <row r="8" spans="1:9" ht="19.149999999999999">
      <c r="A8" s="1" t="s">
        <v>12</v>
      </c>
      <c r="D8" s="3" t="s">
        <v>13</v>
      </c>
      <c r="E8" s="5">
        <v>0.5</v>
      </c>
      <c r="H8" s="3" t="s">
        <v>14</v>
      </c>
      <c r="I8" s="8">
        <v>120</v>
      </c>
    </row>
    <row r="9" spans="1:9">
      <c r="A9" s="3" t="s">
        <v>15</v>
      </c>
      <c r="B9" s="9">
        <f>MAX(Schedule_Data!G:G)</f>
        <v>46115</v>
      </c>
      <c r="D9" s="3" t="s">
        <v>16</v>
      </c>
      <c r="E9" s="5">
        <v>0.5</v>
      </c>
      <c r="H9" s="3" t="s">
        <v>17</v>
      </c>
      <c r="I9" s="8">
        <v>30</v>
      </c>
    </row>
    <row r="10" spans="1:9">
      <c r="A10" s="3" t="s">
        <v>18</v>
      </c>
      <c r="B10" s="10">
        <f>B9-B4+1</f>
        <v>79</v>
      </c>
      <c r="D10" s="3" t="s">
        <v>19</v>
      </c>
      <c r="E10" s="5">
        <v>1</v>
      </c>
    </row>
    <row r="11" spans="1:9">
      <c r="A11" s="3" t="s">
        <v>20</v>
      </c>
      <c r="B11" s="10" t="str">
        <f>IF(B9&lt;=B5,"✅ 목표 달성","❌ 지연")</f>
        <v>❌ 지연</v>
      </c>
      <c r="D11" s="3" t="s">
        <v>21</v>
      </c>
      <c r="E11" s="5">
        <v>1</v>
      </c>
    </row>
    <row r="12" spans="1:9">
      <c r="A12" s="3" t="s">
        <v>22</v>
      </c>
      <c r="B12" s="10">
        <f>B5-B9</f>
        <v>-34</v>
      </c>
      <c r="D12" s="3" t="s">
        <v>23</v>
      </c>
      <c r="E12" s="5">
        <v>3</v>
      </c>
    </row>
    <row r="13" spans="1:9">
      <c r="D13" s="3" t="s">
        <v>24</v>
      </c>
      <c r="E13" s="5">
        <v>1</v>
      </c>
    </row>
    <row r="14" spans="1:9">
      <c r="D14" s="3" t="s">
        <v>25</v>
      </c>
      <c r="E14" s="5">
        <v>1</v>
      </c>
    </row>
    <row r="15" spans="1:9" ht="19.149999999999999">
      <c r="A15" s="1" t="s">
        <v>26</v>
      </c>
      <c r="D15" s="3" t="s">
        <v>27</v>
      </c>
      <c r="E15" s="5">
        <v>0.5</v>
      </c>
    </row>
    <row r="16" spans="1:9">
      <c r="A16" s="11" t="s">
        <v>28</v>
      </c>
    </row>
    <row r="17" spans="1:1">
      <c r="A17" s="11" t="s">
        <v>29</v>
      </c>
    </row>
    <row r="18" spans="1:1">
      <c r="A18" s="11" t="s">
        <v>30</v>
      </c>
    </row>
    <row r="19" spans="1:1">
      <c r="A19" s="11" t="s">
        <v>31</v>
      </c>
    </row>
    <row r="20" spans="1:1">
      <c r="A20" s="11" t="s">
        <v>32</v>
      </c>
    </row>
    <row r="21" spans="1:1">
      <c r="A21" s="11" t="s">
        <v>33</v>
      </c>
    </row>
    <row r="22" spans="1:1">
      <c r="A22" s="11" t="s">
        <v>34</v>
      </c>
    </row>
    <row r="23" spans="1:1">
      <c r="A23" s="11" t="s">
        <v>35</v>
      </c>
    </row>
    <row r="24" spans="1:1">
      <c r="A24" s="11" t="s">
        <v>36</v>
      </c>
    </row>
    <row r="25" spans="1:1">
      <c r="A25" s="11" t="s">
        <v>37</v>
      </c>
    </row>
    <row r="26" spans="1:1">
      <c r="A26" s="11" t="s">
        <v>38</v>
      </c>
    </row>
  </sheetData>
  <mergeCells count="2">
    <mergeCell ref="A2:H2"/>
    <mergeCell ref="A1:H1"/>
  </mergeCells>
  <phoneticPr fontId="17" type="noConversion"/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I90"/>
  <sheetViews>
    <sheetView workbookViewId="0">
      <pane ySplit="5" topLeftCell="A6" activePane="bottomLeft" state="frozen"/>
      <selection pane="bottomLeft"/>
    </sheetView>
  </sheetViews>
  <sheetFormatPr defaultRowHeight="16.899999999999999"/>
  <cols>
    <col min="1" max="1" width="10" customWidth="1"/>
    <col min="2" max="2" width="6" customWidth="1"/>
    <col min="3" max="3" width="38" customWidth="1"/>
    <col min="4" max="5" width="14" customWidth="1"/>
    <col min="6" max="7" width="12" customWidth="1"/>
    <col min="8" max="8" width="10" customWidth="1"/>
    <col min="9" max="9" width="40" customWidth="1"/>
  </cols>
  <sheetData>
    <row r="1" spans="1:9" ht="24.75">
      <c r="A1" s="58" t="s">
        <v>39</v>
      </c>
      <c r="B1" s="56"/>
      <c r="C1" s="56"/>
      <c r="D1" s="56"/>
      <c r="E1" s="56"/>
      <c r="F1" s="56"/>
      <c r="G1" s="56"/>
      <c r="H1" s="56"/>
      <c r="I1" s="56"/>
    </row>
    <row r="2" spans="1:9">
      <c r="A2" s="60" t="s">
        <v>40</v>
      </c>
      <c r="B2" s="56"/>
      <c r="C2" s="56"/>
      <c r="D2" s="56"/>
      <c r="E2" s="56"/>
      <c r="F2" s="56"/>
      <c r="G2" s="56"/>
      <c r="H2" s="56"/>
      <c r="I2" s="56"/>
    </row>
    <row r="3" spans="1:9">
      <c r="A3" s="59" t="s">
        <v>41</v>
      </c>
      <c r="B3" s="56"/>
      <c r="C3" s="56"/>
      <c r="D3" s="56"/>
      <c r="E3" s="56"/>
      <c r="F3" s="56"/>
      <c r="G3" s="56"/>
      <c r="H3" s="56"/>
      <c r="I3" s="56"/>
    </row>
    <row r="5" spans="1:9">
      <c r="A5" s="12" t="s">
        <v>42</v>
      </c>
      <c r="B5" s="12" t="s">
        <v>43</v>
      </c>
      <c r="C5" s="12" t="s">
        <v>44</v>
      </c>
      <c r="D5" s="12" t="s">
        <v>45</v>
      </c>
      <c r="E5" s="12" t="s">
        <v>46</v>
      </c>
      <c r="F5" s="12" t="s">
        <v>47</v>
      </c>
      <c r="G5" s="12" t="s">
        <v>48</v>
      </c>
      <c r="H5" s="12" t="s">
        <v>49</v>
      </c>
      <c r="I5" s="12" t="s">
        <v>50</v>
      </c>
    </row>
    <row r="6" spans="1:9">
      <c r="A6" s="13" t="s">
        <v>51</v>
      </c>
      <c r="B6" s="13" t="s">
        <v>52</v>
      </c>
      <c r="C6" s="13" t="s">
        <v>53</v>
      </c>
      <c r="D6" s="14" t="s">
        <v>54</v>
      </c>
      <c r="E6" s="13" t="s">
        <v>55</v>
      </c>
      <c r="F6" s="15">
        <f>PROJECT_START+0</f>
        <v>46037</v>
      </c>
      <c r="G6" s="15">
        <f t="shared" ref="G6:G37" si="0">F6+H6</f>
        <v>46038</v>
      </c>
      <c r="H6" s="13">
        <f>DUR_MOB</f>
        <v>1</v>
      </c>
      <c r="I6" s="13" t="s">
        <v>56</v>
      </c>
    </row>
    <row r="7" spans="1:9">
      <c r="A7" s="13" t="s">
        <v>57</v>
      </c>
      <c r="B7" s="13" t="s">
        <v>52</v>
      </c>
      <c r="C7" s="13" t="s">
        <v>58</v>
      </c>
      <c r="D7" s="16" t="s">
        <v>59</v>
      </c>
      <c r="E7" s="13" t="s">
        <v>60</v>
      </c>
      <c r="F7" s="15">
        <f>PROJECT_START+1</f>
        <v>46038</v>
      </c>
      <c r="G7" s="15">
        <f t="shared" si="0"/>
        <v>46041</v>
      </c>
      <c r="H7" s="13">
        <v>3</v>
      </c>
      <c r="I7" s="13" t="s">
        <v>61</v>
      </c>
    </row>
    <row r="8" spans="1:9">
      <c r="A8" s="17" t="s">
        <v>62</v>
      </c>
      <c r="B8" s="17" t="s">
        <v>63</v>
      </c>
      <c r="C8" s="17" t="s">
        <v>64</v>
      </c>
      <c r="D8" s="18" t="s">
        <v>65</v>
      </c>
      <c r="E8" s="17" t="s">
        <v>66</v>
      </c>
      <c r="F8" s="19">
        <f>PROJECT_START+3</f>
        <v>46040</v>
      </c>
      <c r="G8" s="19">
        <f t="shared" si="0"/>
        <v>46040</v>
      </c>
      <c r="H8" s="17">
        <v>0</v>
      </c>
      <c r="I8" s="17" t="s">
        <v>67</v>
      </c>
    </row>
    <row r="9" spans="1:9">
      <c r="A9" s="13" t="s">
        <v>68</v>
      </c>
      <c r="B9" s="13" t="s">
        <v>63</v>
      </c>
      <c r="C9" s="13" t="s">
        <v>69</v>
      </c>
      <c r="D9" s="20" t="s">
        <v>70</v>
      </c>
      <c r="E9" s="13" t="s">
        <v>55</v>
      </c>
      <c r="F9" s="15">
        <f>PROJECT_START+3</f>
        <v>46040</v>
      </c>
      <c r="G9" s="15">
        <f t="shared" si="0"/>
        <v>46040</v>
      </c>
      <c r="H9" s="13">
        <f>DUR_BUF</f>
        <v>0</v>
      </c>
      <c r="I9" s="13" t="s">
        <v>71</v>
      </c>
    </row>
    <row r="10" spans="1:9">
      <c r="A10" s="13" t="s">
        <v>72</v>
      </c>
      <c r="B10" s="13" t="s">
        <v>63</v>
      </c>
      <c r="C10" s="13" t="s">
        <v>73</v>
      </c>
      <c r="D10" s="21" t="s">
        <v>74</v>
      </c>
      <c r="E10" s="13" t="s">
        <v>60</v>
      </c>
      <c r="F10" s="15">
        <f>PROJECT_START+4</f>
        <v>46041</v>
      </c>
      <c r="G10" s="15">
        <f t="shared" si="0"/>
        <v>46041</v>
      </c>
      <c r="H10" s="13">
        <v>0</v>
      </c>
      <c r="I10" s="13" t="s">
        <v>75</v>
      </c>
    </row>
    <row r="11" spans="1:9">
      <c r="A11" s="13" t="s">
        <v>76</v>
      </c>
      <c r="B11" s="13" t="s">
        <v>63</v>
      </c>
      <c r="C11" s="13" t="s">
        <v>77</v>
      </c>
      <c r="D11" s="22" t="s">
        <v>78</v>
      </c>
      <c r="E11" s="13" t="s">
        <v>79</v>
      </c>
      <c r="F11" s="15">
        <f>PROJECT_START+4</f>
        <v>46041</v>
      </c>
      <c r="G11" s="15">
        <f t="shared" si="0"/>
        <v>46041</v>
      </c>
      <c r="H11" s="13">
        <v>0</v>
      </c>
      <c r="I11" s="13" t="s">
        <v>80</v>
      </c>
    </row>
    <row r="12" spans="1:9">
      <c r="A12" s="13" t="s">
        <v>81</v>
      </c>
      <c r="B12" s="13" t="s">
        <v>63</v>
      </c>
      <c r="C12" s="13" t="s">
        <v>82</v>
      </c>
      <c r="D12" s="23" t="s">
        <v>83</v>
      </c>
      <c r="E12" s="13" t="s">
        <v>84</v>
      </c>
      <c r="F12" s="15">
        <f>PROJECT_START+4</f>
        <v>46041</v>
      </c>
      <c r="G12" s="15">
        <f t="shared" si="0"/>
        <v>46041</v>
      </c>
      <c r="H12" s="13">
        <v>0</v>
      </c>
      <c r="I12" s="13" t="s">
        <v>85</v>
      </c>
    </row>
    <row r="13" spans="1:9">
      <c r="A13" s="13" t="s">
        <v>86</v>
      </c>
      <c r="B13" s="13" t="s">
        <v>63</v>
      </c>
      <c r="C13" s="13" t="s">
        <v>87</v>
      </c>
      <c r="D13" s="24" t="s">
        <v>88</v>
      </c>
      <c r="E13" s="13" t="s">
        <v>89</v>
      </c>
      <c r="F13" s="15">
        <f>PROJECT_START+5</f>
        <v>46042</v>
      </c>
      <c r="G13" s="15">
        <f t="shared" si="0"/>
        <v>46042</v>
      </c>
      <c r="H13" s="13">
        <v>0</v>
      </c>
      <c r="I13" s="13" t="s">
        <v>90</v>
      </c>
    </row>
    <row r="14" spans="1:9">
      <c r="A14" s="13" t="s">
        <v>91</v>
      </c>
      <c r="B14" s="13" t="s">
        <v>63</v>
      </c>
      <c r="C14" s="13" t="s">
        <v>92</v>
      </c>
      <c r="D14" s="22" t="s">
        <v>78</v>
      </c>
      <c r="E14" s="13" t="s">
        <v>93</v>
      </c>
      <c r="F14" s="15">
        <f>PROJECT_START+6</f>
        <v>46043</v>
      </c>
      <c r="G14" s="15">
        <f t="shared" si="0"/>
        <v>46043</v>
      </c>
      <c r="H14" s="13">
        <f>DUR_BUF</f>
        <v>0</v>
      </c>
      <c r="I14" s="13" t="s">
        <v>94</v>
      </c>
    </row>
    <row r="15" spans="1:9">
      <c r="A15" s="13" t="s">
        <v>95</v>
      </c>
      <c r="B15" s="13" t="s">
        <v>63</v>
      </c>
      <c r="C15" s="13" t="s">
        <v>96</v>
      </c>
      <c r="D15" s="25" t="s">
        <v>97</v>
      </c>
      <c r="E15" s="13" t="s">
        <v>84</v>
      </c>
      <c r="F15" s="15">
        <f>PROJECT_START+6</f>
        <v>46043</v>
      </c>
      <c r="G15" s="15">
        <f t="shared" si="0"/>
        <v>46043</v>
      </c>
      <c r="H15" s="13">
        <v>0</v>
      </c>
      <c r="I15" s="13" t="s">
        <v>98</v>
      </c>
    </row>
    <row r="16" spans="1:9">
      <c r="A16" s="13" t="s">
        <v>99</v>
      </c>
      <c r="B16" s="13" t="s">
        <v>63</v>
      </c>
      <c r="C16" s="13" t="s">
        <v>100</v>
      </c>
      <c r="D16" s="22" t="s">
        <v>78</v>
      </c>
      <c r="E16" s="13" t="s">
        <v>101</v>
      </c>
      <c r="F16" s="15">
        <f>PROJECT_START+7</f>
        <v>46044</v>
      </c>
      <c r="G16" s="15">
        <f t="shared" si="0"/>
        <v>46044</v>
      </c>
      <c r="H16" s="13">
        <f>DUR_BUF</f>
        <v>0</v>
      </c>
      <c r="I16" s="13" t="s">
        <v>102</v>
      </c>
    </row>
    <row r="17" spans="1:9">
      <c r="A17" s="17" t="s">
        <v>103</v>
      </c>
      <c r="B17" s="17" t="s">
        <v>104</v>
      </c>
      <c r="C17" s="17" t="s">
        <v>105</v>
      </c>
      <c r="D17" s="18" t="s">
        <v>65</v>
      </c>
      <c r="E17" s="17" t="s">
        <v>66</v>
      </c>
      <c r="F17" s="19">
        <f>PROJECT_START+11</f>
        <v>46048</v>
      </c>
      <c r="G17" s="19">
        <f t="shared" si="0"/>
        <v>46048</v>
      </c>
      <c r="H17" s="17">
        <v>0</v>
      </c>
      <c r="I17" s="17" t="s">
        <v>67</v>
      </c>
    </row>
    <row r="18" spans="1:9">
      <c r="A18" s="13" t="s">
        <v>106</v>
      </c>
      <c r="B18" s="13" t="s">
        <v>104</v>
      </c>
      <c r="C18" s="13" t="s">
        <v>107</v>
      </c>
      <c r="D18" s="20" t="s">
        <v>70</v>
      </c>
      <c r="E18" s="13" t="s">
        <v>55</v>
      </c>
      <c r="F18" s="15">
        <f>PROJECT_START+11</f>
        <v>46048</v>
      </c>
      <c r="G18" s="15">
        <f t="shared" si="0"/>
        <v>46048</v>
      </c>
      <c r="H18" s="13">
        <f>DUR_BUF</f>
        <v>0</v>
      </c>
      <c r="I18" s="13" t="s">
        <v>71</v>
      </c>
    </row>
    <row r="19" spans="1:9">
      <c r="A19" s="13" t="s">
        <v>108</v>
      </c>
      <c r="B19" s="13" t="s">
        <v>104</v>
      </c>
      <c r="C19" s="13" t="s">
        <v>109</v>
      </c>
      <c r="D19" s="21" t="s">
        <v>74</v>
      </c>
      <c r="E19" s="13" t="s">
        <v>60</v>
      </c>
      <c r="F19" s="15">
        <f>PROJECT_START+12</f>
        <v>46049</v>
      </c>
      <c r="G19" s="15">
        <f t="shared" si="0"/>
        <v>46049</v>
      </c>
      <c r="H19" s="13">
        <v>0</v>
      </c>
      <c r="I19" s="13" t="s">
        <v>75</v>
      </c>
    </row>
    <row r="20" spans="1:9">
      <c r="A20" s="13" t="s">
        <v>110</v>
      </c>
      <c r="B20" s="13" t="s">
        <v>104</v>
      </c>
      <c r="C20" s="13" t="s">
        <v>111</v>
      </c>
      <c r="D20" s="22" t="s">
        <v>78</v>
      </c>
      <c r="E20" s="13" t="s">
        <v>79</v>
      </c>
      <c r="F20" s="15">
        <f>PROJECT_START+12</f>
        <v>46049</v>
      </c>
      <c r="G20" s="15">
        <f t="shared" si="0"/>
        <v>46049</v>
      </c>
      <c r="H20" s="13">
        <v>0</v>
      </c>
      <c r="I20" s="13" t="s">
        <v>80</v>
      </c>
    </row>
    <row r="21" spans="1:9">
      <c r="A21" s="13" t="s">
        <v>112</v>
      </c>
      <c r="B21" s="13" t="s">
        <v>104</v>
      </c>
      <c r="C21" s="13" t="s">
        <v>113</v>
      </c>
      <c r="D21" s="23" t="s">
        <v>83</v>
      </c>
      <c r="E21" s="13" t="s">
        <v>84</v>
      </c>
      <c r="F21" s="15">
        <f>PROJECT_START+12</f>
        <v>46049</v>
      </c>
      <c r="G21" s="15">
        <f t="shared" si="0"/>
        <v>46049</v>
      </c>
      <c r="H21" s="13">
        <v>0</v>
      </c>
      <c r="I21" s="13" t="s">
        <v>85</v>
      </c>
    </row>
    <row r="22" spans="1:9">
      <c r="A22" s="13" t="s">
        <v>114</v>
      </c>
      <c r="B22" s="13" t="s">
        <v>104</v>
      </c>
      <c r="C22" s="13" t="s">
        <v>115</v>
      </c>
      <c r="D22" s="24" t="s">
        <v>88</v>
      </c>
      <c r="E22" s="13" t="s">
        <v>89</v>
      </c>
      <c r="F22" s="15">
        <f>PROJECT_START+13</f>
        <v>46050</v>
      </c>
      <c r="G22" s="15">
        <f t="shared" si="0"/>
        <v>46050</v>
      </c>
      <c r="H22" s="13">
        <v>0</v>
      </c>
      <c r="I22" s="13" t="s">
        <v>90</v>
      </c>
    </row>
    <row r="23" spans="1:9">
      <c r="A23" s="13" t="s">
        <v>116</v>
      </c>
      <c r="B23" s="13" t="s">
        <v>104</v>
      </c>
      <c r="C23" s="13" t="s">
        <v>117</v>
      </c>
      <c r="D23" s="26" t="s">
        <v>118</v>
      </c>
      <c r="E23" s="13" t="s">
        <v>55</v>
      </c>
      <c r="F23" s="15">
        <f>PROJECT_START+14</f>
        <v>46051</v>
      </c>
      <c r="G23" s="15">
        <f t="shared" si="0"/>
        <v>46051</v>
      </c>
      <c r="H23" s="13">
        <f>DUR_BUF</f>
        <v>0</v>
      </c>
      <c r="I23" s="13" t="s">
        <v>119</v>
      </c>
    </row>
    <row r="24" spans="1:9">
      <c r="A24" s="13" t="s">
        <v>120</v>
      </c>
      <c r="B24" s="13" t="s">
        <v>104</v>
      </c>
      <c r="C24" s="13" t="s">
        <v>121</v>
      </c>
      <c r="D24" s="26" t="s">
        <v>118</v>
      </c>
      <c r="E24" s="13" t="s">
        <v>55</v>
      </c>
      <c r="F24" s="15">
        <f>PROJECT_START+15</f>
        <v>46052</v>
      </c>
      <c r="G24" s="15">
        <f t="shared" si="0"/>
        <v>46052</v>
      </c>
      <c r="H24" s="13">
        <v>0</v>
      </c>
      <c r="I24" s="13" t="s">
        <v>122</v>
      </c>
    </row>
    <row r="25" spans="1:9">
      <c r="A25" s="13" t="s">
        <v>123</v>
      </c>
      <c r="B25" s="13" t="s">
        <v>104</v>
      </c>
      <c r="C25" s="13" t="s">
        <v>124</v>
      </c>
      <c r="D25" s="26" t="s">
        <v>118</v>
      </c>
      <c r="E25" s="13" t="s">
        <v>125</v>
      </c>
      <c r="F25" s="15">
        <f>PROJECT_START+14</f>
        <v>46051</v>
      </c>
      <c r="G25" s="15">
        <f t="shared" si="0"/>
        <v>46053</v>
      </c>
      <c r="H25" s="13">
        <v>2</v>
      </c>
      <c r="I25" s="13" t="s">
        <v>126</v>
      </c>
    </row>
    <row r="26" spans="1:9">
      <c r="A26" s="13" t="s">
        <v>127</v>
      </c>
      <c r="B26" s="13" t="s">
        <v>104</v>
      </c>
      <c r="C26" s="13" t="s">
        <v>128</v>
      </c>
      <c r="D26" s="26" t="s">
        <v>118</v>
      </c>
      <c r="E26" s="13" t="s">
        <v>55</v>
      </c>
      <c r="F26" s="15">
        <f>PROJECT_START+17</f>
        <v>46054</v>
      </c>
      <c r="G26" s="15">
        <f t="shared" si="0"/>
        <v>46054</v>
      </c>
      <c r="H26" s="13">
        <f>DUR_BUF</f>
        <v>0</v>
      </c>
      <c r="I26" s="13" t="s">
        <v>119</v>
      </c>
    </row>
    <row r="27" spans="1:9">
      <c r="A27" s="13" t="s">
        <v>129</v>
      </c>
      <c r="B27" s="13" t="s">
        <v>104</v>
      </c>
      <c r="C27" s="13" t="s">
        <v>130</v>
      </c>
      <c r="D27" s="26" t="s">
        <v>118</v>
      </c>
      <c r="E27" s="13" t="s">
        <v>55</v>
      </c>
      <c r="F27" s="15">
        <f>PROJECT_START+18</f>
        <v>46055</v>
      </c>
      <c r="G27" s="15">
        <f t="shared" si="0"/>
        <v>46055</v>
      </c>
      <c r="H27" s="13">
        <v>0</v>
      </c>
      <c r="I27" s="13" t="s">
        <v>131</v>
      </c>
    </row>
    <row r="28" spans="1:9">
      <c r="A28" s="13" t="s">
        <v>132</v>
      </c>
      <c r="B28" s="13" t="s">
        <v>104</v>
      </c>
      <c r="C28" s="13" t="s">
        <v>133</v>
      </c>
      <c r="D28" s="22" t="s">
        <v>78</v>
      </c>
      <c r="E28" s="13" t="s">
        <v>101</v>
      </c>
      <c r="F28" s="15">
        <f>PROJECT_START+19</f>
        <v>46056</v>
      </c>
      <c r="G28" s="15">
        <f t="shared" si="0"/>
        <v>46056</v>
      </c>
      <c r="H28" s="13">
        <f>DUR_BUF</f>
        <v>0</v>
      </c>
      <c r="I28" s="13" t="s">
        <v>134</v>
      </c>
    </row>
    <row r="29" spans="1:9">
      <c r="A29" s="27" t="s">
        <v>135</v>
      </c>
      <c r="B29" s="27" t="s">
        <v>104</v>
      </c>
      <c r="C29" s="27" t="s">
        <v>136</v>
      </c>
      <c r="D29" s="28" t="s">
        <v>137</v>
      </c>
      <c r="E29" s="27" t="s">
        <v>55</v>
      </c>
      <c r="F29" s="29">
        <f>PROJECT_START+21</f>
        <v>46058</v>
      </c>
      <c r="G29" s="29">
        <f t="shared" si="0"/>
        <v>46058</v>
      </c>
      <c r="H29" s="27">
        <v>0</v>
      </c>
      <c r="I29" s="27" t="s">
        <v>138</v>
      </c>
    </row>
    <row r="30" spans="1:9">
      <c r="A30" s="13" t="s">
        <v>139</v>
      </c>
      <c r="B30" s="13" t="s">
        <v>104</v>
      </c>
      <c r="C30" s="13" t="s">
        <v>140</v>
      </c>
      <c r="D30" s="25" t="s">
        <v>97</v>
      </c>
      <c r="E30" s="13" t="s">
        <v>84</v>
      </c>
      <c r="F30" s="15">
        <f>PROJECT_START+22</f>
        <v>46059</v>
      </c>
      <c r="G30" s="15">
        <f t="shared" si="0"/>
        <v>46059</v>
      </c>
      <c r="H30" s="13">
        <v>0</v>
      </c>
      <c r="I30" s="13" t="s">
        <v>141</v>
      </c>
    </row>
    <row r="31" spans="1:9">
      <c r="A31" s="13" t="s">
        <v>142</v>
      </c>
      <c r="B31" s="13" t="s">
        <v>104</v>
      </c>
      <c r="C31" s="13" t="s">
        <v>143</v>
      </c>
      <c r="D31" s="22" t="s">
        <v>78</v>
      </c>
      <c r="E31" s="13" t="s">
        <v>101</v>
      </c>
      <c r="F31" s="15">
        <f>PROJECT_START+23</f>
        <v>46060</v>
      </c>
      <c r="G31" s="15">
        <f t="shared" si="0"/>
        <v>46060</v>
      </c>
      <c r="H31" s="13">
        <f>DUR_BUF</f>
        <v>0</v>
      </c>
      <c r="I31" s="13" t="s">
        <v>144</v>
      </c>
    </row>
    <row r="32" spans="1:9">
      <c r="A32" s="17" t="s">
        <v>145</v>
      </c>
      <c r="B32" s="17" t="s">
        <v>146</v>
      </c>
      <c r="C32" s="17" t="s">
        <v>147</v>
      </c>
      <c r="D32" s="18" t="s">
        <v>65</v>
      </c>
      <c r="E32" s="17" t="s">
        <v>66</v>
      </c>
      <c r="F32" s="19">
        <f>PROJECT_START+32</f>
        <v>46069</v>
      </c>
      <c r="G32" s="19">
        <f t="shared" si="0"/>
        <v>46069</v>
      </c>
      <c r="H32" s="17">
        <v>0</v>
      </c>
      <c r="I32" s="17" t="s">
        <v>67</v>
      </c>
    </row>
    <row r="33" spans="1:9">
      <c r="A33" s="13" t="s">
        <v>148</v>
      </c>
      <c r="B33" s="13" t="s">
        <v>146</v>
      </c>
      <c r="C33" s="13" t="s">
        <v>149</v>
      </c>
      <c r="D33" s="20" t="s">
        <v>70</v>
      </c>
      <c r="E33" s="13" t="s">
        <v>55</v>
      </c>
      <c r="F33" s="15">
        <f>PROJECT_START+32</f>
        <v>46069</v>
      </c>
      <c r="G33" s="15">
        <f t="shared" si="0"/>
        <v>46069</v>
      </c>
      <c r="H33" s="13">
        <f>DUR_BUF</f>
        <v>0</v>
      </c>
      <c r="I33" s="13" t="s">
        <v>71</v>
      </c>
    </row>
    <row r="34" spans="1:9">
      <c r="A34" s="13" t="s">
        <v>150</v>
      </c>
      <c r="B34" s="13" t="s">
        <v>146</v>
      </c>
      <c r="C34" s="13" t="s">
        <v>151</v>
      </c>
      <c r="D34" s="21" t="s">
        <v>74</v>
      </c>
      <c r="E34" s="13" t="s">
        <v>60</v>
      </c>
      <c r="F34" s="15">
        <f>PROJECT_START+33</f>
        <v>46070</v>
      </c>
      <c r="G34" s="15">
        <f t="shared" si="0"/>
        <v>46070</v>
      </c>
      <c r="H34" s="13">
        <v>0</v>
      </c>
      <c r="I34" s="13" t="s">
        <v>75</v>
      </c>
    </row>
    <row r="35" spans="1:9">
      <c r="A35" s="13" t="s">
        <v>152</v>
      </c>
      <c r="B35" s="13" t="s">
        <v>146</v>
      </c>
      <c r="C35" s="13" t="s">
        <v>111</v>
      </c>
      <c r="D35" s="22" t="s">
        <v>78</v>
      </c>
      <c r="E35" s="13" t="s">
        <v>79</v>
      </c>
      <c r="F35" s="15">
        <f>PROJECT_START+33</f>
        <v>46070</v>
      </c>
      <c r="G35" s="15">
        <f t="shared" si="0"/>
        <v>46070</v>
      </c>
      <c r="H35" s="13">
        <v>0</v>
      </c>
      <c r="I35" s="13" t="s">
        <v>80</v>
      </c>
    </row>
    <row r="36" spans="1:9">
      <c r="A36" s="13" t="s">
        <v>153</v>
      </c>
      <c r="B36" s="13" t="s">
        <v>146</v>
      </c>
      <c r="C36" s="13" t="s">
        <v>113</v>
      </c>
      <c r="D36" s="23" t="s">
        <v>83</v>
      </c>
      <c r="E36" s="13" t="s">
        <v>84</v>
      </c>
      <c r="F36" s="15">
        <f>PROJECT_START+33</f>
        <v>46070</v>
      </c>
      <c r="G36" s="15">
        <f t="shared" si="0"/>
        <v>46070</v>
      </c>
      <c r="H36" s="13">
        <v>0</v>
      </c>
      <c r="I36" s="13" t="s">
        <v>85</v>
      </c>
    </row>
    <row r="37" spans="1:9">
      <c r="A37" s="13" t="s">
        <v>154</v>
      </c>
      <c r="B37" s="13" t="s">
        <v>146</v>
      </c>
      <c r="C37" s="13" t="s">
        <v>115</v>
      </c>
      <c r="D37" s="24" t="s">
        <v>88</v>
      </c>
      <c r="E37" s="13" t="s">
        <v>89</v>
      </c>
      <c r="F37" s="15">
        <f>PROJECT_START+34</f>
        <v>46071</v>
      </c>
      <c r="G37" s="15">
        <f t="shared" si="0"/>
        <v>46071</v>
      </c>
      <c r="H37" s="13">
        <v>0</v>
      </c>
      <c r="I37" s="13" t="s">
        <v>90</v>
      </c>
    </row>
    <row r="38" spans="1:9">
      <c r="A38" s="13" t="s">
        <v>155</v>
      </c>
      <c r="B38" s="13" t="s">
        <v>146</v>
      </c>
      <c r="C38" s="13" t="s">
        <v>156</v>
      </c>
      <c r="D38" s="22" t="s">
        <v>78</v>
      </c>
      <c r="E38" s="13" t="s">
        <v>93</v>
      </c>
      <c r="F38" s="15">
        <f>PROJECT_START+35</f>
        <v>46072</v>
      </c>
      <c r="G38" s="15">
        <f t="shared" ref="G38:G69" si="1">F38+H38</f>
        <v>46072</v>
      </c>
      <c r="H38" s="13">
        <f>DUR_BUF</f>
        <v>0</v>
      </c>
      <c r="I38" s="13" t="s">
        <v>157</v>
      </c>
    </row>
    <row r="39" spans="1:9">
      <c r="A39" s="13" t="s">
        <v>158</v>
      </c>
      <c r="B39" s="13" t="s">
        <v>146</v>
      </c>
      <c r="C39" s="13" t="s">
        <v>96</v>
      </c>
      <c r="D39" s="25" t="s">
        <v>97</v>
      </c>
      <c r="E39" s="13" t="s">
        <v>84</v>
      </c>
      <c r="F39" s="15">
        <f>PROJECT_START+36</f>
        <v>46073</v>
      </c>
      <c r="G39" s="15">
        <f t="shared" si="1"/>
        <v>46073</v>
      </c>
      <c r="H39" s="13">
        <v>0</v>
      </c>
      <c r="I39" s="13" t="s">
        <v>98</v>
      </c>
    </row>
    <row r="40" spans="1:9">
      <c r="A40" s="13" t="s">
        <v>159</v>
      </c>
      <c r="B40" s="13" t="s">
        <v>146</v>
      </c>
      <c r="C40" s="13" t="s">
        <v>160</v>
      </c>
      <c r="D40" s="22" t="s">
        <v>78</v>
      </c>
      <c r="E40" s="13" t="s">
        <v>101</v>
      </c>
      <c r="F40" s="15">
        <f>PROJECT_START+37</f>
        <v>46074</v>
      </c>
      <c r="G40" s="15">
        <f t="shared" si="1"/>
        <v>46074</v>
      </c>
      <c r="H40" s="13">
        <f>DUR_BUF</f>
        <v>0</v>
      </c>
      <c r="I40" s="13" t="s">
        <v>102</v>
      </c>
    </row>
    <row r="41" spans="1:9">
      <c r="A41" s="17" t="s">
        <v>161</v>
      </c>
      <c r="B41" s="17" t="s">
        <v>162</v>
      </c>
      <c r="C41" s="17" t="s">
        <v>163</v>
      </c>
      <c r="D41" s="18" t="s">
        <v>65</v>
      </c>
      <c r="E41" s="17" t="s">
        <v>66</v>
      </c>
      <c r="F41" s="19">
        <f>PROJECT_START+39</f>
        <v>46076</v>
      </c>
      <c r="G41" s="19">
        <f t="shared" si="1"/>
        <v>46076</v>
      </c>
      <c r="H41" s="17">
        <v>0</v>
      </c>
      <c r="I41" s="17" t="s">
        <v>67</v>
      </c>
    </row>
    <row r="42" spans="1:9">
      <c r="A42" s="13" t="s">
        <v>164</v>
      </c>
      <c r="B42" s="13" t="s">
        <v>162</v>
      </c>
      <c r="C42" s="13" t="s">
        <v>165</v>
      </c>
      <c r="D42" s="20" t="s">
        <v>70</v>
      </c>
      <c r="E42" s="13" t="s">
        <v>55</v>
      </c>
      <c r="F42" s="15">
        <f>PROJECT_START+39</f>
        <v>46076</v>
      </c>
      <c r="G42" s="15">
        <f t="shared" si="1"/>
        <v>46076</v>
      </c>
      <c r="H42" s="13">
        <f>DUR_BUF</f>
        <v>0</v>
      </c>
      <c r="I42" s="13" t="s">
        <v>71</v>
      </c>
    </row>
    <row r="43" spans="1:9">
      <c r="A43" s="13" t="s">
        <v>166</v>
      </c>
      <c r="B43" s="13" t="s">
        <v>162</v>
      </c>
      <c r="C43" s="13" t="s">
        <v>167</v>
      </c>
      <c r="D43" s="21" t="s">
        <v>74</v>
      </c>
      <c r="E43" s="13" t="s">
        <v>60</v>
      </c>
      <c r="F43" s="15">
        <f>PROJECT_START+40</f>
        <v>46077</v>
      </c>
      <c r="G43" s="15">
        <f t="shared" si="1"/>
        <v>46077</v>
      </c>
      <c r="H43" s="13">
        <v>0</v>
      </c>
      <c r="I43" s="13" t="s">
        <v>75</v>
      </c>
    </row>
    <row r="44" spans="1:9">
      <c r="A44" s="13" t="s">
        <v>168</v>
      </c>
      <c r="B44" s="13" t="s">
        <v>162</v>
      </c>
      <c r="C44" s="13" t="s">
        <v>111</v>
      </c>
      <c r="D44" s="22" t="s">
        <v>78</v>
      </c>
      <c r="E44" s="13" t="s">
        <v>79</v>
      </c>
      <c r="F44" s="15">
        <f>PROJECT_START+40</f>
        <v>46077</v>
      </c>
      <c r="G44" s="15">
        <f t="shared" si="1"/>
        <v>46077</v>
      </c>
      <c r="H44" s="13">
        <v>0</v>
      </c>
      <c r="I44" s="13" t="s">
        <v>80</v>
      </c>
    </row>
    <row r="45" spans="1:9">
      <c r="A45" s="13" t="s">
        <v>169</v>
      </c>
      <c r="B45" s="13" t="s">
        <v>162</v>
      </c>
      <c r="C45" s="13" t="s">
        <v>113</v>
      </c>
      <c r="D45" s="23" t="s">
        <v>83</v>
      </c>
      <c r="E45" s="13" t="s">
        <v>84</v>
      </c>
      <c r="F45" s="15">
        <f>PROJECT_START+40</f>
        <v>46077</v>
      </c>
      <c r="G45" s="15">
        <f t="shared" si="1"/>
        <v>46077</v>
      </c>
      <c r="H45" s="13">
        <v>0</v>
      </c>
      <c r="I45" s="13" t="s">
        <v>85</v>
      </c>
    </row>
    <row r="46" spans="1:9">
      <c r="A46" s="13" t="s">
        <v>170</v>
      </c>
      <c r="B46" s="13" t="s">
        <v>162</v>
      </c>
      <c r="C46" s="13" t="s">
        <v>115</v>
      </c>
      <c r="D46" s="24" t="s">
        <v>88</v>
      </c>
      <c r="E46" s="13" t="s">
        <v>89</v>
      </c>
      <c r="F46" s="15">
        <f>PROJECT_START+41</f>
        <v>46078</v>
      </c>
      <c r="G46" s="15">
        <f t="shared" si="1"/>
        <v>46078</v>
      </c>
      <c r="H46" s="13">
        <v>0</v>
      </c>
      <c r="I46" s="13" t="s">
        <v>90</v>
      </c>
    </row>
    <row r="47" spans="1:9">
      <c r="A47" s="13" t="s">
        <v>171</v>
      </c>
      <c r="B47" s="13" t="s">
        <v>162</v>
      </c>
      <c r="C47" s="13" t="s">
        <v>172</v>
      </c>
      <c r="D47" s="26" t="s">
        <v>118</v>
      </c>
      <c r="E47" s="13" t="s">
        <v>55</v>
      </c>
      <c r="F47" s="15">
        <f>PROJECT_START+42</f>
        <v>46079</v>
      </c>
      <c r="G47" s="15">
        <f t="shared" si="1"/>
        <v>46079</v>
      </c>
      <c r="H47" s="13">
        <f>DUR_BUF</f>
        <v>0</v>
      </c>
      <c r="I47" s="13" t="s">
        <v>119</v>
      </c>
    </row>
    <row r="48" spans="1:9">
      <c r="A48" s="13" t="s">
        <v>173</v>
      </c>
      <c r="B48" s="13" t="s">
        <v>162</v>
      </c>
      <c r="C48" s="13" t="s">
        <v>174</v>
      </c>
      <c r="D48" s="26" t="s">
        <v>118</v>
      </c>
      <c r="E48" s="13" t="s">
        <v>55</v>
      </c>
      <c r="F48" s="15">
        <f>PROJECT_START+43</f>
        <v>46080</v>
      </c>
      <c r="G48" s="15">
        <f t="shared" si="1"/>
        <v>46080</v>
      </c>
      <c r="H48" s="13">
        <v>0</v>
      </c>
      <c r="I48" s="13" t="s">
        <v>175</v>
      </c>
    </row>
    <row r="49" spans="1:9">
      <c r="A49" s="13" t="s">
        <v>176</v>
      </c>
      <c r="B49" s="13" t="s">
        <v>162</v>
      </c>
      <c r="C49" s="13" t="s">
        <v>177</v>
      </c>
      <c r="D49" s="22" t="s">
        <v>78</v>
      </c>
      <c r="E49" s="13" t="s">
        <v>101</v>
      </c>
      <c r="F49" s="15">
        <f>PROJECT_START+43</f>
        <v>46080</v>
      </c>
      <c r="G49" s="15">
        <f t="shared" si="1"/>
        <v>46080</v>
      </c>
      <c r="H49" s="13">
        <f>DUR_BUF</f>
        <v>0</v>
      </c>
      <c r="I49" s="13" t="s">
        <v>178</v>
      </c>
    </row>
    <row r="50" spans="1:9">
      <c r="A50" s="13" t="s">
        <v>179</v>
      </c>
      <c r="B50" s="13" t="s">
        <v>162</v>
      </c>
      <c r="C50" s="13" t="s">
        <v>180</v>
      </c>
      <c r="D50" s="26" t="s">
        <v>118</v>
      </c>
      <c r="E50" s="13" t="s">
        <v>55</v>
      </c>
      <c r="F50" s="15">
        <f>PROJECT_START+43</f>
        <v>46080</v>
      </c>
      <c r="G50" s="15">
        <f t="shared" si="1"/>
        <v>46080</v>
      </c>
      <c r="H50" s="13">
        <f>DUR_BUF</f>
        <v>0</v>
      </c>
      <c r="I50" s="13" t="s">
        <v>119</v>
      </c>
    </row>
    <row r="51" spans="1:9">
      <c r="A51" s="13" t="s">
        <v>181</v>
      </c>
      <c r="B51" s="13" t="s">
        <v>162</v>
      </c>
      <c r="C51" s="13" t="s">
        <v>182</v>
      </c>
      <c r="D51" s="26" t="s">
        <v>118</v>
      </c>
      <c r="E51" s="13" t="s">
        <v>55</v>
      </c>
      <c r="F51" s="15">
        <f>PROJECT_START+44</f>
        <v>46081</v>
      </c>
      <c r="G51" s="15">
        <f t="shared" si="1"/>
        <v>46081</v>
      </c>
      <c r="H51" s="13">
        <v>0</v>
      </c>
      <c r="I51" s="13" t="s">
        <v>183</v>
      </c>
    </row>
    <row r="52" spans="1:9">
      <c r="A52" s="13" t="s">
        <v>184</v>
      </c>
      <c r="B52" s="13" t="s">
        <v>162</v>
      </c>
      <c r="C52" s="13" t="s">
        <v>185</v>
      </c>
      <c r="D52" s="22" t="s">
        <v>78</v>
      </c>
      <c r="E52" s="13" t="s">
        <v>101</v>
      </c>
      <c r="F52" s="15">
        <f>PROJECT_START+44</f>
        <v>46081</v>
      </c>
      <c r="G52" s="15">
        <f t="shared" si="1"/>
        <v>46081</v>
      </c>
      <c r="H52" s="13">
        <v>0</v>
      </c>
      <c r="I52" s="13" t="s">
        <v>186</v>
      </c>
    </row>
    <row r="53" spans="1:9">
      <c r="A53" s="27" t="s">
        <v>187</v>
      </c>
      <c r="B53" s="27" t="s">
        <v>162</v>
      </c>
      <c r="C53" s="27" t="s">
        <v>188</v>
      </c>
      <c r="D53" s="28" t="s">
        <v>137</v>
      </c>
      <c r="E53" s="27" t="s">
        <v>55</v>
      </c>
      <c r="F53" s="29">
        <f>PROJECT_START+44</f>
        <v>46081</v>
      </c>
      <c r="G53" s="29">
        <f t="shared" si="1"/>
        <v>46081</v>
      </c>
      <c r="H53" s="27">
        <v>0</v>
      </c>
      <c r="I53" s="27" t="s">
        <v>138</v>
      </c>
    </row>
    <row r="54" spans="1:9">
      <c r="A54" s="13" t="s">
        <v>189</v>
      </c>
      <c r="B54" s="13" t="s">
        <v>162</v>
      </c>
      <c r="C54" s="13" t="s">
        <v>190</v>
      </c>
      <c r="D54" s="25" t="s">
        <v>97</v>
      </c>
      <c r="E54" s="13" t="s">
        <v>84</v>
      </c>
      <c r="F54" s="15">
        <f>PROJECT_START+45</f>
        <v>46082</v>
      </c>
      <c r="G54" s="15">
        <f t="shared" si="1"/>
        <v>46082</v>
      </c>
      <c r="H54" s="13">
        <v>0</v>
      </c>
      <c r="I54" s="13" t="s">
        <v>141</v>
      </c>
    </row>
    <row r="55" spans="1:9">
      <c r="A55" s="13" t="s">
        <v>191</v>
      </c>
      <c r="B55" s="13" t="s">
        <v>162</v>
      </c>
      <c r="C55" s="13" t="s">
        <v>160</v>
      </c>
      <c r="D55" s="22" t="s">
        <v>78</v>
      </c>
      <c r="E55" s="13" t="s">
        <v>101</v>
      </c>
      <c r="F55" s="15">
        <f>PROJECT_START+45</f>
        <v>46082</v>
      </c>
      <c r="G55" s="15">
        <f t="shared" si="1"/>
        <v>46082</v>
      </c>
      <c r="H55" s="13">
        <f>DUR_BUF</f>
        <v>0</v>
      </c>
      <c r="I55" s="13" t="s">
        <v>192</v>
      </c>
    </row>
    <row r="56" spans="1:9">
      <c r="A56" s="17" t="s">
        <v>193</v>
      </c>
      <c r="B56" s="17" t="s">
        <v>194</v>
      </c>
      <c r="C56" s="17" t="s">
        <v>195</v>
      </c>
      <c r="D56" s="18" t="s">
        <v>65</v>
      </c>
      <c r="E56" s="17" t="s">
        <v>66</v>
      </c>
      <c r="F56" s="19">
        <f>PROJECT_START+46</f>
        <v>46083</v>
      </c>
      <c r="G56" s="19">
        <f t="shared" si="1"/>
        <v>46083</v>
      </c>
      <c r="H56" s="17">
        <v>0</v>
      </c>
      <c r="I56" s="17" t="s">
        <v>67</v>
      </c>
    </row>
    <row r="57" spans="1:9">
      <c r="A57" s="13" t="s">
        <v>196</v>
      </c>
      <c r="B57" s="13" t="s">
        <v>194</v>
      </c>
      <c r="C57" s="13" t="s">
        <v>197</v>
      </c>
      <c r="D57" s="20" t="s">
        <v>70</v>
      </c>
      <c r="E57" s="13" t="s">
        <v>55</v>
      </c>
      <c r="F57" s="15">
        <f>PROJECT_START+46</f>
        <v>46083</v>
      </c>
      <c r="G57" s="15">
        <f t="shared" si="1"/>
        <v>46083</v>
      </c>
      <c r="H57" s="13">
        <f>DUR_BUF</f>
        <v>0</v>
      </c>
      <c r="I57" s="13" t="s">
        <v>71</v>
      </c>
    </row>
    <row r="58" spans="1:9">
      <c r="A58" s="13" t="s">
        <v>198</v>
      </c>
      <c r="B58" s="13" t="s">
        <v>194</v>
      </c>
      <c r="C58" s="13" t="s">
        <v>199</v>
      </c>
      <c r="D58" s="21" t="s">
        <v>74</v>
      </c>
      <c r="E58" s="13" t="s">
        <v>60</v>
      </c>
      <c r="F58" s="15">
        <f>PROJECT_START+46</f>
        <v>46083</v>
      </c>
      <c r="G58" s="15">
        <f t="shared" si="1"/>
        <v>46083</v>
      </c>
      <c r="H58" s="13">
        <v>0</v>
      </c>
      <c r="I58" s="13" t="s">
        <v>200</v>
      </c>
    </row>
    <row r="59" spans="1:9">
      <c r="A59" s="13" t="s">
        <v>201</v>
      </c>
      <c r="B59" s="13" t="s">
        <v>194</v>
      </c>
      <c r="C59" s="13" t="s">
        <v>111</v>
      </c>
      <c r="D59" s="22" t="s">
        <v>78</v>
      </c>
      <c r="E59" s="13" t="s">
        <v>79</v>
      </c>
      <c r="F59" s="15">
        <f>PROJECT_START+46</f>
        <v>46083</v>
      </c>
      <c r="G59" s="15">
        <f t="shared" si="1"/>
        <v>46083</v>
      </c>
      <c r="H59" s="13">
        <v>0</v>
      </c>
      <c r="I59" s="13" t="s">
        <v>200</v>
      </c>
    </row>
    <row r="60" spans="1:9">
      <c r="A60" s="13" t="s">
        <v>202</v>
      </c>
      <c r="B60" s="13" t="s">
        <v>194</v>
      </c>
      <c r="C60" s="13" t="s">
        <v>113</v>
      </c>
      <c r="D60" s="23" t="s">
        <v>83</v>
      </c>
      <c r="E60" s="13" t="s">
        <v>84</v>
      </c>
      <c r="F60" s="15">
        <f>PROJECT_START+46</f>
        <v>46083</v>
      </c>
      <c r="G60" s="15">
        <f t="shared" si="1"/>
        <v>46083</v>
      </c>
      <c r="H60" s="13">
        <v>0</v>
      </c>
      <c r="I60" s="13" t="s">
        <v>85</v>
      </c>
    </row>
    <row r="61" spans="1:9">
      <c r="A61" s="13" t="s">
        <v>203</v>
      </c>
      <c r="B61" s="13" t="s">
        <v>194</v>
      </c>
      <c r="C61" s="13" t="s">
        <v>115</v>
      </c>
      <c r="D61" s="24" t="s">
        <v>88</v>
      </c>
      <c r="E61" s="13" t="s">
        <v>89</v>
      </c>
      <c r="F61" s="15">
        <f>PROJECT_START+47</f>
        <v>46084</v>
      </c>
      <c r="G61" s="15">
        <f t="shared" si="1"/>
        <v>46084</v>
      </c>
      <c r="H61" s="13">
        <v>0</v>
      </c>
      <c r="I61" s="13" t="s">
        <v>90</v>
      </c>
    </row>
    <row r="62" spans="1:9">
      <c r="A62" s="13" t="s">
        <v>204</v>
      </c>
      <c r="B62" s="13" t="s">
        <v>194</v>
      </c>
      <c r="C62" s="13" t="s">
        <v>205</v>
      </c>
      <c r="D62" s="22" t="s">
        <v>78</v>
      </c>
      <c r="E62" s="13" t="s">
        <v>93</v>
      </c>
      <c r="F62" s="15">
        <f>PROJECT_START+48</f>
        <v>46085</v>
      </c>
      <c r="G62" s="15">
        <f t="shared" si="1"/>
        <v>46085</v>
      </c>
      <c r="H62" s="13">
        <f>DUR_BUF</f>
        <v>0</v>
      </c>
      <c r="I62" s="13" t="s">
        <v>206</v>
      </c>
    </row>
    <row r="63" spans="1:9">
      <c r="A63" s="13" t="s">
        <v>207</v>
      </c>
      <c r="B63" s="13" t="s">
        <v>194</v>
      </c>
      <c r="C63" s="13" t="s">
        <v>96</v>
      </c>
      <c r="D63" s="25" t="s">
        <v>97</v>
      </c>
      <c r="E63" s="13" t="s">
        <v>84</v>
      </c>
      <c r="F63" s="15">
        <f>PROJECT_START+49</f>
        <v>46086</v>
      </c>
      <c r="G63" s="15">
        <f t="shared" si="1"/>
        <v>46086</v>
      </c>
      <c r="H63" s="13">
        <v>0</v>
      </c>
      <c r="I63" s="13" t="s">
        <v>98</v>
      </c>
    </row>
    <row r="64" spans="1:9">
      <c r="A64" s="13" t="s">
        <v>208</v>
      </c>
      <c r="B64" s="13" t="s">
        <v>194</v>
      </c>
      <c r="C64" s="13" t="s">
        <v>160</v>
      </c>
      <c r="D64" s="22" t="s">
        <v>78</v>
      </c>
      <c r="E64" s="13" t="s">
        <v>101</v>
      </c>
      <c r="F64" s="15">
        <f>PROJECT_START+50</f>
        <v>46087</v>
      </c>
      <c r="G64" s="15">
        <f t="shared" si="1"/>
        <v>46087</v>
      </c>
      <c r="H64" s="13">
        <f>DUR_BUF</f>
        <v>0</v>
      </c>
      <c r="I64" s="13" t="s">
        <v>102</v>
      </c>
    </row>
    <row r="65" spans="1:9">
      <c r="A65" s="17" t="s">
        <v>209</v>
      </c>
      <c r="B65" s="17" t="s">
        <v>210</v>
      </c>
      <c r="C65" s="17" t="s">
        <v>211</v>
      </c>
      <c r="D65" s="18" t="s">
        <v>65</v>
      </c>
      <c r="E65" s="17" t="s">
        <v>66</v>
      </c>
      <c r="F65" s="19">
        <f>PROJECT_START+53</f>
        <v>46090</v>
      </c>
      <c r="G65" s="19">
        <f t="shared" si="1"/>
        <v>46090</v>
      </c>
      <c r="H65" s="17">
        <v>0</v>
      </c>
      <c r="I65" s="17" t="s">
        <v>67</v>
      </c>
    </row>
    <row r="66" spans="1:9">
      <c r="A66" s="13" t="s">
        <v>212</v>
      </c>
      <c r="B66" s="13" t="s">
        <v>210</v>
      </c>
      <c r="C66" s="13" t="s">
        <v>213</v>
      </c>
      <c r="D66" s="20" t="s">
        <v>70</v>
      </c>
      <c r="E66" s="13" t="s">
        <v>55</v>
      </c>
      <c r="F66" s="15">
        <f>PROJECT_START+53</f>
        <v>46090</v>
      </c>
      <c r="G66" s="15">
        <f t="shared" si="1"/>
        <v>46090</v>
      </c>
      <c r="H66" s="13">
        <f>DUR_BUF</f>
        <v>0</v>
      </c>
      <c r="I66" s="13" t="s">
        <v>214</v>
      </c>
    </row>
    <row r="67" spans="1:9">
      <c r="A67" s="13" t="s">
        <v>215</v>
      </c>
      <c r="B67" s="13" t="s">
        <v>210</v>
      </c>
      <c r="C67" s="13" t="s">
        <v>216</v>
      </c>
      <c r="D67" s="21" t="s">
        <v>74</v>
      </c>
      <c r="E67" s="13" t="s">
        <v>60</v>
      </c>
      <c r="F67" s="15">
        <f>PROJECT_START+53</f>
        <v>46090</v>
      </c>
      <c r="G67" s="15">
        <f t="shared" si="1"/>
        <v>46090</v>
      </c>
      <c r="H67" s="13">
        <v>0</v>
      </c>
      <c r="I67" s="13" t="s">
        <v>200</v>
      </c>
    </row>
    <row r="68" spans="1:9">
      <c r="A68" s="13" t="s">
        <v>217</v>
      </c>
      <c r="B68" s="13" t="s">
        <v>210</v>
      </c>
      <c r="C68" s="13" t="s">
        <v>111</v>
      </c>
      <c r="D68" s="22" t="s">
        <v>78</v>
      </c>
      <c r="E68" s="13" t="s">
        <v>79</v>
      </c>
      <c r="F68" s="15">
        <f>PROJECT_START+53</f>
        <v>46090</v>
      </c>
      <c r="G68" s="15">
        <f t="shared" si="1"/>
        <v>46090</v>
      </c>
      <c r="H68" s="13">
        <v>0</v>
      </c>
      <c r="I68" s="13" t="s">
        <v>200</v>
      </c>
    </row>
    <row r="69" spans="1:9">
      <c r="A69" s="13" t="s">
        <v>218</v>
      </c>
      <c r="B69" s="13" t="s">
        <v>210</v>
      </c>
      <c r="C69" s="13" t="s">
        <v>113</v>
      </c>
      <c r="D69" s="23" t="s">
        <v>83</v>
      </c>
      <c r="E69" s="13" t="s">
        <v>84</v>
      </c>
      <c r="F69" s="15">
        <f>PROJECT_START+53</f>
        <v>46090</v>
      </c>
      <c r="G69" s="15">
        <f t="shared" si="1"/>
        <v>46090</v>
      </c>
      <c r="H69" s="13">
        <v>0</v>
      </c>
      <c r="I69" s="13" t="s">
        <v>85</v>
      </c>
    </row>
    <row r="70" spans="1:9">
      <c r="A70" s="13" t="s">
        <v>219</v>
      </c>
      <c r="B70" s="13" t="s">
        <v>210</v>
      </c>
      <c r="C70" s="13" t="s">
        <v>115</v>
      </c>
      <c r="D70" s="24" t="s">
        <v>88</v>
      </c>
      <c r="E70" s="13" t="s">
        <v>89</v>
      </c>
      <c r="F70" s="15">
        <f>PROJECT_START+54</f>
        <v>46091</v>
      </c>
      <c r="G70" s="15">
        <f t="shared" ref="G70:G101" si="2">F70+H70</f>
        <v>46091</v>
      </c>
      <c r="H70" s="13">
        <v>0</v>
      </c>
      <c r="I70" s="13" t="s">
        <v>220</v>
      </c>
    </row>
    <row r="71" spans="1:9">
      <c r="A71" s="13" t="s">
        <v>221</v>
      </c>
      <c r="B71" s="13" t="s">
        <v>210</v>
      </c>
      <c r="C71" s="13" t="s">
        <v>222</v>
      </c>
      <c r="D71" s="26" t="s">
        <v>118</v>
      </c>
      <c r="E71" s="13" t="s">
        <v>55</v>
      </c>
      <c r="F71" s="15">
        <f>PROJECT_START+55</f>
        <v>46092</v>
      </c>
      <c r="G71" s="15">
        <f t="shared" si="2"/>
        <v>46092</v>
      </c>
      <c r="H71" s="13">
        <f>DUR_BUF</f>
        <v>0</v>
      </c>
      <c r="I71" s="13" t="s">
        <v>119</v>
      </c>
    </row>
    <row r="72" spans="1:9">
      <c r="A72" s="13" t="s">
        <v>223</v>
      </c>
      <c r="B72" s="13" t="s">
        <v>210</v>
      </c>
      <c r="C72" s="13" t="s">
        <v>224</v>
      </c>
      <c r="D72" s="26" t="s">
        <v>118</v>
      </c>
      <c r="E72" s="13" t="s">
        <v>55</v>
      </c>
      <c r="F72" s="15">
        <f>PROJECT_START+56</f>
        <v>46093</v>
      </c>
      <c r="G72" s="15">
        <f t="shared" si="2"/>
        <v>46093</v>
      </c>
      <c r="H72" s="13">
        <v>0</v>
      </c>
      <c r="I72" s="13" t="s">
        <v>225</v>
      </c>
    </row>
    <row r="73" spans="1:9">
      <c r="A73" s="13" t="s">
        <v>226</v>
      </c>
      <c r="B73" s="13" t="s">
        <v>210</v>
      </c>
      <c r="C73" s="13" t="s">
        <v>227</v>
      </c>
      <c r="D73" s="26" t="s">
        <v>118</v>
      </c>
      <c r="E73" s="13" t="s">
        <v>55</v>
      </c>
      <c r="F73" s="15">
        <f>PROJECT_START+60</f>
        <v>46097</v>
      </c>
      <c r="G73" s="15">
        <f t="shared" si="2"/>
        <v>46097</v>
      </c>
      <c r="H73" s="13">
        <f>DUR_BUF</f>
        <v>0</v>
      </c>
      <c r="I73" s="13" t="s">
        <v>119</v>
      </c>
    </row>
    <row r="74" spans="1:9">
      <c r="A74" s="13" t="s">
        <v>228</v>
      </c>
      <c r="B74" s="13" t="s">
        <v>210</v>
      </c>
      <c r="C74" s="13" t="s">
        <v>229</v>
      </c>
      <c r="D74" s="26" t="s">
        <v>118</v>
      </c>
      <c r="E74" s="13" t="s">
        <v>55</v>
      </c>
      <c r="F74" s="15">
        <f>PROJECT_START+61</f>
        <v>46098</v>
      </c>
      <c r="G74" s="15">
        <f t="shared" si="2"/>
        <v>46098</v>
      </c>
      <c r="H74" s="13">
        <v>0</v>
      </c>
      <c r="I74" s="13" t="s">
        <v>230</v>
      </c>
    </row>
    <row r="75" spans="1:9">
      <c r="A75" s="13" t="s">
        <v>231</v>
      </c>
      <c r="B75" s="13" t="s">
        <v>210</v>
      </c>
      <c r="C75" s="13" t="s">
        <v>232</v>
      </c>
      <c r="D75" s="22" t="s">
        <v>78</v>
      </c>
      <c r="E75" s="13" t="s">
        <v>101</v>
      </c>
      <c r="F75" s="15">
        <f>PROJECT_START+61</f>
        <v>46098</v>
      </c>
      <c r="G75" s="15">
        <f t="shared" si="2"/>
        <v>46098</v>
      </c>
      <c r="H75" s="13">
        <f>DUR_BUF</f>
        <v>0</v>
      </c>
      <c r="I75" s="13" t="s">
        <v>134</v>
      </c>
    </row>
    <row r="76" spans="1:9">
      <c r="A76" s="27" t="s">
        <v>233</v>
      </c>
      <c r="B76" s="27" t="s">
        <v>210</v>
      </c>
      <c r="C76" s="27" t="s">
        <v>234</v>
      </c>
      <c r="D76" s="28" t="s">
        <v>137</v>
      </c>
      <c r="E76" s="27" t="s">
        <v>55</v>
      </c>
      <c r="F76" s="29">
        <f>PROJECT_START+63</f>
        <v>46100</v>
      </c>
      <c r="G76" s="29">
        <f t="shared" si="2"/>
        <v>46100</v>
      </c>
      <c r="H76" s="27">
        <v>0</v>
      </c>
      <c r="I76" s="27" t="s">
        <v>138</v>
      </c>
    </row>
    <row r="77" spans="1:9">
      <c r="A77" s="13" t="s">
        <v>235</v>
      </c>
      <c r="B77" s="13" t="s">
        <v>210</v>
      </c>
      <c r="C77" s="13" t="s">
        <v>236</v>
      </c>
      <c r="D77" s="25" t="s">
        <v>97</v>
      </c>
      <c r="E77" s="13" t="s">
        <v>84</v>
      </c>
      <c r="F77" s="15">
        <f>PROJECT_START+64</f>
        <v>46101</v>
      </c>
      <c r="G77" s="15">
        <f t="shared" si="2"/>
        <v>46101</v>
      </c>
      <c r="H77" s="13">
        <v>0</v>
      </c>
      <c r="I77" s="13" t="s">
        <v>141</v>
      </c>
    </row>
    <row r="78" spans="1:9">
      <c r="A78" s="13" t="s">
        <v>237</v>
      </c>
      <c r="B78" s="13" t="s">
        <v>210</v>
      </c>
      <c r="C78" s="13" t="s">
        <v>160</v>
      </c>
      <c r="D78" s="22" t="s">
        <v>78</v>
      </c>
      <c r="E78" s="13" t="s">
        <v>101</v>
      </c>
      <c r="F78" s="15">
        <f>PROJECT_START+65</f>
        <v>46102</v>
      </c>
      <c r="G78" s="15">
        <f t="shared" si="2"/>
        <v>46102</v>
      </c>
      <c r="H78" s="13">
        <f>DUR_BUF</f>
        <v>0</v>
      </c>
      <c r="I78" s="13" t="s">
        <v>102</v>
      </c>
    </row>
    <row r="79" spans="1:9">
      <c r="A79" s="17" t="s">
        <v>238</v>
      </c>
      <c r="B79" s="17" t="s">
        <v>239</v>
      </c>
      <c r="C79" s="17" t="s">
        <v>240</v>
      </c>
      <c r="D79" s="18" t="s">
        <v>65</v>
      </c>
      <c r="E79" s="17" t="s">
        <v>66</v>
      </c>
      <c r="F79" s="19">
        <f>PROJECT_START+68</f>
        <v>46105</v>
      </c>
      <c r="G79" s="19">
        <f t="shared" si="2"/>
        <v>46105</v>
      </c>
      <c r="H79" s="17">
        <v>0</v>
      </c>
      <c r="I79" s="17" t="s">
        <v>67</v>
      </c>
    </row>
    <row r="80" spans="1:9">
      <c r="A80" s="13" t="s">
        <v>241</v>
      </c>
      <c r="B80" s="13" t="s">
        <v>239</v>
      </c>
      <c r="C80" s="13" t="s">
        <v>242</v>
      </c>
      <c r="D80" s="20" t="s">
        <v>70</v>
      </c>
      <c r="E80" s="13" t="s">
        <v>55</v>
      </c>
      <c r="F80" s="15">
        <f>PROJECT_START+68</f>
        <v>46105</v>
      </c>
      <c r="G80" s="15">
        <f t="shared" si="2"/>
        <v>46105</v>
      </c>
      <c r="H80" s="13">
        <f>DUR_BUF</f>
        <v>0</v>
      </c>
      <c r="I80" s="13" t="s">
        <v>214</v>
      </c>
    </row>
    <row r="81" spans="1:9">
      <c r="A81" s="13" t="s">
        <v>243</v>
      </c>
      <c r="B81" s="13" t="s">
        <v>239</v>
      </c>
      <c r="C81" s="13" t="s">
        <v>244</v>
      </c>
      <c r="D81" s="21" t="s">
        <v>74</v>
      </c>
      <c r="E81" s="13" t="s">
        <v>60</v>
      </c>
      <c r="F81" s="15">
        <f>PROJECT_START+68</f>
        <v>46105</v>
      </c>
      <c r="G81" s="15">
        <f t="shared" si="2"/>
        <v>46105</v>
      </c>
      <c r="H81" s="13">
        <v>0</v>
      </c>
      <c r="I81" s="13" t="s">
        <v>200</v>
      </c>
    </row>
    <row r="82" spans="1:9">
      <c r="A82" s="13" t="s">
        <v>245</v>
      </c>
      <c r="B82" s="13" t="s">
        <v>239</v>
      </c>
      <c r="C82" s="13" t="s">
        <v>111</v>
      </c>
      <c r="D82" s="22" t="s">
        <v>78</v>
      </c>
      <c r="E82" s="13" t="s">
        <v>79</v>
      </c>
      <c r="F82" s="15">
        <f>PROJECT_START+68</f>
        <v>46105</v>
      </c>
      <c r="G82" s="15">
        <f t="shared" si="2"/>
        <v>46105</v>
      </c>
      <c r="H82" s="13">
        <v>0</v>
      </c>
      <c r="I82" s="13" t="s">
        <v>200</v>
      </c>
    </row>
    <row r="83" spans="1:9">
      <c r="A83" s="13" t="s">
        <v>246</v>
      </c>
      <c r="B83" s="13" t="s">
        <v>239</v>
      </c>
      <c r="C83" s="13" t="s">
        <v>113</v>
      </c>
      <c r="D83" s="23" t="s">
        <v>83</v>
      </c>
      <c r="E83" s="13" t="s">
        <v>84</v>
      </c>
      <c r="F83" s="15">
        <f>PROJECT_START+68</f>
        <v>46105</v>
      </c>
      <c r="G83" s="15">
        <f t="shared" si="2"/>
        <v>46105</v>
      </c>
      <c r="H83" s="13">
        <v>0</v>
      </c>
      <c r="I83" s="13" t="s">
        <v>85</v>
      </c>
    </row>
    <row r="84" spans="1:9">
      <c r="A84" s="13" t="s">
        <v>247</v>
      </c>
      <c r="B84" s="13" t="s">
        <v>239</v>
      </c>
      <c r="C84" s="13" t="s">
        <v>115</v>
      </c>
      <c r="D84" s="24" t="s">
        <v>88</v>
      </c>
      <c r="E84" s="13" t="s">
        <v>89</v>
      </c>
      <c r="F84" s="15">
        <f>PROJECT_START+69</f>
        <v>46106</v>
      </c>
      <c r="G84" s="15">
        <f t="shared" si="2"/>
        <v>46106</v>
      </c>
      <c r="H84" s="13">
        <v>0</v>
      </c>
      <c r="I84" s="13" t="s">
        <v>220</v>
      </c>
    </row>
    <row r="85" spans="1:9">
      <c r="A85" s="13" t="s">
        <v>248</v>
      </c>
      <c r="B85" s="13" t="s">
        <v>239</v>
      </c>
      <c r="C85" s="13" t="s">
        <v>249</v>
      </c>
      <c r="D85" s="26" t="s">
        <v>118</v>
      </c>
      <c r="E85" s="13" t="s">
        <v>55</v>
      </c>
      <c r="F85" s="15">
        <f>PROJECT_START+70</f>
        <v>46107</v>
      </c>
      <c r="G85" s="15">
        <f t="shared" si="2"/>
        <v>46107</v>
      </c>
      <c r="H85" s="13">
        <f>DUR_BUF</f>
        <v>0</v>
      </c>
      <c r="I85" s="13" t="s">
        <v>119</v>
      </c>
    </row>
    <row r="86" spans="1:9">
      <c r="A86" s="13" t="s">
        <v>250</v>
      </c>
      <c r="B86" s="13" t="s">
        <v>239</v>
      </c>
      <c r="C86" s="13" t="s">
        <v>251</v>
      </c>
      <c r="D86" s="26" t="s">
        <v>118</v>
      </c>
      <c r="E86" s="13" t="s">
        <v>55</v>
      </c>
      <c r="F86" s="15">
        <f>PROJECT_START+71</f>
        <v>46108</v>
      </c>
      <c r="G86" s="15">
        <f t="shared" si="2"/>
        <v>46108</v>
      </c>
      <c r="H86" s="13">
        <v>0</v>
      </c>
      <c r="I86" s="13" t="s">
        <v>252</v>
      </c>
    </row>
    <row r="87" spans="1:9">
      <c r="A87" s="27" t="s">
        <v>253</v>
      </c>
      <c r="B87" s="27" t="s">
        <v>239</v>
      </c>
      <c r="C87" s="27" t="s">
        <v>254</v>
      </c>
      <c r="D87" s="28" t="s">
        <v>137</v>
      </c>
      <c r="E87" s="27" t="s">
        <v>55</v>
      </c>
      <c r="F87" s="29">
        <f>PROJECT_START+75</f>
        <v>46112</v>
      </c>
      <c r="G87" s="29">
        <f t="shared" si="2"/>
        <v>46112</v>
      </c>
      <c r="H87" s="27">
        <v>0</v>
      </c>
      <c r="I87" s="27" t="s">
        <v>255</v>
      </c>
    </row>
    <row r="88" spans="1:9">
      <c r="A88" s="13" t="s">
        <v>256</v>
      </c>
      <c r="B88" s="13" t="s">
        <v>239</v>
      </c>
      <c r="C88" s="13" t="s">
        <v>257</v>
      </c>
      <c r="D88" s="25" t="s">
        <v>97</v>
      </c>
      <c r="E88" s="13" t="s">
        <v>84</v>
      </c>
      <c r="F88" s="15">
        <f>PROJECT_START+76</f>
        <v>46113</v>
      </c>
      <c r="G88" s="15">
        <f t="shared" si="2"/>
        <v>46113</v>
      </c>
      <c r="H88" s="13">
        <v>0</v>
      </c>
      <c r="I88" s="13" t="s">
        <v>258</v>
      </c>
    </row>
    <row r="89" spans="1:9">
      <c r="A89" s="13" t="s">
        <v>259</v>
      </c>
      <c r="B89" s="13" t="s">
        <v>260</v>
      </c>
      <c r="C89" s="13" t="s">
        <v>261</v>
      </c>
      <c r="D89" s="14" t="s">
        <v>54</v>
      </c>
      <c r="E89" s="13" t="s">
        <v>93</v>
      </c>
      <c r="F89" s="15">
        <f>PROJECT_START+77</f>
        <v>46114</v>
      </c>
      <c r="G89" s="15">
        <f t="shared" si="2"/>
        <v>46114</v>
      </c>
      <c r="H89" s="13">
        <f>DUR_MOB</f>
        <v>0</v>
      </c>
      <c r="I89" s="13" t="s">
        <v>262</v>
      </c>
    </row>
    <row r="90" spans="1:9">
      <c r="A90" s="17" t="s">
        <v>263</v>
      </c>
      <c r="B90" s="17" t="s">
        <v>260</v>
      </c>
      <c r="C90" s="17" t="s">
        <v>264</v>
      </c>
      <c r="D90" s="18" t="s">
        <v>65</v>
      </c>
      <c r="E90" s="17" t="s">
        <v>101</v>
      </c>
      <c r="F90" s="19">
        <f>PROJECT_START+78</f>
        <v>46115</v>
      </c>
      <c r="G90" s="19">
        <f t="shared" si="2"/>
        <v>46115</v>
      </c>
      <c r="H90" s="17">
        <v>0</v>
      </c>
      <c r="I90" s="17" t="s">
        <v>265</v>
      </c>
    </row>
  </sheetData>
  <mergeCells count="3">
    <mergeCell ref="A1:I1"/>
    <mergeCell ref="A3:I3"/>
    <mergeCell ref="A2:I2"/>
  </mergeCells>
  <phoneticPr fontId="17" type="noConversion"/>
  <pageMargins left="0.75" right="0.75" top="1" bottom="1" header="0.5" footer="0.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DW89"/>
  <sheetViews>
    <sheetView workbookViewId="0">
      <pane xSplit="7" ySplit="4" topLeftCell="H5" activePane="bottomRight" state="frozen"/>
      <selection pane="topRight"/>
      <selection pane="bottomLeft"/>
      <selection pane="bottomRight"/>
    </sheetView>
  </sheetViews>
  <sheetFormatPr defaultRowHeight="16.899999999999999"/>
  <cols>
    <col min="1" max="1" width="10" customWidth="1"/>
    <col min="2" max="2" width="5" customWidth="1"/>
    <col min="3" max="3" width="28" customWidth="1"/>
    <col min="4" max="4" width="12" customWidth="1"/>
    <col min="5" max="6" width="7" customWidth="1"/>
    <col min="7" max="7" width="4" customWidth="1"/>
    <col min="8" max="127" width="2.5" customWidth="1"/>
  </cols>
  <sheetData>
    <row r="1" spans="1:127" ht="20.65">
      <c r="A1" s="61" t="s">
        <v>266</v>
      </c>
      <c r="B1" s="56"/>
      <c r="C1" s="56"/>
      <c r="D1" s="56"/>
      <c r="E1" s="56"/>
      <c r="F1" s="56"/>
      <c r="G1" s="56"/>
      <c r="H1" s="56"/>
      <c r="I1" s="56"/>
      <c r="J1" s="56"/>
      <c r="K1" s="56"/>
      <c r="L1" s="56"/>
      <c r="M1" s="56"/>
      <c r="N1" s="56"/>
      <c r="O1" s="56"/>
      <c r="P1" s="56"/>
      <c r="Q1" s="56"/>
      <c r="R1" s="56"/>
      <c r="S1" s="56"/>
      <c r="T1" s="56"/>
      <c r="U1" s="56"/>
      <c r="V1" s="56"/>
      <c r="W1" s="56"/>
      <c r="X1" s="56"/>
      <c r="Y1" s="56"/>
      <c r="Z1" s="56"/>
      <c r="AA1" s="56"/>
      <c r="AB1" s="56"/>
      <c r="AC1" s="56"/>
      <c r="AD1" s="56"/>
      <c r="AE1" s="56"/>
      <c r="AF1" s="56"/>
      <c r="AG1" s="56"/>
      <c r="AH1" s="56"/>
      <c r="AI1" s="56"/>
      <c r="AJ1" s="56"/>
      <c r="AK1" s="56"/>
      <c r="AL1" s="56"/>
      <c r="AM1" s="56"/>
      <c r="AN1" s="56"/>
      <c r="AO1" s="56"/>
      <c r="AP1" s="56"/>
      <c r="AQ1" s="56"/>
      <c r="AR1" s="56"/>
      <c r="AS1" s="56"/>
      <c r="AT1" s="56"/>
      <c r="AU1" s="56"/>
      <c r="AV1" s="56"/>
      <c r="AW1" s="56"/>
      <c r="AX1" s="56"/>
      <c r="AY1" s="56"/>
      <c r="AZ1" s="56"/>
      <c r="BA1" s="56"/>
      <c r="BB1" s="56"/>
      <c r="BC1" s="56"/>
      <c r="BD1" s="56"/>
      <c r="BE1" s="56"/>
      <c r="BF1" s="56"/>
      <c r="BG1" s="56"/>
      <c r="BH1" s="56"/>
      <c r="BI1" s="56"/>
      <c r="BJ1" s="56"/>
      <c r="BK1" s="56"/>
      <c r="BL1" s="56"/>
      <c r="BM1" s="56"/>
      <c r="BN1" s="56"/>
      <c r="BO1" s="56"/>
      <c r="BP1" s="56"/>
      <c r="BQ1" s="56"/>
      <c r="BR1" s="56"/>
      <c r="BS1" s="56"/>
      <c r="BT1" s="56"/>
      <c r="BU1" s="56"/>
      <c r="BV1" s="56"/>
      <c r="BW1" s="56"/>
      <c r="BX1" s="56"/>
      <c r="BY1" s="56"/>
      <c r="BZ1" s="56"/>
      <c r="CA1" s="56"/>
      <c r="CB1" s="56"/>
      <c r="CC1" s="56"/>
      <c r="CD1" s="56"/>
      <c r="CE1" s="56"/>
      <c r="CF1" s="56"/>
      <c r="CG1" s="56"/>
      <c r="CH1" s="56"/>
      <c r="CI1" s="56"/>
      <c r="CJ1" s="56"/>
      <c r="CK1" s="56"/>
      <c r="CL1" s="56"/>
      <c r="CM1" s="56"/>
      <c r="CN1" s="56"/>
      <c r="CO1" s="56"/>
      <c r="CP1" s="56"/>
      <c r="CQ1" s="56"/>
      <c r="CR1" s="56"/>
      <c r="CS1" s="56"/>
      <c r="CT1" s="56"/>
      <c r="CU1" s="56"/>
      <c r="CV1" s="56"/>
      <c r="CW1" s="56"/>
      <c r="CX1" s="56"/>
      <c r="CY1" s="56"/>
      <c r="CZ1" s="56"/>
      <c r="DA1" s="56"/>
      <c r="DB1" s="56"/>
      <c r="DC1" s="56"/>
      <c r="DD1" s="56"/>
      <c r="DE1" s="56"/>
      <c r="DF1" s="56"/>
      <c r="DG1" s="56"/>
      <c r="DH1" s="56"/>
      <c r="DI1" s="56"/>
      <c r="DJ1" s="56"/>
      <c r="DK1" s="56"/>
      <c r="DL1" s="56"/>
      <c r="DM1" s="56"/>
      <c r="DN1" s="56"/>
      <c r="DO1" s="56"/>
      <c r="DP1" s="56"/>
      <c r="DQ1" s="56"/>
      <c r="DR1" s="56"/>
      <c r="DS1" s="56"/>
      <c r="DT1" s="56"/>
      <c r="DU1" s="56"/>
      <c r="DV1" s="56"/>
      <c r="DW1" s="56"/>
    </row>
    <row r="2" spans="1:127">
      <c r="A2" s="59" t="s">
        <v>267</v>
      </c>
      <c r="B2" s="56"/>
      <c r="C2" s="56"/>
      <c r="D2" s="56"/>
      <c r="E2" s="56"/>
      <c r="F2" s="56"/>
      <c r="G2" s="56"/>
      <c r="H2" s="56"/>
      <c r="I2" s="56"/>
      <c r="J2" s="56"/>
      <c r="K2" s="56"/>
      <c r="L2" s="56"/>
      <c r="M2" s="56"/>
      <c r="N2" s="56"/>
      <c r="O2" s="56"/>
      <c r="P2" s="56"/>
      <c r="Q2" s="56"/>
      <c r="R2" s="56"/>
      <c r="S2" s="56"/>
      <c r="T2" s="56"/>
      <c r="U2" s="56"/>
      <c r="V2" s="56"/>
      <c r="W2" s="56"/>
      <c r="X2" s="56"/>
      <c r="Y2" s="56"/>
      <c r="Z2" s="56"/>
      <c r="AA2" s="56"/>
      <c r="AB2" s="56"/>
      <c r="AC2" s="56"/>
      <c r="AD2" s="56"/>
      <c r="AE2" s="56"/>
      <c r="AF2" s="56"/>
      <c r="AG2" s="56"/>
      <c r="AH2" s="56"/>
      <c r="AI2" s="56"/>
      <c r="AJ2" s="56"/>
      <c r="AK2" s="56"/>
      <c r="AL2" s="56"/>
      <c r="AM2" s="56"/>
      <c r="AN2" s="56"/>
      <c r="AO2" s="56"/>
      <c r="AP2" s="56"/>
      <c r="AQ2" s="56"/>
      <c r="AR2" s="56"/>
      <c r="AS2" s="56"/>
      <c r="AT2" s="56"/>
      <c r="AU2" s="56"/>
      <c r="AV2" s="56"/>
      <c r="AW2" s="56"/>
      <c r="AX2" s="56"/>
      <c r="AY2" s="56"/>
      <c r="AZ2" s="56"/>
      <c r="BA2" s="56"/>
      <c r="BB2" s="56"/>
      <c r="BC2" s="56"/>
      <c r="BD2" s="56"/>
      <c r="BE2" s="56"/>
      <c r="BF2" s="56"/>
      <c r="BG2" s="56"/>
      <c r="BH2" s="56"/>
      <c r="BI2" s="56"/>
      <c r="BJ2" s="56"/>
      <c r="BK2" s="56"/>
      <c r="BL2" s="56"/>
      <c r="BM2" s="56"/>
      <c r="BN2" s="56"/>
      <c r="BO2" s="56"/>
      <c r="BP2" s="56"/>
      <c r="BQ2" s="56"/>
      <c r="BR2" s="56"/>
      <c r="BS2" s="56"/>
      <c r="BT2" s="56"/>
      <c r="BU2" s="56"/>
      <c r="BV2" s="56"/>
      <c r="BW2" s="56"/>
      <c r="BX2" s="56"/>
      <c r="BY2" s="56"/>
      <c r="BZ2" s="56"/>
      <c r="CA2" s="56"/>
      <c r="CB2" s="56"/>
      <c r="CC2" s="56"/>
      <c r="CD2" s="56"/>
      <c r="CE2" s="56"/>
      <c r="CF2" s="56"/>
      <c r="CG2" s="56"/>
      <c r="CH2" s="56"/>
      <c r="CI2" s="56"/>
      <c r="CJ2" s="56"/>
      <c r="CK2" s="56"/>
      <c r="CL2" s="56"/>
      <c r="CM2" s="56"/>
      <c r="CN2" s="56"/>
      <c r="CO2" s="56"/>
      <c r="CP2" s="56"/>
      <c r="CQ2" s="56"/>
      <c r="CR2" s="56"/>
      <c r="CS2" s="56"/>
      <c r="CT2" s="56"/>
      <c r="CU2" s="56"/>
      <c r="CV2" s="56"/>
      <c r="CW2" s="56"/>
      <c r="CX2" s="56"/>
      <c r="CY2" s="56"/>
      <c r="CZ2" s="56"/>
      <c r="DA2" s="56"/>
      <c r="DB2" s="56"/>
      <c r="DC2" s="56"/>
      <c r="DD2" s="56"/>
      <c r="DE2" s="56"/>
      <c r="DF2" s="56"/>
      <c r="DG2" s="56"/>
      <c r="DH2" s="56"/>
      <c r="DI2" s="56"/>
      <c r="DJ2" s="56"/>
      <c r="DK2" s="56"/>
      <c r="DL2" s="56"/>
      <c r="DM2" s="56"/>
      <c r="DN2" s="56"/>
      <c r="DO2" s="56"/>
      <c r="DP2" s="56"/>
      <c r="DQ2" s="56"/>
      <c r="DR2" s="56"/>
      <c r="DS2" s="56"/>
      <c r="DT2" s="56"/>
      <c r="DU2" s="56"/>
      <c r="DV2" s="56"/>
      <c r="DW2" s="56"/>
    </row>
    <row r="3" spans="1:127">
      <c r="A3" s="62" t="s">
        <v>268</v>
      </c>
      <c r="B3" s="56"/>
      <c r="C3" s="56"/>
      <c r="D3" s="56"/>
      <c r="E3" s="56"/>
      <c r="F3" s="56"/>
      <c r="G3" s="56"/>
    </row>
    <row r="4" spans="1:127">
      <c r="A4" s="30" t="s">
        <v>42</v>
      </c>
      <c r="B4" s="30" t="s">
        <v>43</v>
      </c>
      <c r="C4" s="30" t="s">
        <v>44</v>
      </c>
      <c r="D4" s="30" t="s">
        <v>45</v>
      </c>
      <c r="E4" s="30" t="s">
        <v>47</v>
      </c>
      <c r="F4" s="30" t="s">
        <v>48</v>
      </c>
      <c r="G4" s="30" t="s">
        <v>269</v>
      </c>
      <c r="H4" s="31">
        <f>PROJECT_START+0</f>
        <v>46037</v>
      </c>
      <c r="I4" s="31">
        <f>PROJECT_START+1</f>
        <v>46038</v>
      </c>
      <c r="J4" s="31">
        <f>PROJECT_START+2</f>
        <v>46039</v>
      </c>
      <c r="K4" s="31">
        <f>PROJECT_START+3</f>
        <v>46040</v>
      </c>
      <c r="L4" s="31">
        <f>PROJECT_START+4</f>
        <v>46041</v>
      </c>
      <c r="M4" s="31">
        <f>PROJECT_START+5</f>
        <v>46042</v>
      </c>
      <c r="N4" s="31">
        <f>PROJECT_START+6</f>
        <v>46043</v>
      </c>
      <c r="O4" s="31">
        <f>PROJECT_START+7</f>
        <v>46044</v>
      </c>
      <c r="P4" s="31">
        <f>PROJECT_START+8</f>
        <v>46045</v>
      </c>
      <c r="Q4" s="31">
        <f>PROJECT_START+9</f>
        <v>46046</v>
      </c>
      <c r="R4" s="31">
        <f>PROJECT_START+10</f>
        <v>46047</v>
      </c>
      <c r="S4" s="31">
        <f>PROJECT_START+11</f>
        <v>46048</v>
      </c>
      <c r="T4" s="31">
        <f>PROJECT_START+12</f>
        <v>46049</v>
      </c>
      <c r="U4" s="31">
        <f>PROJECT_START+13</f>
        <v>46050</v>
      </c>
      <c r="V4" s="31">
        <f>PROJECT_START+14</f>
        <v>46051</v>
      </c>
      <c r="W4" s="31">
        <f>PROJECT_START+15</f>
        <v>46052</v>
      </c>
      <c r="X4" s="31">
        <f>PROJECT_START+16</f>
        <v>46053</v>
      </c>
      <c r="Y4" s="31">
        <f>PROJECT_START+17</f>
        <v>46054</v>
      </c>
      <c r="Z4" s="31">
        <f>PROJECT_START+18</f>
        <v>46055</v>
      </c>
      <c r="AA4" s="31">
        <f>PROJECT_START+19</f>
        <v>46056</v>
      </c>
      <c r="AB4" s="31">
        <f>PROJECT_START+20</f>
        <v>46057</v>
      </c>
      <c r="AC4" s="32">
        <f>PROJECT_START+21</f>
        <v>46058</v>
      </c>
      <c r="AD4" s="32">
        <f>PROJECT_START+22</f>
        <v>46059</v>
      </c>
      <c r="AE4" s="32">
        <f>PROJECT_START+23</f>
        <v>46060</v>
      </c>
      <c r="AF4" s="32">
        <f>PROJECT_START+24</f>
        <v>46061</v>
      </c>
      <c r="AG4" s="32">
        <f>PROJECT_START+25</f>
        <v>46062</v>
      </c>
      <c r="AH4" s="32">
        <f>PROJECT_START+26</f>
        <v>46063</v>
      </c>
      <c r="AI4" s="32">
        <f>PROJECT_START+27</f>
        <v>46064</v>
      </c>
      <c r="AJ4" s="32">
        <f>PROJECT_START+28</f>
        <v>46065</v>
      </c>
      <c r="AK4" s="32">
        <f>PROJECT_START+29</f>
        <v>46066</v>
      </c>
      <c r="AL4" s="32">
        <f>PROJECT_START+30</f>
        <v>46067</v>
      </c>
      <c r="AM4" s="31">
        <f>PROJECT_START+31</f>
        <v>46068</v>
      </c>
      <c r="AN4" s="31">
        <f>PROJECT_START+32</f>
        <v>46069</v>
      </c>
      <c r="AO4" s="31">
        <f>PROJECT_START+33</f>
        <v>46070</v>
      </c>
      <c r="AP4" s="31">
        <f>PROJECT_START+34</f>
        <v>46071</v>
      </c>
      <c r="AQ4" s="31">
        <f>PROJECT_START+35</f>
        <v>46072</v>
      </c>
      <c r="AR4" s="31">
        <f>PROJECT_START+36</f>
        <v>46073</v>
      </c>
      <c r="AS4" s="31">
        <f>PROJECT_START+37</f>
        <v>46074</v>
      </c>
      <c r="AT4" s="31">
        <f>PROJECT_START+38</f>
        <v>46075</v>
      </c>
      <c r="AU4" s="31">
        <f>PROJECT_START+39</f>
        <v>46076</v>
      </c>
      <c r="AV4" s="31">
        <f>PROJECT_START+40</f>
        <v>46077</v>
      </c>
      <c r="AW4" s="31">
        <f>PROJECT_START+41</f>
        <v>46078</v>
      </c>
      <c r="AX4" s="31">
        <f>PROJECT_START+42</f>
        <v>46079</v>
      </c>
      <c r="AY4" s="31">
        <f>PROJECT_START+43</f>
        <v>46080</v>
      </c>
      <c r="AZ4" s="31">
        <f>PROJECT_START+44</f>
        <v>46081</v>
      </c>
      <c r="BA4" s="31">
        <f>PROJECT_START+45</f>
        <v>46082</v>
      </c>
      <c r="BB4" s="31">
        <f>PROJECT_START+46</f>
        <v>46083</v>
      </c>
      <c r="BC4" s="31">
        <f>PROJECT_START+47</f>
        <v>46084</v>
      </c>
      <c r="BD4" s="31">
        <f>PROJECT_START+48</f>
        <v>46085</v>
      </c>
      <c r="BE4" s="31">
        <f>PROJECT_START+49</f>
        <v>46086</v>
      </c>
      <c r="BF4" s="31">
        <f>PROJECT_START+50</f>
        <v>46087</v>
      </c>
      <c r="BG4" s="31">
        <f>PROJECT_START+51</f>
        <v>46088</v>
      </c>
      <c r="BH4" s="31">
        <f>PROJECT_START+52</f>
        <v>46089</v>
      </c>
      <c r="BI4" s="31">
        <f>PROJECT_START+53</f>
        <v>46090</v>
      </c>
      <c r="BJ4" s="31">
        <f>PROJECT_START+54</f>
        <v>46091</v>
      </c>
      <c r="BK4" s="31">
        <f>PROJECT_START+55</f>
        <v>46092</v>
      </c>
      <c r="BL4" s="31">
        <f>PROJECT_START+56</f>
        <v>46093</v>
      </c>
      <c r="BM4" s="31">
        <f>PROJECT_START+57</f>
        <v>46094</v>
      </c>
      <c r="BN4" s="31">
        <f>PROJECT_START+58</f>
        <v>46095</v>
      </c>
      <c r="BO4" s="31">
        <f>PROJECT_START+59</f>
        <v>46096</v>
      </c>
      <c r="BP4" s="31">
        <f>PROJECT_START+60</f>
        <v>46097</v>
      </c>
      <c r="BQ4" s="31">
        <f>PROJECT_START+61</f>
        <v>46098</v>
      </c>
      <c r="BR4" s="31">
        <f>PROJECT_START+62</f>
        <v>46099</v>
      </c>
      <c r="BS4" s="31">
        <f>PROJECT_START+63</f>
        <v>46100</v>
      </c>
      <c r="BT4" s="31">
        <f>PROJECT_START+64</f>
        <v>46101</v>
      </c>
      <c r="BU4" s="31">
        <f>PROJECT_START+65</f>
        <v>46102</v>
      </c>
      <c r="BV4" s="31">
        <f>PROJECT_START+66</f>
        <v>46103</v>
      </c>
      <c r="BW4" s="31">
        <f>PROJECT_START+67</f>
        <v>46104</v>
      </c>
      <c r="BX4" s="31">
        <f>PROJECT_START+68</f>
        <v>46105</v>
      </c>
      <c r="BY4" s="31">
        <f>PROJECT_START+69</f>
        <v>46106</v>
      </c>
      <c r="BZ4" s="31">
        <f>PROJECT_START+70</f>
        <v>46107</v>
      </c>
      <c r="CA4" s="31">
        <f>PROJECT_START+71</f>
        <v>46108</v>
      </c>
      <c r="CB4" s="31">
        <f>PROJECT_START+72</f>
        <v>46109</v>
      </c>
      <c r="CC4" s="31">
        <f>PROJECT_START+73</f>
        <v>46110</v>
      </c>
      <c r="CD4" s="31">
        <f>PROJECT_START+74</f>
        <v>46111</v>
      </c>
      <c r="CE4" s="31">
        <f>PROJECT_START+75</f>
        <v>46112</v>
      </c>
      <c r="CF4" s="31">
        <f>PROJECT_START+76</f>
        <v>46113</v>
      </c>
      <c r="CG4" s="31">
        <f>PROJECT_START+77</f>
        <v>46114</v>
      </c>
      <c r="CH4" s="31">
        <f>PROJECT_START+78</f>
        <v>46115</v>
      </c>
      <c r="CI4" s="31">
        <f>PROJECT_START+79</f>
        <v>46116</v>
      </c>
      <c r="CJ4" s="31">
        <f>PROJECT_START+80</f>
        <v>46117</v>
      </c>
      <c r="CK4" s="31">
        <f>PROJECT_START+81</f>
        <v>46118</v>
      </c>
      <c r="CL4" s="31">
        <f>PROJECT_START+82</f>
        <v>46119</v>
      </c>
      <c r="CM4" s="31">
        <f>PROJECT_START+83</f>
        <v>46120</v>
      </c>
      <c r="CN4" s="31">
        <f>PROJECT_START+84</f>
        <v>46121</v>
      </c>
      <c r="CO4" s="31">
        <f>PROJECT_START+85</f>
        <v>46122</v>
      </c>
      <c r="CP4" s="31">
        <f>PROJECT_START+86</f>
        <v>46123</v>
      </c>
      <c r="CQ4" s="31">
        <f>PROJECT_START+87</f>
        <v>46124</v>
      </c>
      <c r="CR4" s="31">
        <f>PROJECT_START+88</f>
        <v>46125</v>
      </c>
      <c r="CS4" s="31">
        <f>PROJECT_START+89</f>
        <v>46126</v>
      </c>
      <c r="CT4" s="31">
        <f>PROJECT_START+90</f>
        <v>46127</v>
      </c>
      <c r="CU4" s="31">
        <f>PROJECT_START+91</f>
        <v>46128</v>
      </c>
      <c r="CV4" s="31">
        <f>PROJECT_START+92</f>
        <v>46129</v>
      </c>
      <c r="CW4" s="31">
        <f>PROJECT_START+93</f>
        <v>46130</v>
      </c>
      <c r="CX4" s="31">
        <f>PROJECT_START+94</f>
        <v>46131</v>
      </c>
      <c r="CY4" s="31">
        <f>PROJECT_START+95</f>
        <v>46132</v>
      </c>
      <c r="CZ4" s="31">
        <f>PROJECT_START+96</f>
        <v>46133</v>
      </c>
      <c r="DA4" s="31">
        <f>PROJECT_START+97</f>
        <v>46134</v>
      </c>
      <c r="DB4" s="31">
        <f>PROJECT_START+98</f>
        <v>46135</v>
      </c>
      <c r="DC4" s="31">
        <f>PROJECT_START+99</f>
        <v>46136</v>
      </c>
      <c r="DD4" s="31">
        <f>PROJECT_START+100</f>
        <v>46137</v>
      </c>
      <c r="DE4" s="31">
        <f>PROJECT_START+101</f>
        <v>46138</v>
      </c>
      <c r="DF4" s="31">
        <f>PROJECT_START+102</f>
        <v>46139</v>
      </c>
      <c r="DG4" s="31">
        <f>PROJECT_START+103</f>
        <v>46140</v>
      </c>
      <c r="DH4" s="31">
        <f>PROJECT_START+104</f>
        <v>46141</v>
      </c>
      <c r="DI4" s="31">
        <f>PROJECT_START+105</f>
        <v>46142</v>
      </c>
      <c r="DJ4" s="31">
        <f>PROJECT_START+106</f>
        <v>46143</v>
      </c>
      <c r="DK4" s="31">
        <f>PROJECT_START+107</f>
        <v>46144</v>
      </c>
      <c r="DL4" s="31">
        <f>PROJECT_START+108</f>
        <v>46145</v>
      </c>
      <c r="DM4" s="31">
        <f>PROJECT_START+109</f>
        <v>46146</v>
      </c>
      <c r="DN4" s="31">
        <f>PROJECT_START+110</f>
        <v>46147</v>
      </c>
      <c r="DO4" s="31">
        <f>PROJECT_START+111</f>
        <v>46148</v>
      </c>
      <c r="DP4" s="31">
        <f>PROJECT_START+112</f>
        <v>46149</v>
      </c>
      <c r="DQ4" s="31">
        <f>PROJECT_START+113</f>
        <v>46150</v>
      </c>
      <c r="DR4" s="31">
        <f>PROJECT_START+114</f>
        <v>46151</v>
      </c>
      <c r="DS4" s="31">
        <f>PROJECT_START+115</f>
        <v>46152</v>
      </c>
      <c r="DT4" s="31">
        <f>PROJECT_START+116</f>
        <v>46153</v>
      </c>
      <c r="DU4" s="31">
        <f>PROJECT_START+117</f>
        <v>46154</v>
      </c>
      <c r="DV4" s="31">
        <f>PROJECT_START+118</f>
        <v>46155</v>
      </c>
      <c r="DW4" s="31">
        <f>PROJECT_START+119</f>
        <v>46156</v>
      </c>
    </row>
    <row r="5" spans="1:127">
      <c r="A5" s="13" t="str">
        <f>Schedule_Data!A6</f>
        <v>MOB-001</v>
      </c>
      <c r="B5" s="13" t="str">
        <f>Schedule_Data!B6</f>
        <v>0.0</v>
      </c>
      <c r="C5" s="13" t="str">
        <f>Schedule_Data!C6</f>
        <v>Mobilization (crew/equipment)</v>
      </c>
      <c r="D5" s="14" t="str">
        <f>Schedule_Data!D6</f>
        <v>MOBILIZATION</v>
      </c>
      <c r="E5" s="33">
        <f>Schedule_Data!F6</f>
        <v>46037</v>
      </c>
      <c r="F5" s="33">
        <f>Schedule_Data!G6</f>
        <v>46038</v>
      </c>
      <c r="G5" s="13">
        <f>Schedule_Data!H6</f>
        <v>1</v>
      </c>
      <c r="H5" s="14"/>
      <c r="I5" s="13"/>
      <c r="J5" s="13"/>
      <c r="K5" s="13"/>
      <c r="L5" s="13"/>
      <c r="M5" s="13"/>
      <c r="N5" s="13"/>
      <c r="O5" s="13"/>
      <c r="P5" s="13"/>
      <c r="Q5" s="13"/>
      <c r="R5" s="13"/>
      <c r="S5" s="13"/>
      <c r="T5" s="13"/>
      <c r="U5" s="13"/>
      <c r="V5" s="13"/>
      <c r="W5" s="13"/>
      <c r="X5" s="13"/>
      <c r="Y5" s="13"/>
      <c r="Z5" s="13"/>
      <c r="AA5" s="13"/>
      <c r="AB5" s="13"/>
      <c r="AC5" s="13"/>
      <c r="AD5" s="13"/>
      <c r="AE5" s="13"/>
      <c r="AF5" s="13"/>
      <c r="AG5" s="13"/>
      <c r="AH5" s="13"/>
      <c r="AI5" s="13"/>
      <c r="AJ5" s="13"/>
      <c r="AK5" s="13"/>
      <c r="AL5" s="13"/>
      <c r="AM5" s="13"/>
      <c r="AN5" s="13"/>
      <c r="AO5" s="13"/>
      <c r="AP5" s="13"/>
      <c r="AQ5" s="13"/>
      <c r="AR5" s="13"/>
      <c r="AS5" s="13"/>
      <c r="AT5" s="13"/>
      <c r="AU5" s="13"/>
      <c r="AV5" s="13"/>
      <c r="AW5" s="13"/>
      <c r="AX5" s="13"/>
      <c r="AY5" s="13"/>
      <c r="AZ5" s="13"/>
      <c r="BA5" s="13"/>
      <c r="BB5" s="13"/>
      <c r="BC5" s="13"/>
      <c r="BD5" s="13"/>
      <c r="BE5" s="13"/>
      <c r="BF5" s="13"/>
      <c r="BG5" s="13"/>
      <c r="BH5" s="13"/>
      <c r="BI5" s="13"/>
      <c r="BJ5" s="13"/>
      <c r="BK5" s="13"/>
      <c r="BL5" s="13"/>
      <c r="BM5" s="13"/>
      <c r="BN5" s="13"/>
      <c r="BO5" s="13"/>
      <c r="BP5" s="13"/>
      <c r="BQ5" s="13"/>
      <c r="BR5" s="13"/>
      <c r="BS5" s="13"/>
      <c r="BT5" s="13"/>
      <c r="BU5" s="13"/>
      <c r="BV5" s="13"/>
      <c r="BW5" s="13"/>
      <c r="BX5" s="13"/>
      <c r="BY5" s="13"/>
      <c r="BZ5" s="13"/>
      <c r="CA5" s="13"/>
      <c r="CB5" s="13"/>
      <c r="CC5" s="13"/>
      <c r="CD5" s="13"/>
      <c r="CE5" s="13"/>
      <c r="CF5" s="13"/>
      <c r="CG5" s="13"/>
      <c r="CH5" s="13"/>
      <c r="CI5" s="13"/>
      <c r="CJ5" s="13"/>
      <c r="CK5" s="13"/>
      <c r="CL5" s="13"/>
      <c r="CM5" s="13"/>
      <c r="CN5" s="13"/>
      <c r="CO5" s="13"/>
      <c r="CP5" s="13"/>
      <c r="CQ5" s="13"/>
      <c r="CR5" s="13"/>
      <c r="CS5" s="13"/>
      <c r="CT5" s="13"/>
      <c r="CU5" s="13"/>
      <c r="CV5" s="13"/>
      <c r="CW5" s="13"/>
      <c r="CX5" s="13"/>
      <c r="CY5" s="13"/>
      <c r="CZ5" s="13"/>
      <c r="DA5" s="13"/>
      <c r="DB5" s="13"/>
      <c r="DC5" s="13"/>
      <c r="DD5" s="13"/>
      <c r="DE5" s="13"/>
      <c r="DF5" s="13"/>
      <c r="DG5" s="13"/>
      <c r="DH5" s="13"/>
      <c r="DI5" s="13"/>
      <c r="DJ5" s="13"/>
      <c r="DK5" s="13"/>
      <c r="DL5" s="13"/>
      <c r="DM5" s="13"/>
      <c r="DN5" s="13"/>
      <c r="DO5" s="13"/>
      <c r="DP5" s="13"/>
      <c r="DQ5" s="13"/>
      <c r="DR5" s="13"/>
      <c r="DS5" s="13"/>
      <c r="DT5" s="13"/>
      <c r="DU5" s="13"/>
      <c r="DV5" s="13"/>
      <c r="DW5" s="13"/>
    </row>
    <row r="6" spans="1:127">
      <c r="A6" s="13" t="str">
        <f>Schedule_Data!A7</f>
        <v>PREP-001</v>
      </c>
      <c r="B6" s="13" t="str">
        <f>Schedule_Data!B7</f>
        <v>0.0</v>
      </c>
      <c r="C6" s="13" t="str">
        <f>Schedule_Data!C7</f>
        <v>LCT deck preparations + fenders + mooring</v>
      </c>
      <c r="D6" s="16" t="str">
        <f>Schedule_Data!D7</f>
        <v>DECK_PREP</v>
      </c>
      <c r="E6" s="33">
        <f>Schedule_Data!F7</f>
        <v>46038</v>
      </c>
      <c r="F6" s="33">
        <f>Schedule_Data!G7</f>
        <v>46041</v>
      </c>
      <c r="G6" s="13">
        <f>Schedule_Data!H7</f>
        <v>3</v>
      </c>
      <c r="H6" s="13"/>
      <c r="I6" s="16"/>
      <c r="J6" s="16"/>
      <c r="K6" s="16"/>
      <c r="L6" s="13"/>
      <c r="M6" s="13"/>
      <c r="N6" s="13"/>
      <c r="O6" s="13"/>
      <c r="P6" s="13"/>
      <c r="Q6" s="13"/>
      <c r="R6" s="13"/>
      <c r="S6" s="13"/>
      <c r="T6" s="13"/>
      <c r="U6" s="13"/>
      <c r="V6" s="13"/>
      <c r="W6" s="13"/>
      <c r="X6" s="13"/>
      <c r="Y6" s="13"/>
      <c r="Z6" s="13"/>
      <c r="AA6" s="13"/>
      <c r="AB6" s="13"/>
      <c r="AC6" s="13"/>
      <c r="AD6" s="13"/>
      <c r="AE6" s="13"/>
      <c r="AF6" s="13"/>
      <c r="AG6" s="13"/>
      <c r="AH6" s="13"/>
      <c r="AI6" s="13"/>
      <c r="AJ6" s="13"/>
      <c r="AK6" s="13"/>
      <c r="AL6" s="13"/>
      <c r="AM6" s="13"/>
      <c r="AN6" s="13"/>
      <c r="AO6" s="13"/>
      <c r="AP6" s="13"/>
      <c r="AQ6" s="13"/>
      <c r="AR6" s="13"/>
      <c r="AS6" s="13"/>
      <c r="AT6" s="13"/>
      <c r="AU6" s="13"/>
      <c r="AV6" s="13"/>
      <c r="AW6" s="13"/>
      <c r="AX6" s="13"/>
      <c r="AY6" s="13"/>
      <c r="AZ6" s="13"/>
      <c r="BA6" s="13"/>
      <c r="BB6" s="13"/>
      <c r="BC6" s="13"/>
      <c r="BD6" s="13"/>
      <c r="BE6" s="13"/>
      <c r="BF6" s="13"/>
      <c r="BG6" s="13"/>
      <c r="BH6" s="13"/>
      <c r="BI6" s="13"/>
      <c r="BJ6" s="13"/>
      <c r="BK6" s="13"/>
      <c r="BL6" s="13"/>
      <c r="BM6" s="13"/>
      <c r="BN6" s="13"/>
      <c r="BO6" s="13"/>
      <c r="BP6" s="13"/>
      <c r="BQ6" s="13"/>
      <c r="BR6" s="13"/>
      <c r="BS6" s="13"/>
      <c r="BT6" s="13"/>
      <c r="BU6" s="13"/>
      <c r="BV6" s="13"/>
      <c r="BW6" s="13"/>
      <c r="BX6" s="13"/>
      <c r="BY6" s="13"/>
      <c r="BZ6" s="13"/>
      <c r="CA6" s="13"/>
      <c r="CB6" s="13"/>
      <c r="CC6" s="13"/>
      <c r="CD6" s="13"/>
      <c r="CE6" s="13"/>
      <c r="CF6" s="13"/>
      <c r="CG6" s="13"/>
      <c r="CH6" s="13"/>
      <c r="CI6" s="13"/>
      <c r="CJ6" s="13"/>
      <c r="CK6" s="13"/>
      <c r="CL6" s="13"/>
      <c r="CM6" s="13"/>
      <c r="CN6" s="13"/>
      <c r="CO6" s="13"/>
      <c r="CP6" s="13"/>
      <c r="CQ6" s="13"/>
      <c r="CR6" s="13"/>
      <c r="CS6" s="13"/>
      <c r="CT6" s="13"/>
      <c r="CU6" s="13"/>
      <c r="CV6" s="13"/>
      <c r="CW6" s="13"/>
      <c r="CX6" s="13"/>
      <c r="CY6" s="13"/>
      <c r="CZ6" s="13"/>
      <c r="DA6" s="13"/>
      <c r="DB6" s="13"/>
      <c r="DC6" s="13"/>
      <c r="DD6" s="13"/>
      <c r="DE6" s="13"/>
      <c r="DF6" s="13"/>
      <c r="DG6" s="13"/>
      <c r="DH6" s="13"/>
      <c r="DI6" s="13"/>
      <c r="DJ6" s="13"/>
      <c r="DK6" s="13"/>
      <c r="DL6" s="13"/>
      <c r="DM6" s="13"/>
      <c r="DN6" s="13"/>
      <c r="DO6" s="13"/>
      <c r="DP6" s="13"/>
      <c r="DQ6" s="13"/>
      <c r="DR6" s="13"/>
      <c r="DS6" s="13"/>
      <c r="DT6" s="13"/>
      <c r="DU6" s="13"/>
      <c r="DV6" s="13"/>
      <c r="DW6" s="13"/>
    </row>
    <row r="7" spans="1:127">
      <c r="A7" s="13" t="str">
        <f>Schedule_Data!A8</f>
        <v>V1</v>
      </c>
      <c r="B7" s="13" t="str">
        <f>Schedule_Data!B8</f>
        <v>1.0</v>
      </c>
      <c r="C7" s="13" t="str">
        <f>Schedule_Data!C8</f>
        <v>VOYAGE 1: TR1 Transport (single)</v>
      </c>
      <c r="D7" s="34" t="str">
        <f>Schedule_Data!D8</f>
        <v>MILESTONE</v>
      </c>
      <c r="E7" s="33">
        <f>Schedule_Data!F8</f>
        <v>46040</v>
      </c>
      <c r="F7" s="33">
        <f>Schedule_Data!G8</f>
        <v>46040</v>
      </c>
      <c r="G7" s="13">
        <f>Schedule_Data!H8</f>
        <v>0</v>
      </c>
      <c r="H7" s="13"/>
      <c r="I7" s="13"/>
      <c r="J7" s="13"/>
      <c r="K7" s="35" t="s">
        <v>270</v>
      </c>
      <c r="L7" s="13"/>
      <c r="M7" s="13"/>
      <c r="N7" s="13"/>
      <c r="O7" s="13"/>
      <c r="P7" s="13"/>
      <c r="Q7" s="13"/>
      <c r="R7" s="13"/>
      <c r="S7" s="13"/>
      <c r="T7" s="13"/>
      <c r="U7" s="13"/>
      <c r="V7" s="13"/>
      <c r="W7" s="13"/>
      <c r="X7" s="13"/>
      <c r="Y7" s="13"/>
      <c r="Z7" s="13"/>
      <c r="AA7" s="13"/>
      <c r="AB7" s="13"/>
      <c r="AC7" s="13"/>
      <c r="AD7" s="13"/>
      <c r="AE7" s="13"/>
      <c r="AF7" s="13"/>
      <c r="AG7" s="13"/>
      <c r="AH7" s="13"/>
      <c r="AI7" s="13"/>
      <c r="AJ7" s="13"/>
      <c r="AK7" s="13"/>
      <c r="AL7" s="13"/>
      <c r="AM7" s="13"/>
      <c r="AN7" s="13"/>
      <c r="AO7" s="13"/>
      <c r="AP7" s="13"/>
      <c r="AQ7" s="13"/>
      <c r="AR7" s="13"/>
      <c r="AS7" s="13"/>
      <c r="AT7" s="13"/>
      <c r="AU7" s="13"/>
      <c r="AV7" s="13"/>
      <c r="AW7" s="13"/>
      <c r="AX7" s="13"/>
      <c r="AY7" s="13"/>
      <c r="AZ7" s="13"/>
      <c r="BA7" s="13"/>
      <c r="BB7" s="13"/>
      <c r="BC7" s="13"/>
      <c r="BD7" s="13"/>
      <c r="BE7" s="13"/>
      <c r="BF7" s="13"/>
      <c r="BG7" s="13"/>
      <c r="BH7" s="13"/>
      <c r="BI7" s="13"/>
      <c r="BJ7" s="13"/>
      <c r="BK7" s="13"/>
      <c r="BL7" s="13"/>
      <c r="BM7" s="13"/>
      <c r="BN7" s="13"/>
      <c r="BO7" s="13"/>
      <c r="BP7" s="13"/>
      <c r="BQ7" s="13"/>
      <c r="BR7" s="13"/>
      <c r="BS7" s="13"/>
      <c r="BT7" s="13"/>
      <c r="BU7" s="13"/>
      <c r="BV7" s="13"/>
      <c r="BW7" s="13"/>
      <c r="BX7" s="13"/>
      <c r="BY7" s="13"/>
      <c r="BZ7" s="13"/>
      <c r="CA7" s="13"/>
      <c r="CB7" s="13"/>
      <c r="CC7" s="13"/>
      <c r="CD7" s="13"/>
      <c r="CE7" s="13"/>
      <c r="CF7" s="13"/>
      <c r="CG7" s="13"/>
      <c r="CH7" s="13"/>
      <c r="CI7" s="13"/>
      <c r="CJ7" s="13"/>
      <c r="CK7" s="13"/>
      <c r="CL7" s="13"/>
      <c r="CM7" s="13"/>
      <c r="CN7" s="13"/>
      <c r="CO7" s="13"/>
      <c r="CP7" s="13"/>
      <c r="CQ7" s="13"/>
      <c r="CR7" s="13"/>
      <c r="CS7" s="13"/>
      <c r="CT7" s="13"/>
      <c r="CU7" s="13"/>
      <c r="CV7" s="13"/>
      <c r="CW7" s="13"/>
      <c r="CX7" s="13"/>
      <c r="CY7" s="13"/>
      <c r="CZ7" s="13"/>
      <c r="DA7" s="13"/>
      <c r="DB7" s="13"/>
      <c r="DC7" s="13"/>
      <c r="DD7" s="13"/>
      <c r="DE7" s="13"/>
      <c r="DF7" s="13"/>
      <c r="DG7" s="13"/>
      <c r="DH7" s="13"/>
      <c r="DI7" s="13"/>
      <c r="DJ7" s="13"/>
      <c r="DK7" s="13"/>
      <c r="DL7" s="13"/>
      <c r="DM7" s="13"/>
      <c r="DN7" s="13"/>
      <c r="DO7" s="13"/>
      <c r="DP7" s="13"/>
      <c r="DQ7" s="13"/>
      <c r="DR7" s="13"/>
      <c r="DS7" s="13"/>
      <c r="DT7" s="13"/>
      <c r="DU7" s="13"/>
      <c r="DV7" s="13"/>
      <c r="DW7" s="13"/>
    </row>
    <row r="8" spans="1:127">
      <c r="A8" s="13" t="str">
        <f>Schedule_Data!A9</f>
        <v>LO-101</v>
      </c>
      <c r="B8" s="13" t="str">
        <f>Schedule_Data!B9</f>
        <v>1.0</v>
      </c>
      <c r="C8" s="13" t="str">
        <f>Schedule_Data!C9</f>
        <v>Loadout TR1 onto LCT Bushra</v>
      </c>
      <c r="D8" s="20" t="str">
        <f>Schedule_Data!D9</f>
        <v>LOADOUT</v>
      </c>
      <c r="E8" s="33">
        <f>Schedule_Data!F9</f>
        <v>46040</v>
      </c>
      <c r="F8" s="33">
        <f>Schedule_Data!G9</f>
        <v>46040</v>
      </c>
      <c r="G8" s="13">
        <f>Schedule_Data!H9</f>
        <v>0</v>
      </c>
      <c r="H8" s="13"/>
      <c r="I8" s="13"/>
      <c r="J8" s="13"/>
      <c r="K8" s="20"/>
      <c r="L8" s="13"/>
      <c r="M8" s="13"/>
      <c r="N8" s="13"/>
      <c r="O8" s="13"/>
      <c r="P8" s="13"/>
      <c r="Q8" s="13"/>
      <c r="R8" s="13"/>
      <c r="S8" s="13"/>
      <c r="T8" s="13"/>
      <c r="U8" s="13"/>
      <c r="V8" s="13"/>
      <c r="W8" s="13"/>
      <c r="X8" s="13"/>
      <c r="Y8" s="13"/>
      <c r="Z8" s="13"/>
      <c r="AA8" s="13"/>
      <c r="AB8" s="13"/>
      <c r="AC8" s="13"/>
      <c r="AD8" s="13"/>
      <c r="AE8" s="13"/>
      <c r="AF8" s="13"/>
      <c r="AG8" s="13"/>
      <c r="AH8" s="13"/>
      <c r="AI8" s="13"/>
      <c r="AJ8" s="13"/>
      <c r="AK8" s="13"/>
      <c r="AL8" s="13"/>
      <c r="AM8" s="13"/>
      <c r="AN8" s="13"/>
      <c r="AO8" s="13"/>
      <c r="AP8" s="13"/>
      <c r="AQ8" s="13"/>
      <c r="AR8" s="13"/>
      <c r="AS8" s="13"/>
      <c r="AT8" s="13"/>
      <c r="AU8" s="13"/>
      <c r="AV8" s="13"/>
      <c r="AW8" s="13"/>
      <c r="AX8" s="13"/>
      <c r="AY8" s="13"/>
      <c r="AZ8" s="13"/>
      <c r="BA8" s="13"/>
      <c r="BB8" s="13"/>
      <c r="BC8" s="13"/>
      <c r="BD8" s="13"/>
      <c r="BE8" s="13"/>
      <c r="BF8" s="13"/>
      <c r="BG8" s="13"/>
      <c r="BH8" s="13"/>
      <c r="BI8" s="13"/>
      <c r="BJ8" s="13"/>
      <c r="BK8" s="13"/>
      <c r="BL8" s="13"/>
      <c r="BM8" s="13"/>
      <c r="BN8" s="13"/>
      <c r="BO8" s="13"/>
      <c r="BP8" s="13"/>
      <c r="BQ8" s="13"/>
      <c r="BR8" s="13"/>
      <c r="BS8" s="13"/>
      <c r="BT8" s="13"/>
      <c r="BU8" s="13"/>
      <c r="BV8" s="13"/>
      <c r="BW8" s="13"/>
      <c r="BX8" s="13"/>
      <c r="BY8" s="13"/>
      <c r="BZ8" s="13"/>
      <c r="CA8" s="13"/>
      <c r="CB8" s="13"/>
      <c r="CC8" s="13"/>
      <c r="CD8" s="13"/>
      <c r="CE8" s="13"/>
      <c r="CF8" s="13"/>
      <c r="CG8" s="13"/>
      <c r="CH8" s="13"/>
      <c r="CI8" s="13"/>
      <c r="CJ8" s="13"/>
      <c r="CK8" s="13"/>
      <c r="CL8" s="13"/>
      <c r="CM8" s="13"/>
      <c r="CN8" s="13"/>
      <c r="CO8" s="13"/>
      <c r="CP8" s="13"/>
      <c r="CQ8" s="13"/>
      <c r="CR8" s="13"/>
      <c r="CS8" s="13"/>
      <c r="CT8" s="13"/>
      <c r="CU8" s="13"/>
      <c r="CV8" s="13"/>
      <c r="CW8" s="13"/>
      <c r="CX8" s="13"/>
      <c r="CY8" s="13"/>
      <c r="CZ8" s="13"/>
      <c r="DA8" s="13"/>
      <c r="DB8" s="13"/>
      <c r="DC8" s="13"/>
      <c r="DD8" s="13"/>
      <c r="DE8" s="13"/>
      <c r="DF8" s="13"/>
      <c r="DG8" s="13"/>
      <c r="DH8" s="13"/>
      <c r="DI8" s="13"/>
      <c r="DJ8" s="13"/>
      <c r="DK8" s="13"/>
      <c r="DL8" s="13"/>
      <c r="DM8" s="13"/>
      <c r="DN8" s="13"/>
      <c r="DO8" s="13"/>
      <c r="DP8" s="13"/>
      <c r="DQ8" s="13"/>
      <c r="DR8" s="13"/>
      <c r="DS8" s="13"/>
      <c r="DT8" s="13"/>
      <c r="DU8" s="13"/>
      <c r="DV8" s="13"/>
      <c r="DW8" s="13"/>
    </row>
    <row r="9" spans="1:127">
      <c r="A9" s="13" t="str">
        <f>Schedule_Data!A10</f>
        <v>SF-102</v>
      </c>
      <c r="B9" s="13" t="str">
        <f>Schedule_Data!B10</f>
        <v>1.0</v>
      </c>
      <c r="C9" s="13" t="str">
        <f>Schedule_Data!C10</f>
        <v>Sea fastening TR1</v>
      </c>
      <c r="D9" s="21" t="str">
        <f>Schedule_Data!D10</f>
        <v>SEAFAST</v>
      </c>
      <c r="E9" s="33">
        <f>Schedule_Data!F10</f>
        <v>46041</v>
      </c>
      <c r="F9" s="33">
        <f>Schedule_Data!G10</f>
        <v>46041</v>
      </c>
      <c r="G9" s="13">
        <f>Schedule_Data!H10</f>
        <v>0</v>
      </c>
      <c r="H9" s="13"/>
      <c r="I9" s="13"/>
      <c r="J9" s="13"/>
      <c r="K9" s="13"/>
      <c r="L9" s="36" t="s">
        <v>270</v>
      </c>
      <c r="M9" s="13"/>
      <c r="N9" s="13"/>
      <c r="O9" s="13"/>
      <c r="P9" s="13"/>
      <c r="Q9" s="13"/>
      <c r="R9" s="13"/>
      <c r="S9" s="13"/>
      <c r="T9" s="13"/>
      <c r="U9" s="13"/>
      <c r="V9" s="13"/>
      <c r="W9" s="13"/>
      <c r="X9" s="13"/>
      <c r="Y9" s="13"/>
      <c r="Z9" s="13"/>
      <c r="AA9" s="13"/>
      <c r="AB9" s="13"/>
      <c r="AC9" s="13"/>
      <c r="AD9" s="13"/>
      <c r="AE9" s="13"/>
      <c r="AF9" s="13"/>
      <c r="AG9" s="13"/>
      <c r="AH9" s="13"/>
      <c r="AI9" s="13"/>
      <c r="AJ9" s="13"/>
      <c r="AK9" s="13"/>
      <c r="AL9" s="13"/>
      <c r="AM9" s="13"/>
      <c r="AN9" s="13"/>
      <c r="AO9" s="13"/>
      <c r="AP9" s="13"/>
      <c r="AQ9" s="13"/>
      <c r="AR9" s="13"/>
      <c r="AS9" s="13"/>
      <c r="AT9" s="13"/>
      <c r="AU9" s="13"/>
      <c r="AV9" s="13"/>
      <c r="AW9" s="13"/>
      <c r="AX9" s="13"/>
      <c r="AY9" s="13"/>
      <c r="AZ9" s="13"/>
      <c r="BA9" s="13"/>
      <c r="BB9" s="13"/>
      <c r="BC9" s="13"/>
      <c r="BD9" s="13"/>
      <c r="BE9" s="13"/>
      <c r="BF9" s="13"/>
      <c r="BG9" s="13"/>
      <c r="BH9" s="13"/>
      <c r="BI9" s="13"/>
      <c r="BJ9" s="13"/>
      <c r="BK9" s="13"/>
      <c r="BL9" s="13"/>
      <c r="BM9" s="13"/>
      <c r="BN9" s="13"/>
      <c r="BO9" s="13"/>
      <c r="BP9" s="13"/>
      <c r="BQ9" s="13"/>
      <c r="BR9" s="13"/>
      <c r="BS9" s="13"/>
      <c r="BT9" s="13"/>
      <c r="BU9" s="13"/>
      <c r="BV9" s="13"/>
      <c r="BW9" s="13"/>
      <c r="BX9" s="13"/>
      <c r="BY9" s="13"/>
      <c r="BZ9" s="13"/>
      <c r="CA9" s="13"/>
      <c r="CB9" s="13"/>
      <c r="CC9" s="13"/>
      <c r="CD9" s="13"/>
      <c r="CE9" s="13"/>
      <c r="CF9" s="13"/>
      <c r="CG9" s="13"/>
      <c r="CH9" s="13"/>
      <c r="CI9" s="13"/>
      <c r="CJ9" s="13"/>
      <c r="CK9" s="13"/>
      <c r="CL9" s="13"/>
      <c r="CM9" s="13"/>
      <c r="CN9" s="13"/>
      <c r="CO9" s="13"/>
      <c r="CP9" s="13"/>
      <c r="CQ9" s="13"/>
      <c r="CR9" s="13"/>
      <c r="CS9" s="13"/>
      <c r="CT9" s="13"/>
      <c r="CU9" s="13"/>
      <c r="CV9" s="13"/>
      <c r="CW9" s="13"/>
      <c r="CX9" s="13"/>
      <c r="CY9" s="13"/>
      <c r="CZ9" s="13"/>
      <c r="DA9" s="13"/>
      <c r="DB9" s="13"/>
      <c r="DC9" s="13"/>
      <c r="DD9" s="13"/>
      <c r="DE9" s="13"/>
      <c r="DF9" s="13"/>
      <c r="DG9" s="13"/>
      <c r="DH9" s="13"/>
      <c r="DI9" s="13"/>
      <c r="DJ9" s="13"/>
      <c r="DK9" s="13"/>
      <c r="DL9" s="13"/>
      <c r="DM9" s="13"/>
      <c r="DN9" s="13"/>
      <c r="DO9" s="13"/>
      <c r="DP9" s="13"/>
      <c r="DQ9" s="13"/>
      <c r="DR9" s="13"/>
      <c r="DS9" s="13"/>
      <c r="DT9" s="13"/>
      <c r="DU9" s="13"/>
      <c r="DV9" s="13"/>
      <c r="DW9" s="13"/>
    </row>
    <row r="10" spans="1:127">
      <c r="A10" s="13" t="str">
        <f>Schedule_Data!A11</f>
        <v>MWS-103</v>
      </c>
      <c r="B10" s="13" t="str">
        <f>Schedule_Data!B11</f>
        <v>1.0</v>
      </c>
      <c r="C10" s="13" t="str">
        <f>Schedule_Data!C11</f>
        <v>MWS Survey + MPI + Final checks</v>
      </c>
      <c r="D10" s="22" t="str">
        <f>Schedule_Data!D11</f>
        <v>BUFFER</v>
      </c>
      <c r="E10" s="33">
        <f>Schedule_Data!F11</f>
        <v>46041</v>
      </c>
      <c r="F10" s="33">
        <f>Schedule_Data!G11</f>
        <v>46041</v>
      </c>
      <c r="G10" s="13">
        <f>Schedule_Data!H11</f>
        <v>0</v>
      </c>
      <c r="H10" s="13"/>
      <c r="I10" s="13"/>
      <c r="J10" s="13"/>
      <c r="K10" s="13"/>
      <c r="L10" s="37" t="s">
        <v>270</v>
      </c>
      <c r="M10" s="13"/>
      <c r="N10" s="13"/>
      <c r="O10" s="13"/>
      <c r="P10" s="13"/>
      <c r="Q10" s="13"/>
      <c r="R10" s="13"/>
      <c r="S10" s="13"/>
      <c r="T10" s="13"/>
      <c r="U10" s="13"/>
      <c r="V10" s="13"/>
      <c r="W10" s="13"/>
      <c r="X10" s="13"/>
      <c r="Y10" s="13"/>
      <c r="Z10" s="13"/>
      <c r="AA10" s="13"/>
      <c r="AB10" s="13"/>
      <c r="AC10" s="13"/>
      <c r="AD10" s="13"/>
      <c r="AE10" s="13"/>
      <c r="AF10" s="13"/>
      <c r="AG10" s="13"/>
      <c r="AH10" s="13"/>
      <c r="AI10" s="13"/>
      <c r="AJ10" s="13"/>
      <c r="AK10" s="13"/>
      <c r="AL10" s="13"/>
      <c r="AM10" s="13"/>
      <c r="AN10" s="13"/>
      <c r="AO10" s="13"/>
      <c r="AP10" s="13"/>
      <c r="AQ10" s="13"/>
      <c r="AR10" s="13"/>
      <c r="AS10" s="13"/>
      <c r="AT10" s="13"/>
      <c r="AU10" s="13"/>
      <c r="AV10" s="13"/>
      <c r="AW10" s="13"/>
      <c r="AX10" s="13"/>
      <c r="AY10" s="13"/>
      <c r="AZ10" s="13"/>
      <c r="BA10" s="13"/>
      <c r="BB10" s="13"/>
      <c r="BC10" s="13"/>
      <c r="BD10" s="13"/>
      <c r="BE10" s="13"/>
      <c r="BF10" s="13"/>
      <c r="BG10" s="13"/>
      <c r="BH10" s="13"/>
      <c r="BI10" s="13"/>
      <c r="BJ10" s="13"/>
      <c r="BK10" s="13"/>
      <c r="BL10" s="13"/>
      <c r="BM10" s="13"/>
      <c r="BN10" s="13"/>
      <c r="BO10" s="13"/>
      <c r="BP10" s="13"/>
      <c r="BQ10" s="13"/>
      <c r="BR10" s="13"/>
      <c r="BS10" s="13"/>
      <c r="BT10" s="13"/>
      <c r="BU10" s="13"/>
      <c r="BV10" s="13"/>
      <c r="BW10" s="13"/>
      <c r="BX10" s="13"/>
      <c r="BY10" s="13"/>
      <c r="BZ10" s="13"/>
      <c r="CA10" s="13"/>
      <c r="CB10" s="13"/>
      <c r="CC10" s="13"/>
      <c r="CD10" s="13"/>
      <c r="CE10" s="13"/>
      <c r="CF10" s="13"/>
      <c r="CG10" s="13"/>
      <c r="CH10" s="13"/>
      <c r="CI10" s="13"/>
      <c r="CJ10" s="13"/>
      <c r="CK10" s="13"/>
      <c r="CL10" s="13"/>
      <c r="CM10" s="13"/>
      <c r="CN10" s="13"/>
      <c r="CO10" s="13"/>
      <c r="CP10" s="13"/>
      <c r="CQ10" s="13"/>
      <c r="CR10" s="13"/>
      <c r="CS10" s="13"/>
      <c r="CT10" s="13"/>
      <c r="CU10" s="13"/>
      <c r="CV10" s="13"/>
      <c r="CW10" s="13"/>
      <c r="CX10" s="13"/>
      <c r="CY10" s="13"/>
      <c r="CZ10" s="13"/>
      <c r="DA10" s="13"/>
      <c r="DB10" s="13"/>
      <c r="DC10" s="13"/>
      <c r="DD10" s="13"/>
      <c r="DE10" s="13"/>
      <c r="DF10" s="13"/>
      <c r="DG10" s="13"/>
      <c r="DH10" s="13"/>
      <c r="DI10" s="13"/>
      <c r="DJ10" s="13"/>
      <c r="DK10" s="13"/>
      <c r="DL10" s="13"/>
      <c r="DM10" s="13"/>
      <c r="DN10" s="13"/>
      <c r="DO10" s="13"/>
      <c r="DP10" s="13"/>
      <c r="DQ10" s="13"/>
      <c r="DR10" s="13"/>
      <c r="DS10" s="13"/>
      <c r="DT10" s="13"/>
      <c r="DU10" s="13"/>
      <c r="DV10" s="13"/>
      <c r="DW10" s="13"/>
    </row>
    <row r="11" spans="1:127">
      <c r="A11" s="13" t="str">
        <f>Schedule_Data!A12</f>
        <v>SAIL-104</v>
      </c>
      <c r="B11" s="13" t="str">
        <f>Schedule_Data!B12</f>
        <v>1.0</v>
      </c>
      <c r="C11" s="13" t="str">
        <f>Schedule_Data!C12</f>
        <v>Sail-away (MZP?묨GI)</v>
      </c>
      <c r="D11" s="23" t="str">
        <f>Schedule_Data!D12</f>
        <v>SAIL</v>
      </c>
      <c r="E11" s="33">
        <f>Schedule_Data!F12</f>
        <v>46041</v>
      </c>
      <c r="F11" s="33">
        <f>Schedule_Data!G12</f>
        <v>46041</v>
      </c>
      <c r="G11" s="13">
        <f>Schedule_Data!H12</f>
        <v>0</v>
      </c>
      <c r="H11" s="13"/>
      <c r="I11" s="13"/>
      <c r="J11" s="13"/>
      <c r="K11" s="13"/>
      <c r="L11" s="38" t="s">
        <v>270</v>
      </c>
      <c r="M11" s="13"/>
      <c r="N11" s="13"/>
      <c r="O11" s="13"/>
      <c r="P11" s="13"/>
      <c r="Q11" s="13"/>
      <c r="R11" s="13"/>
      <c r="S11" s="13"/>
      <c r="T11" s="13"/>
      <c r="U11" s="13"/>
      <c r="V11" s="13"/>
      <c r="W11" s="13"/>
      <c r="X11" s="13"/>
      <c r="Y11" s="13"/>
      <c r="Z11" s="13"/>
      <c r="AA11" s="13"/>
      <c r="AB11" s="13"/>
      <c r="AC11" s="13"/>
      <c r="AD11" s="13"/>
      <c r="AE11" s="13"/>
      <c r="AF11" s="13"/>
      <c r="AG11" s="13"/>
      <c r="AH11" s="13"/>
      <c r="AI11" s="13"/>
      <c r="AJ11" s="13"/>
      <c r="AK11" s="13"/>
      <c r="AL11" s="13"/>
      <c r="AM11" s="13"/>
      <c r="AN11" s="13"/>
      <c r="AO11" s="13"/>
      <c r="AP11" s="13"/>
      <c r="AQ11" s="13"/>
      <c r="AR11" s="13"/>
      <c r="AS11" s="13"/>
      <c r="AT11" s="13"/>
      <c r="AU11" s="13"/>
      <c r="AV11" s="13"/>
      <c r="AW11" s="13"/>
      <c r="AX11" s="13"/>
      <c r="AY11" s="13"/>
      <c r="AZ11" s="13"/>
      <c r="BA11" s="13"/>
      <c r="BB11" s="13"/>
      <c r="BC11" s="13"/>
      <c r="BD11" s="13"/>
      <c r="BE11" s="13"/>
      <c r="BF11" s="13"/>
      <c r="BG11" s="13"/>
      <c r="BH11" s="13"/>
      <c r="BI11" s="13"/>
      <c r="BJ11" s="13"/>
      <c r="BK11" s="13"/>
      <c r="BL11" s="13"/>
      <c r="BM11" s="13"/>
      <c r="BN11" s="13"/>
      <c r="BO11" s="13"/>
      <c r="BP11" s="13"/>
      <c r="BQ11" s="13"/>
      <c r="BR11" s="13"/>
      <c r="BS11" s="13"/>
      <c r="BT11" s="13"/>
      <c r="BU11" s="13"/>
      <c r="BV11" s="13"/>
      <c r="BW11" s="13"/>
      <c r="BX11" s="13"/>
      <c r="BY11" s="13"/>
      <c r="BZ11" s="13"/>
      <c r="CA11" s="13"/>
      <c r="CB11" s="13"/>
      <c r="CC11" s="13"/>
      <c r="CD11" s="13"/>
      <c r="CE11" s="13"/>
      <c r="CF11" s="13"/>
      <c r="CG11" s="13"/>
      <c r="CH11" s="13"/>
      <c r="CI11" s="13"/>
      <c r="CJ11" s="13"/>
      <c r="CK11" s="13"/>
      <c r="CL11" s="13"/>
      <c r="CM11" s="13"/>
      <c r="CN11" s="13"/>
      <c r="CO11" s="13"/>
      <c r="CP11" s="13"/>
      <c r="CQ11" s="13"/>
      <c r="CR11" s="13"/>
      <c r="CS11" s="13"/>
      <c r="CT11" s="13"/>
      <c r="CU11" s="13"/>
      <c r="CV11" s="13"/>
      <c r="CW11" s="13"/>
      <c r="CX11" s="13"/>
      <c r="CY11" s="13"/>
      <c r="CZ11" s="13"/>
      <c r="DA11" s="13"/>
      <c r="DB11" s="13"/>
      <c r="DC11" s="13"/>
      <c r="DD11" s="13"/>
      <c r="DE11" s="13"/>
      <c r="DF11" s="13"/>
      <c r="DG11" s="13"/>
      <c r="DH11" s="13"/>
      <c r="DI11" s="13"/>
      <c r="DJ11" s="13"/>
      <c r="DK11" s="13"/>
      <c r="DL11" s="13"/>
      <c r="DM11" s="13"/>
      <c r="DN11" s="13"/>
      <c r="DO11" s="13"/>
      <c r="DP11" s="13"/>
      <c r="DQ11" s="13"/>
      <c r="DR11" s="13"/>
      <c r="DS11" s="13"/>
      <c r="DT11" s="13"/>
      <c r="DU11" s="13"/>
      <c r="DV11" s="13"/>
      <c r="DW11" s="13"/>
    </row>
    <row r="12" spans="1:127">
      <c r="A12" s="13" t="str">
        <f>Schedule_Data!A13</f>
        <v>ARR-105</v>
      </c>
      <c r="B12" s="13" t="str">
        <f>Schedule_Data!B13</f>
        <v>1.0</v>
      </c>
      <c r="C12" s="13" t="str">
        <f>Schedule_Data!C13</f>
        <v>Arrive/berth AGI jetty</v>
      </c>
      <c r="D12" s="24" t="str">
        <f>Schedule_Data!D13</f>
        <v>AGI_UNLOAD</v>
      </c>
      <c r="E12" s="33">
        <f>Schedule_Data!F13</f>
        <v>46042</v>
      </c>
      <c r="F12" s="33">
        <f>Schedule_Data!G13</f>
        <v>46042</v>
      </c>
      <c r="G12" s="13">
        <f>Schedule_Data!H13</f>
        <v>0</v>
      </c>
      <c r="H12" s="13"/>
      <c r="I12" s="13"/>
      <c r="J12" s="13"/>
      <c r="K12" s="13"/>
      <c r="L12" s="13"/>
      <c r="M12" s="39" t="s">
        <v>270</v>
      </c>
      <c r="N12" s="13"/>
      <c r="O12" s="13"/>
      <c r="P12" s="13"/>
      <c r="Q12" s="13"/>
      <c r="R12" s="13"/>
      <c r="S12" s="13"/>
      <c r="T12" s="13"/>
      <c r="U12" s="13"/>
      <c r="V12" s="13"/>
      <c r="W12" s="13"/>
      <c r="X12" s="13"/>
      <c r="Y12" s="13"/>
      <c r="Z12" s="13"/>
      <c r="AA12" s="13"/>
      <c r="AB12" s="13"/>
      <c r="AC12" s="13"/>
      <c r="AD12" s="13"/>
      <c r="AE12" s="13"/>
      <c r="AF12" s="13"/>
      <c r="AG12" s="13"/>
      <c r="AH12" s="13"/>
      <c r="AI12" s="13"/>
      <c r="AJ12" s="13"/>
      <c r="AK12" s="13"/>
      <c r="AL12" s="13"/>
      <c r="AM12" s="13"/>
      <c r="AN12" s="13"/>
      <c r="AO12" s="13"/>
      <c r="AP12" s="13"/>
      <c r="AQ12" s="13"/>
      <c r="AR12" s="13"/>
      <c r="AS12" s="13"/>
      <c r="AT12" s="13"/>
      <c r="AU12" s="13"/>
      <c r="AV12" s="13"/>
      <c r="AW12" s="13"/>
      <c r="AX12" s="13"/>
      <c r="AY12" s="13"/>
      <c r="AZ12" s="13"/>
      <c r="BA12" s="13"/>
      <c r="BB12" s="13"/>
      <c r="BC12" s="13"/>
      <c r="BD12" s="13"/>
      <c r="BE12" s="13"/>
      <c r="BF12" s="13"/>
      <c r="BG12" s="13"/>
      <c r="BH12" s="13"/>
      <c r="BI12" s="13"/>
      <c r="BJ12" s="13"/>
      <c r="BK12" s="13"/>
      <c r="BL12" s="13"/>
      <c r="BM12" s="13"/>
      <c r="BN12" s="13"/>
      <c r="BO12" s="13"/>
      <c r="BP12" s="13"/>
      <c r="BQ12" s="13"/>
      <c r="BR12" s="13"/>
      <c r="BS12" s="13"/>
      <c r="BT12" s="13"/>
      <c r="BU12" s="13"/>
      <c r="BV12" s="13"/>
      <c r="BW12" s="13"/>
      <c r="BX12" s="13"/>
      <c r="BY12" s="13"/>
      <c r="BZ12" s="13"/>
      <c r="CA12" s="13"/>
      <c r="CB12" s="13"/>
      <c r="CC12" s="13"/>
      <c r="CD12" s="13"/>
      <c r="CE12" s="13"/>
      <c r="CF12" s="13"/>
      <c r="CG12" s="13"/>
      <c r="CH12" s="13"/>
      <c r="CI12" s="13"/>
      <c r="CJ12" s="13"/>
      <c r="CK12" s="13"/>
      <c r="CL12" s="13"/>
      <c r="CM12" s="13"/>
      <c r="CN12" s="13"/>
      <c r="CO12" s="13"/>
      <c r="CP12" s="13"/>
      <c r="CQ12" s="13"/>
      <c r="CR12" s="13"/>
      <c r="CS12" s="13"/>
      <c r="CT12" s="13"/>
      <c r="CU12" s="13"/>
      <c r="CV12" s="13"/>
      <c r="CW12" s="13"/>
      <c r="CX12" s="13"/>
      <c r="CY12" s="13"/>
      <c r="CZ12" s="13"/>
      <c r="DA12" s="13"/>
      <c r="DB12" s="13"/>
      <c r="DC12" s="13"/>
      <c r="DD12" s="13"/>
      <c r="DE12" s="13"/>
      <c r="DF12" s="13"/>
      <c r="DG12" s="13"/>
      <c r="DH12" s="13"/>
      <c r="DI12" s="13"/>
      <c r="DJ12" s="13"/>
      <c r="DK12" s="13"/>
      <c r="DL12" s="13"/>
      <c r="DM12" s="13"/>
      <c r="DN12" s="13"/>
      <c r="DO12" s="13"/>
      <c r="DP12" s="13"/>
      <c r="DQ12" s="13"/>
      <c r="DR12" s="13"/>
      <c r="DS12" s="13"/>
      <c r="DT12" s="13"/>
      <c r="DU12" s="13"/>
      <c r="DV12" s="13"/>
      <c r="DW12" s="13"/>
    </row>
    <row r="13" spans="1:127">
      <c r="A13" s="13" t="str">
        <f>Schedule_Data!A14</f>
        <v>STORE-106</v>
      </c>
      <c r="B13" s="13" t="str">
        <f>Schedule_Data!B14</f>
        <v>1.0</v>
      </c>
      <c r="C13" s="13" t="str">
        <f>Schedule_Data!C14</f>
        <v>Unload &amp; store TR1 at laydown</v>
      </c>
      <c r="D13" s="22" t="str">
        <f>Schedule_Data!D14</f>
        <v>BUFFER</v>
      </c>
      <c r="E13" s="33">
        <f>Schedule_Data!F14</f>
        <v>46043</v>
      </c>
      <c r="F13" s="33">
        <f>Schedule_Data!G14</f>
        <v>46043</v>
      </c>
      <c r="G13" s="13">
        <f>Schedule_Data!H14</f>
        <v>0</v>
      </c>
      <c r="H13" s="13"/>
      <c r="I13" s="13"/>
      <c r="J13" s="13"/>
      <c r="K13" s="13"/>
      <c r="L13" s="13"/>
      <c r="M13" s="13"/>
      <c r="N13" s="22"/>
      <c r="O13" s="13"/>
      <c r="P13" s="13"/>
      <c r="Q13" s="13"/>
      <c r="R13" s="13"/>
      <c r="S13" s="13"/>
      <c r="T13" s="13"/>
      <c r="U13" s="13"/>
      <c r="V13" s="13"/>
      <c r="W13" s="13"/>
      <c r="X13" s="13"/>
      <c r="Y13" s="13"/>
      <c r="Z13" s="13"/>
      <c r="AA13" s="13"/>
      <c r="AB13" s="13"/>
      <c r="AC13" s="13"/>
      <c r="AD13" s="13"/>
      <c r="AE13" s="13"/>
      <c r="AF13" s="13"/>
      <c r="AG13" s="13"/>
      <c r="AH13" s="13"/>
      <c r="AI13" s="13"/>
      <c r="AJ13" s="13"/>
      <c r="AK13" s="13"/>
      <c r="AL13" s="13"/>
      <c r="AM13" s="13"/>
      <c r="AN13" s="13"/>
      <c r="AO13" s="13"/>
      <c r="AP13" s="13"/>
      <c r="AQ13" s="13"/>
      <c r="AR13" s="13"/>
      <c r="AS13" s="13"/>
      <c r="AT13" s="13"/>
      <c r="AU13" s="13"/>
      <c r="AV13" s="13"/>
      <c r="AW13" s="13"/>
      <c r="AX13" s="13"/>
      <c r="AY13" s="13"/>
      <c r="AZ13" s="13"/>
      <c r="BA13" s="13"/>
      <c r="BB13" s="13"/>
      <c r="BC13" s="13"/>
      <c r="BD13" s="13"/>
      <c r="BE13" s="13"/>
      <c r="BF13" s="13"/>
      <c r="BG13" s="13"/>
      <c r="BH13" s="13"/>
      <c r="BI13" s="13"/>
      <c r="BJ13" s="13"/>
      <c r="BK13" s="13"/>
      <c r="BL13" s="13"/>
      <c r="BM13" s="13"/>
      <c r="BN13" s="13"/>
      <c r="BO13" s="13"/>
      <c r="BP13" s="13"/>
      <c r="BQ13" s="13"/>
      <c r="BR13" s="13"/>
      <c r="BS13" s="13"/>
      <c r="BT13" s="13"/>
      <c r="BU13" s="13"/>
      <c r="BV13" s="13"/>
      <c r="BW13" s="13"/>
      <c r="BX13" s="13"/>
      <c r="BY13" s="13"/>
      <c r="BZ13" s="13"/>
      <c r="CA13" s="13"/>
      <c r="CB13" s="13"/>
      <c r="CC13" s="13"/>
      <c r="CD13" s="13"/>
      <c r="CE13" s="13"/>
      <c r="CF13" s="13"/>
      <c r="CG13" s="13"/>
      <c r="CH13" s="13"/>
      <c r="CI13" s="13"/>
      <c r="CJ13" s="13"/>
      <c r="CK13" s="13"/>
      <c r="CL13" s="13"/>
      <c r="CM13" s="13"/>
      <c r="CN13" s="13"/>
      <c r="CO13" s="13"/>
      <c r="CP13" s="13"/>
      <c r="CQ13" s="13"/>
      <c r="CR13" s="13"/>
      <c r="CS13" s="13"/>
      <c r="CT13" s="13"/>
      <c r="CU13" s="13"/>
      <c r="CV13" s="13"/>
      <c r="CW13" s="13"/>
      <c r="CX13" s="13"/>
      <c r="CY13" s="13"/>
      <c r="CZ13" s="13"/>
      <c r="DA13" s="13"/>
      <c r="DB13" s="13"/>
      <c r="DC13" s="13"/>
      <c r="DD13" s="13"/>
      <c r="DE13" s="13"/>
      <c r="DF13" s="13"/>
      <c r="DG13" s="13"/>
      <c r="DH13" s="13"/>
      <c r="DI13" s="13"/>
      <c r="DJ13" s="13"/>
      <c r="DK13" s="13"/>
      <c r="DL13" s="13"/>
      <c r="DM13" s="13"/>
      <c r="DN13" s="13"/>
      <c r="DO13" s="13"/>
      <c r="DP13" s="13"/>
      <c r="DQ13" s="13"/>
      <c r="DR13" s="13"/>
      <c r="DS13" s="13"/>
      <c r="DT13" s="13"/>
      <c r="DU13" s="13"/>
      <c r="DV13" s="13"/>
      <c r="DW13" s="13"/>
    </row>
    <row r="14" spans="1:127">
      <c r="A14" s="13" t="str">
        <f>Schedule_Data!A15</f>
        <v>RET-107</v>
      </c>
      <c r="B14" s="13" t="str">
        <f>Schedule_Data!B15</f>
        <v>1.0</v>
      </c>
      <c r="C14" s="13" t="str">
        <f>Schedule_Data!C15</f>
        <v>LCT Return to MZP</v>
      </c>
      <c r="D14" s="25" t="str">
        <f>Schedule_Data!D15</f>
        <v>RETURN</v>
      </c>
      <c r="E14" s="33">
        <f>Schedule_Data!F15</f>
        <v>46043</v>
      </c>
      <c r="F14" s="33">
        <f>Schedule_Data!G15</f>
        <v>46043</v>
      </c>
      <c r="G14" s="13">
        <f>Schedule_Data!H15</f>
        <v>0</v>
      </c>
      <c r="H14" s="13"/>
      <c r="I14" s="13"/>
      <c r="J14" s="13"/>
      <c r="K14" s="13"/>
      <c r="L14" s="13"/>
      <c r="M14" s="13"/>
      <c r="N14" s="40" t="s">
        <v>270</v>
      </c>
      <c r="O14" s="13"/>
      <c r="P14" s="13"/>
      <c r="Q14" s="13"/>
      <c r="R14" s="13"/>
      <c r="S14" s="13"/>
      <c r="T14" s="13"/>
      <c r="U14" s="13"/>
      <c r="V14" s="13"/>
      <c r="W14" s="13"/>
      <c r="X14" s="13"/>
      <c r="Y14" s="13"/>
      <c r="Z14" s="13"/>
      <c r="AA14" s="13"/>
      <c r="AB14" s="13"/>
      <c r="AC14" s="13"/>
      <c r="AD14" s="13"/>
      <c r="AE14" s="13"/>
      <c r="AF14" s="13"/>
      <c r="AG14" s="13"/>
      <c r="AH14" s="13"/>
      <c r="AI14" s="13"/>
      <c r="AJ14" s="13"/>
      <c r="AK14" s="13"/>
      <c r="AL14" s="13"/>
      <c r="AM14" s="13"/>
      <c r="AN14" s="13"/>
      <c r="AO14" s="13"/>
      <c r="AP14" s="13"/>
      <c r="AQ14" s="13"/>
      <c r="AR14" s="13"/>
      <c r="AS14" s="13"/>
      <c r="AT14" s="13"/>
      <c r="AU14" s="13"/>
      <c r="AV14" s="13"/>
      <c r="AW14" s="13"/>
      <c r="AX14" s="13"/>
      <c r="AY14" s="13"/>
      <c r="AZ14" s="13"/>
      <c r="BA14" s="13"/>
      <c r="BB14" s="13"/>
      <c r="BC14" s="13"/>
      <c r="BD14" s="13"/>
      <c r="BE14" s="13"/>
      <c r="BF14" s="13"/>
      <c r="BG14" s="13"/>
      <c r="BH14" s="13"/>
      <c r="BI14" s="13"/>
      <c r="BJ14" s="13"/>
      <c r="BK14" s="13"/>
      <c r="BL14" s="13"/>
      <c r="BM14" s="13"/>
      <c r="BN14" s="13"/>
      <c r="BO14" s="13"/>
      <c r="BP14" s="13"/>
      <c r="BQ14" s="13"/>
      <c r="BR14" s="13"/>
      <c r="BS14" s="13"/>
      <c r="BT14" s="13"/>
      <c r="BU14" s="13"/>
      <c r="BV14" s="13"/>
      <c r="BW14" s="13"/>
      <c r="BX14" s="13"/>
      <c r="BY14" s="13"/>
      <c r="BZ14" s="13"/>
      <c r="CA14" s="13"/>
      <c r="CB14" s="13"/>
      <c r="CC14" s="13"/>
      <c r="CD14" s="13"/>
      <c r="CE14" s="13"/>
      <c r="CF14" s="13"/>
      <c r="CG14" s="13"/>
      <c r="CH14" s="13"/>
      <c r="CI14" s="13"/>
      <c r="CJ14" s="13"/>
      <c r="CK14" s="13"/>
      <c r="CL14" s="13"/>
      <c r="CM14" s="13"/>
      <c r="CN14" s="13"/>
      <c r="CO14" s="13"/>
      <c r="CP14" s="13"/>
      <c r="CQ14" s="13"/>
      <c r="CR14" s="13"/>
      <c r="CS14" s="13"/>
      <c r="CT14" s="13"/>
      <c r="CU14" s="13"/>
      <c r="CV14" s="13"/>
      <c r="CW14" s="13"/>
      <c r="CX14" s="13"/>
      <c r="CY14" s="13"/>
      <c r="CZ14" s="13"/>
      <c r="DA14" s="13"/>
      <c r="DB14" s="13"/>
      <c r="DC14" s="13"/>
      <c r="DD14" s="13"/>
      <c r="DE14" s="13"/>
      <c r="DF14" s="13"/>
      <c r="DG14" s="13"/>
      <c r="DH14" s="13"/>
      <c r="DI14" s="13"/>
      <c r="DJ14" s="13"/>
      <c r="DK14" s="13"/>
      <c r="DL14" s="13"/>
      <c r="DM14" s="13"/>
      <c r="DN14" s="13"/>
      <c r="DO14" s="13"/>
      <c r="DP14" s="13"/>
      <c r="DQ14" s="13"/>
      <c r="DR14" s="13"/>
      <c r="DS14" s="13"/>
      <c r="DT14" s="13"/>
      <c r="DU14" s="13"/>
      <c r="DV14" s="13"/>
      <c r="DW14" s="13"/>
    </row>
    <row r="15" spans="1:127">
      <c r="A15" s="13" t="str">
        <f>Schedule_Data!A16</f>
        <v>BUF-108</v>
      </c>
      <c r="B15" s="13" t="str">
        <f>Schedule_Data!B16</f>
        <v>1.0</v>
      </c>
      <c r="C15" s="13" t="str">
        <f>Schedule_Data!C16</f>
        <v>Buffer / standby</v>
      </c>
      <c r="D15" s="22" t="str">
        <f>Schedule_Data!D16</f>
        <v>BUFFER</v>
      </c>
      <c r="E15" s="33">
        <f>Schedule_Data!F16</f>
        <v>46044</v>
      </c>
      <c r="F15" s="33">
        <f>Schedule_Data!G16</f>
        <v>46044</v>
      </c>
      <c r="G15" s="13">
        <f>Schedule_Data!H16</f>
        <v>0</v>
      </c>
      <c r="H15" s="13"/>
      <c r="I15" s="13"/>
      <c r="J15" s="13"/>
      <c r="K15" s="13"/>
      <c r="L15" s="13"/>
      <c r="M15" s="13"/>
      <c r="N15" s="13"/>
      <c r="O15" s="22"/>
      <c r="P15" s="13"/>
      <c r="Q15" s="13"/>
      <c r="R15" s="13"/>
      <c r="S15" s="13"/>
      <c r="T15" s="13"/>
      <c r="U15" s="13"/>
      <c r="V15" s="13"/>
      <c r="W15" s="13"/>
      <c r="X15" s="13"/>
      <c r="Y15" s="13"/>
      <c r="Z15" s="13"/>
      <c r="AA15" s="13"/>
      <c r="AB15" s="13"/>
      <c r="AC15" s="13"/>
      <c r="AD15" s="13"/>
      <c r="AE15" s="13"/>
      <c r="AF15" s="13"/>
      <c r="AG15" s="13"/>
      <c r="AH15" s="13"/>
      <c r="AI15" s="13"/>
      <c r="AJ15" s="13"/>
      <c r="AK15" s="13"/>
      <c r="AL15" s="13"/>
      <c r="AM15" s="13"/>
      <c r="AN15" s="13"/>
      <c r="AO15" s="13"/>
      <c r="AP15" s="13"/>
      <c r="AQ15" s="13"/>
      <c r="AR15" s="13"/>
      <c r="AS15" s="13"/>
      <c r="AT15" s="13"/>
      <c r="AU15" s="13"/>
      <c r="AV15" s="13"/>
      <c r="AW15" s="13"/>
      <c r="AX15" s="13"/>
      <c r="AY15" s="13"/>
      <c r="AZ15" s="13"/>
      <c r="BA15" s="13"/>
      <c r="BB15" s="13"/>
      <c r="BC15" s="13"/>
      <c r="BD15" s="13"/>
      <c r="BE15" s="13"/>
      <c r="BF15" s="13"/>
      <c r="BG15" s="13"/>
      <c r="BH15" s="13"/>
      <c r="BI15" s="13"/>
      <c r="BJ15" s="13"/>
      <c r="BK15" s="13"/>
      <c r="BL15" s="13"/>
      <c r="BM15" s="13"/>
      <c r="BN15" s="13"/>
      <c r="BO15" s="13"/>
      <c r="BP15" s="13"/>
      <c r="BQ15" s="13"/>
      <c r="BR15" s="13"/>
      <c r="BS15" s="13"/>
      <c r="BT15" s="13"/>
      <c r="BU15" s="13"/>
      <c r="BV15" s="13"/>
      <c r="BW15" s="13"/>
      <c r="BX15" s="13"/>
      <c r="BY15" s="13"/>
      <c r="BZ15" s="13"/>
      <c r="CA15" s="13"/>
      <c r="CB15" s="13"/>
      <c r="CC15" s="13"/>
      <c r="CD15" s="13"/>
      <c r="CE15" s="13"/>
      <c r="CF15" s="13"/>
      <c r="CG15" s="13"/>
      <c r="CH15" s="13"/>
      <c r="CI15" s="13"/>
      <c r="CJ15" s="13"/>
      <c r="CK15" s="13"/>
      <c r="CL15" s="13"/>
      <c r="CM15" s="13"/>
      <c r="CN15" s="13"/>
      <c r="CO15" s="13"/>
      <c r="CP15" s="13"/>
      <c r="CQ15" s="13"/>
      <c r="CR15" s="13"/>
      <c r="CS15" s="13"/>
      <c r="CT15" s="13"/>
      <c r="CU15" s="13"/>
      <c r="CV15" s="13"/>
      <c r="CW15" s="13"/>
      <c r="CX15" s="13"/>
      <c r="CY15" s="13"/>
      <c r="CZ15" s="13"/>
      <c r="DA15" s="13"/>
      <c r="DB15" s="13"/>
      <c r="DC15" s="13"/>
      <c r="DD15" s="13"/>
      <c r="DE15" s="13"/>
      <c r="DF15" s="13"/>
      <c r="DG15" s="13"/>
      <c r="DH15" s="13"/>
      <c r="DI15" s="13"/>
      <c r="DJ15" s="13"/>
      <c r="DK15" s="13"/>
      <c r="DL15" s="13"/>
      <c r="DM15" s="13"/>
      <c r="DN15" s="13"/>
      <c r="DO15" s="13"/>
      <c r="DP15" s="13"/>
      <c r="DQ15" s="13"/>
      <c r="DR15" s="13"/>
      <c r="DS15" s="13"/>
      <c r="DT15" s="13"/>
      <c r="DU15" s="13"/>
      <c r="DV15" s="13"/>
      <c r="DW15" s="13"/>
    </row>
    <row r="16" spans="1:127">
      <c r="A16" s="13" t="str">
        <f>Schedule_Data!A17</f>
        <v>V2</v>
      </c>
      <c r="B16" s="13" t="str">
        <f>Schedule_Data!B17</f>
        <v>2.0</v>
      </c>
      <c r="C16" s="13" t="str">
        <f>Schedule_Data!C17</f>
        <v>VOYAGE 2: TR2 Transport + JD-1</v>
      </c>
      <c r="D16" s="34" t="str">
        <f>Schedule_Data!D17</f>
        <v>MILESTONE</v>
      </c>
      <c r="E16" s="33">
        <f>Schedule_Data!F17</f>
        <v>46048</v>
      </c>
      <c r="F16" s="33">
        <f>Schedule_Data!G17</f>
        <v>46048</v>
      </c>
      <c r="G16" s="13">
        <f>Schedule_Data!H17</f>
        <v>0</v>
      </c>
      <c r="H16" s="13"/>
      <c r="I16" s="13"/>
      <c r="J16" s="13"/>
      <c r="K16" s="13"/>
      <c r="L16" s="13"/>
      <c r="M16" s="13"/>
      <c r="N16" s="13"/>
      <c r="O16" s="13"/>
      <c r="P16" s="13"/>
      <c r="Q16" s="13"/>
      <c r="R16" s="13"/>
      <c r="S16" s="35" t="s">
        <v>270</v>
      </c>
      <c r="T16" s="13"/>
      <c r="U16" s="13"/>
      <c r="V16" s="13"/>
      <c r="W16" s="13"/>
      <c r="X16" s="13"/>
      <c r="Y16" s="13"/>
      <c r="Z16" s="13"/>
      <c r="AA16" s="13"/>
      <c r="AB16" s="13"/>
      <c r="AC16" s="13"/>
      <c r="AD16" s="13"/>
      <c r="AE16" s="13"/>
      <c r="AF16" s="13"/>
      <c r="AG16" s="13"/>
      <c r="AH16" s="13"/>
      <c r="AI16" s="13"/>
      <c r="AJ16" s="13"/>
      <c r="AK16" s="13"/>
      <c r="AL16" s="13"/>
      <c r="AM16" s="13"/>
      <c r="AN16" s="13"/>
      <c r="AO16" s="13"/>
      <c r="AP16" s="13"/>
      <c r="AQ16" s="13"/>
      <c r="AR16" s="13"/>
      <c r="AS16" s="13"/>
      <c r="AT16" s="13"/>
      <c r="AU16" s="13"/>
      <c r="AV16" s="13"/>
      <c r="AW16" s="13"/>
      <c r="AX16" s="13"/>
      <c r="AY16" s="13"/>
      <c r="AZ16" s="13"/>
      <c r="BA16" s="13"/>
      <c r="BB16" s="13"/>
      <c r="BC16" s="13"/>
      <c r="BD16" s="13"/>
      <c r="BE16" s="13"/>
      <c r="BF16" s="13"/>
      <c r="BG16" s="13"/>
      <c r="BH16" s="13"/>
      <c r="BI16" s="13"/>
      <c r="BJ16" s="13"/>
      <c r="BK16" s="13"/>
      <c r="BL16" s="13"/>
      <c r="BM16" s="13"/>
      <c r="BN16" s="13"/>
      <c r="BO16" s="13"/>
      <c r="BP16" s="13"/>
      <c r="BQ16" s="13"/>
      <c r="BR16" s="13"/>
      <c r="BS16" s="13"/>
      <c r="BT16" s="13"/>
      <c r="BU16" s="13"/>
      <c r="BV16" s="13"/>
      <c r="BW16" s="13"/>
      <c r="BX16" s="13"/>
      <c r="BY16" s="13"/>
      <c r="BZ16" s="13"/>
      <c r="CA16" s="13"/>
      <c r="CB16" s="13"/>
      <c r="CC16" s="13"/>
      <c r="CD16" s="13"/>
      <c r="CE16" s="13"/>
      <c r="CF16" s="13"/>
      <c r="CG16" s="13"/>
      <c r="CH16" s="13"/>
      <c r="CI16" s="13"/>
      <c r="CJ16" s="13"/>
      <c r="CK16" s="13"/>
      <c r="CL16" s="13"/>
      <c r="CM16" s="13"/>
      <c r="CN16" s="13"/>
      <c r="CO16" s="13"/>
      <c r="CP16" s="13"/>
      <c r="CQ16" s="13"/>
      <c r="CR16" s="13"/>
      <c r="CS16" s="13"/>
      <c r="CT16" s="13"/>
      <c r="CU16" s="13"/>
      <c r="CV16" s="13"/>
      <c r="CW16" s="13"/>
      <c r="CX16" s="13"/>
      <c r="CY16" s="13"/>
      <c r="CZ16" s="13"/>
      <c r="DA16" s="13"/>
      <c r="DB16" s="13"/>
      <c r="DC16" s="13"/>
      <c r="DD16" s="13"/>
      <c r="DE16" s="13"/>
      <c r="DF16" s="13"/>
      <c r="DG16" s="13"/>
      <c r="DH16" s="13"/>
      <c r="DI16" s="13"/>
      <c r="DJ16" s="13"/>
      <c r="DK16" s="13"/>
      <c r="DL16" s="13"/>
      <c r="DM16" s="13"/>
      <c r="DN16" s="13"/>
      <c r="DO16" s="13"/>
      <c r="DP16" s="13"/>
      <c r="DQ16" s="13"/>
      <c r="DR16" s="13"/>
      <c r="DS16" s="13"/>
      <c r="DT16" s="13"/>
      <c r="DU16" s="13"/>
      <c r="DV16" s="13"/>
      <c r="DW16" s="13"/>
    </row>
    <row r="17" spans="1:127">
      <c r="A17" s="13" t="str">
        <f>Schedule_Data!A18</f>
        <v>LO-109</v>
      </c>
      <c r="B17" s="13" t="str">
        <f>Schedule_Data!B18</f>
        <v>2.0</v>
      </c>
      <c r="C17" s="13" t="str">
        <f>Schedule_Data!C18</f>
        <v>Loadout TR2 onto LCT</v>
      </c>
      <c r="D17" s="20" t="str">
        <f>Schedule_Data!D18</f>
        <v>LOADOUT</v>
      </c>
      <c r="E17" s="33">
        <f>Schedule_Data!F18</f>
        <v>46048</v>
      </c>
      <c r="F17" s="33">
        <f>Schedule_Data!G18</f>
        <v>46048</v>
      </c>
      <c r="G17" s="13">
        <f>Schedule_Data!H18</f>
        <v>0</v>
      </c>
      <c r="H17" s="13"/>
      <c r="I17" s="13"/>
      <c r="J17" s="13"/>
      <c r="K17" s="13"/>
      <c r="L17" s="13"/>
      <c r="M17" s="13"/>
      <c r="N17" s="13"/>
      <c r="O17" s="13"/>
      <c r="P17" s="13"/>
      <c r="Q17" s="13"/>
      <c r="R17" s="13"/>
      <c r="S17" s="20"/>
      <c r="T17" s="13"/>
      <c r="U17" s="13"/>
      <c r="V17" s="13"/>
      <c r="W17" s="13"/>
      <c r="X17" s="13"/>
      <c r="Y17" s="13"/>
      <c r="Z17" s="13"/>
      <c r="AA17" s="13"/>
      <c r="AB17" s="13"/>
      <c r="AC17" s="13"/>
      <c r="AD17" s="13"/>
      <c r="AE17" s="13"/>
      <c r="AF17" s="13"/>
      <c r="AG17" s="13"/>
      <c r="AH17" s="13"/>
      <c r="AI17" s="13"/>
      <c r="AJ17" s="13"/>
      <c r="AK17" s="13"/>
      <c r="AL17" s="13"/>
      <c r="AM17" s="13"/>
      <c r="AN17" s="13"/>
      <c r="AO17" s="13"/>
      <c r="AP17" s="13"/>
      <c r="AQ17" s="13"/>
      <c r="AR17" s="13"/>
      <c r="AS17" s="13"/>
      <c r="AT17" s="13"/>
      <c r="AU17" s="13"/>
      <c r="AV17" s="13"/>
      <c r="AW17" s="13"/>
      <c r="AX17" s="13"/>
      <c r="AY17" s="13"/>
      <c r="AZ17" s="13"/>
      <c r="BA17" s="13"/>
      <c r="BB17" s="13"/>
      <c r="BC17" s="13"/>
      <c r="BD17" s="13"/>
      <c r="BE17" s="13"/>
      <c r="BF17" s="13"/>
      <c r="BG17" s="13"/>
      <c r="BH17" s="13"/>
      <c r="BI17" s="13"/>
      <c r="BJ17" s="13"/>
      <c r="BK17" s="13"/>
      <c r="BL17" s="13"/>
      <c r="BM17" s="13"/>
      <c r="BN17" s="13"/>
      <c r="BO17" s="13"/>
      <c r="BP17" s="13"/>
      <c r="BQ17" s="13"/>
      <c r="BR17" s="13"/>
      <c r="BS17" s="13"/>
      <c r="BT17" s="13"/>
      <c r="BU17" s="13"/>
      <c r="BV17" s="13"/>
      <c r="BW17" s="13"/>
      <c r="BX17" s="13"/>
      <c r="BY17" s="13"/>
      <c r="BZ17" s="13"/>
      <c r="CA17" s="13"/>
      <c r="CB17" s="13"/>
      <c r="CC17" s="13"/>
      <c r="CD17" s="13"/>
      <c r="CE17" s="13"/>
      <c r="CF17" s="13"/>
      <c r="CG17" s="13"/>
      <c r="CH17" s="13"/>
      <c r="CI17" s="13"/>
      <c r="CJ17" s="13"/>
      <c r="CK17" s="13"/>
      <c r="CL17" s="13"/>
      <c r="CM17" s="13"/>
      <c r="CN17" s="13"/>
      <c r="CO17" s="13"/>
      <c r="CP17" s="13"/>
      <c r="CQ17" s="13"/>
      <c r="CR17" s="13"/>
      <c r="CS17" s="13"/>
      <c r="CT17" s="13"/>
      <c r="CU17" s="13"/>
      <c r="CV17" s="13"/>
      <c r="CW17" s="13"/>
      <c r="CX17" s="13"/>
      <c r="CY17" s="13"/>
      <c r="CZ17" s="13"/>
      <c r="DA17" s="13"/>
      <c r="DB17" s="13"/>
      <c r="DC17" s="13"/>
      <c r="DD17" s="13"/>
      <c r="DE17" s="13"/>
      <c r="DF17" s="13"/>
      <c r="DG17" s="13"/>
      <c r="DH17" s="13"/>
      <c r="DI17" s="13"/>
      <c r="DJ17" s="13"/>
      <c r="DK17" s="13"/>
      <c r="DL17" s="13"/>
      <c r="DM17" s="13"/>
      <c r="DN17" s="13"/>
      <c r="DO17" s="13"/>
      <c r="DP17" s="13"/>
      <c r="DQ17" s="13"/>
      <c r="DR17" s="13"/>
      <c r="DS17" s="13"/>
      <c r="DT17" s="13"/>
      <c r="DU17" s="13"/>
      <c r="DV17" s="13"/>
      <c r="DW17" s="13"/>
    </row>
    <row r="18" spans="1:127">
      <c r="A18" s="13" t="str">
        <f>Schedule_Data!A19</f>
        <v>SF-110</v>
      </c>
      <c r="B18" s="13" t="str">
        <f>Schedule_Data!B19</f>
        <v>2.0</v>
      </c>
      <c r="C18" s="13" t="str">
        <f>Schedule_Data!C19</f>
        <v>Sea fastening TR2</v>
      </c>
      <c r="D18" s="21" t="str">
        <f>Schedule_Data!D19</f>
        <v>SEAFAST</v>
      </c>
      <c r="E18" s="33">
        <f>Schedule_Data!F19</f>
        <v>46049</v>
      </c>
      <c r="F18" s="33">
        <f>Schedule_Data!G19</f>
        <v>46049</v>
      </c>
      <c r="G18" s="13">
        <f>Schedule_Data!H19</f>
        <v>0</v>
      </c>
      <c r="H18" s="13"/>
      <c r="I18" s="13"/>
      <c r="J18" s="13"/>
      <c r="K18" s="13"/>
      <c r="L18" s="13"/>
      <c r="M18" s="13"/>
      <c r="N18" s="13"/>
      <c r="O18" s="13"/>
      <c r="P18" s="13"/>
      <c r="Q18" s="13"/>
      <c r="R18" s="13"/>
      <c r="S18" s="13"/>
      <c r="T18" s="36" t="s">
        <v>270</v>
      </c>
      <c r="U18" s="13"/>
      <c r="V18" s="13"/>
      <c r="W18" s="13"/>
      <c r="X18" s="13"/>
      <c r="Y18" s="13"/>
      <c r="Z18" s="13"/>
      <c r="AA18" s="13"/>
      <c r="AB18" s="13"/>
      <c r="AC18" s="13"/>
      <c r="AD18" s="13"/>
      <c r="AE18" s="13"/>
      <c r="AF18" s="13"/>
      <c r="AG18" s="13"/>
      <c r="AH18" s="13"/>
      <c r="AI18" s="13"/>
      <c r="AJ18" s="13"/>
      <c r="AK18" s="13"/>
      <c r="AL18" s="13"/>
      <c r="AM18" s="13"/>
      <c r="AN18" s="13"/>
      <c r="AO18" s="13"/>
      <c r="AP18" s="13"/>
      <c r="AQ18" s="13"/>
      <c r="AR18" s="13"/>
      <c r="AS18" s="13"/>
      <c r="AT18" s="13"/>
      <c r="AU18" s="13"/>
      <c r="AV18" s="13"/>
      <c r="AW18" s="13"/>
      <c r="AX18" s="13"/>
      <c r="AY18" s="13"/>
      <c r="AZ18" s="13"/>
      <c r="BA18" s="13"/>
      <c r="BB18" s="13"/>
      <c r="BC18" s="13"/>
      <c r="BD18" s="13"/>
      <c r="BE18" s="13"/>
      <c r="BF18" s="13"/>
      <c r="BG18" s="13"/>
      <c r="BH18" s="13"/>
      <c r="BI18" s="13"/>
      <c r="BJ18" s="13"/>
      <c r="BK18" s="13"/>
      <c r="BL18" s="13"/>
      <c r="BM18" s="13"/>
      <c r="BN18" s="13"/>
      <c r="BO18" s="13"/>
      <c r="BP18" s="13"/>
      <c r="BQ18" s="13"/>
      <c r="BR18" s="13"/>
      <c r="BS18" s="13"/>
      <c r="BT18" s="13"/>
      <c r="BU18" s="13"/>
      <c r="BV18" s="13"/>
      <c r="BW18" s="13"/>
      <c r="BX18" s="13"/>
      <c r="BY18" s="13"/>
      <c r="BZ18" s="13"/>
      <c r="CA18" s="13"/>
      <c r="CB18" s="13"/>
      <c r="CC18" s="13"/>
      <c r="CD18" s="13"/>
      <c r="CE18" s="13"/>
      <c r="CF18" s="13"/>
      <c r="CG18" s="13"/>
      <c r="CH18" s="13"/>
      <c r="CI18" s="13"/>
      <c r="CJ18" s="13"/>
      <c r="CK18" s="13"/>
      <c r="CL18" s="13"/>
      <c r="CM18" s="13"/>
      <c r="CN18" s="13"/>
      <c r="CO18" s="13"/>
      <c r="CP18" s="13"/>
      <c r="CQ18" s="13"/>
      <c r="CR18" s="13"/>
      <c r="CS18" s="13"/>
      <c r="CT18" s="13"/>
      <c r="CU18" s="13"/>
      <c r="CV18" s="13"/>
      <c r="CW18" s="13"/>
      <c r="CX18" s="13"/>
      <c r="CY18" s="13"/>
      <c r="CZ18" s="13"/>
      <c r="DA18" s="13"/>
      <c r="DB18" s="13"/>
      <c r="DC18" s="13"/>
      <c r="DD18" s="13"/>
      <c r="DE18" s="13"/>
      <c r="DF18" s="13"/>
      <c r="DG18" s="13"/>
      <c r="DH18" s="13"/>
      <c r="DI18" s="13"/>
      <c r="DJ18" s="13"/>
      <c r="DK18" s="13"/>
      <c r="DL18" s="13"/>
      <c r="DM18" s="13"/>
      <c r="DN18" s="13"/>
      <c r="DO18" s="13"/>
      <c r="DP18" s="13"/>
      <c r="DQ18" s="13"/>
      <c r="DR18" s="13"/>
      <c r="DS18" s="13"/>
      <c r="DT18" s="13"/>
      <c r="DU18" s="13"/>
      <c r="DV18" s="13"/>
      <c r="DW18" s="13"/>
    </row>
    <row r="19" spans="1:127">
      <c r="A19" s="13" t="str">
        <f>Schedule_Data!A20</f>
        <v>MWS-110A</v>
      </c>
      <c r="B19" s="13" t="str">
        <f>Schedule_Data!B20</f>
        <v>2.0</v>
      </c>
      <c r="C19" s="13" t="str">
        <f>Schedule_Data!C20</f>
        <v>MWS Survey + Final checks</v>
      </c>
      <c r="D19" s="22" t="str">
        <f>Schedule_Data!D20</f>
        <v>BUFFER</v>
      </c>
      <c r="E19" s="33">
        <f>Schedule_Data!F20</f>
        <v>46049</v>
      </c>
      <c r="F19" s="33">
        <f>Schedule_Data!G20</f>
        <v>46049</v>
      </c>
      <c r="G19" s="13">
        <f>Schedule_Data!H20</f>
        <v>0</v>
      </c>
      <c r="H19" s="13"/>
      <c r="I19" s="13"/>
      <c r="J19" s="13"/>
      <c r="K19" s="13"/>
      <c r="L19" s="13"/>
      <c r="M19" s="13"/>
      <c r="N19" s="13"/>
      <c r="O19" s="13"/>
      <c r="P19" s="13"/>
      <c r="Q19" s="13"/>
      <c r="R19" s="13"/>
      <c r="S19" s="13"/>
      <c r="T19" s="37" t="s">
        <v>270</v>
      </c>
      <c r="U19" s="13"/>
      <c r="V19" s="13"/>
      <c r="W19" s="13"/>
      <c r="X19" s="13"/>
      <c r="Y19" s="13"/>
      <c r="Z19" s="13"/>
      <c r="AA19" s="13"/>
      <c r="AB19" s="13"/>
      <c r="AC19" s="13"/>
      <c r="AD19" s="13"/>
      <c r="AE19" s="13"/>
      <c r="AF19" s="13"/>
      <c r="AG19" s="13"/>
      <c r="AH19" s="13"/>
      <c r="AI19" s="13"/>
      <c r="AJ19" s="13"/>
      <c r="AK19" s="13"/>
      <c r="AL19" s="13"/>
      <c r="AM19" s="13"/>
      <c r="AN19" s="13"/>
      <c r="AO19" s="13"/>
      <c r="AP19" s="13"/>
      <c r="AQ19" s="13"/>
      <c r="AR19" s="13"/>
      <c r="AS19" s="13"/>
      <c r="AT19" s="13"/>
      <c r="AU19" s="13"/>
      <c r="AV19" s="13"/>
      <c r="AW19" s="13"/>
      <c r="AX19" s="13"/>
      <c r="AY19" s="13"/>
      <c r="AZ19" s="13"/>
      <c r="BA19" s="13"/>
      <c r="BB19" s="13"/>
      <c r="BC19" s="13"/>
      <c r="BD19" s="13"/>
      <c r="BE19" s="13"/>
      <c r="BF19" s="13"/>
      <c r="BG19" s="13"/>
      <c r="BH19" s="13"/>
      <c r="BI19" s="13"/>
      <c r="BJ19" s="13"/>
      <c r="BK19" s="13"/>
      <c r="BL19" s="13"/>
      <c r="BM19" s="13"/>
      <c r="BN19" s="13"/>
      <c r="BO19" s="13"/>
      <c r="BP19" s="13"/>
      <c r="BQ19" s="13"/>
      <c r="BR19" s="13"/>
      <c r="BS19" s="13"/>
      <c r="BT19" s="13"/>
      <c r="BU19" s="13"/>
      <c r="BV19" s="13"/>
      <c r="BW19" s="13"/>
      <c r="BX19" s="13"/>
      <c r="BY19" s="13"/>
      <c r="BZ19" s="13"/>
      <c r="CA19" s="13"/>
      <c r="CB19" s="13"/>
      <c r="CC19" s="13"/>
      <c r="CD19" s="13"/>
      <c r="CE19" s="13"/>
      <c r="CF19" s="13"/>
      <c r="CG19" s="13"/>
      <c r="CH19" s="13"/>
      <c r="CI19" s="13"/>
      <c r="CJ19" s="13"/>
      <c r="CK19" s="13"/>
      <c r="CL19" s="13"/>
      <c r="CM19" s="13"/>
      <c r="CN19" s="13"/>
      <c r="CO19" s="13"/>
      <c r="CP19" s="13"/>
      <c r="CQ19" s="13"/>
      <c r="CR19" s="13"/>
      <c r="CS19" s="13"/>
      <c r="CT19" s="13"/>
      <c r="CU19" s="13"/>
      <c r="CV19" s="13"/>
      <c r="CW19" s="13"/>
      <c r="CX19" s="13"/>
      <c r="CY19" s="13"/>
      <c r="CZ19" s="13"/>
      <c r="DA19" s="13"/>
      <c r="DB19" s="13"/>
      <c r="DC19" s="13"/>
      <c r="DD19" s="13"/>
      <c r="DE19" s="13"/>
      <c r="DF19" s="13"/>
      <c r="DG19" s="13"/>
      <c r="DH19" s="13"/>
      <c r="DI19" s="13"/>
      <c r="DJ19" s="13"/>
      <c r="DK19" s="13"/>
      <c r="DL19" s="13"/>
      <c r="DM19" s="13"/>
      <c r="DN19" s="13"/>
      <c r="DO19" s="13"/>
      <c r="DP19" s="13"/>
      <c r="DQ19" s="13"/>
      <c r="DR19" s="13"/>
      <c r="DS19" s="13"/>
      <c r="DT19" s="13"/>
      <c r="DU19" s="13"/>
      <c r="DV19" s="13"/>
      <c r="DW19" s="13"/>
    </row>
    <row r="20" spans="1:127">
      <c r="A20" s="13" t="str">
        <f>Schedule_Data!A21</f>
        <v>SAIL-111</v>
      </c>
      <c r="B20" s="13" t="str">
        <f>Schedule_Data!B21</f>
        <v>2.0</v>
      </c>
      <c r="C20" s="13" t="str">
        <f>Schedule_Data!C21</f>
        <v>Sail-away</v>
      </c>
      <c r="D20" s="23" t="str">
        <f>Schedule_Data!D21</f>
        <v>SAIL</v>
      </c>
      <c r="E20" s="33">
        <f>Schedule_Data!F21</f>
        <v>46049</v>
      </c>
      <c r="F20" s="33">
        <f>Schedule_Data!G21</f>
        <v>46049</v>
      </c>
      <c r="G20" s="13">
        <f>Schedule_Data!H21</f>
        <v>0</v>
      </c>
      <c r="H20" s="13"/>
      <c r="I20" s="13"/>
      <c r="J20" s="13"/>
      <c r="K20" s="13"/>
      <c r="L20" s="13"/>
      <c r="M20" s="13"/>
      <c r="N20" s="13"/>
      <c r="O20" s="13"/>
      <c r="P20" s="13"/>
      <c r="Q20" s="13"/>
      <c r="R20" s="13"/>
      <c r="S20" s="13"/>
      <c r="T20" s="38" t="s">
        <v>270</v>
      </c>
      <c r="U20" s="13"/>
      <c r="V20" s="13"/>
      <c r="W20" s="13"/>
      <c r="X20" s="13"/>
      <c r="Y20" s="13"/>
      <c r="Z20" s="13"/>
      <c r="AA20" s="13"/>
      <c r="AB20" s="13"/>
      <c r="AC20" s="13"/>
      <c r="AD20" s="13"/>
      <c r="AE20" s="13"/>
      <c r="AF20" s="13"/>
      <c r="AG20" s="13"/>
      <c r="AH20" s="13"/>
      <c r="AI20" s="13"/>
      <c r="AJ20" s="13"/>
      <c r="AK20" s="13"/>
      <c r="AL20" s="13"/>
      <c r="AM20" s="13"/>
      <c r="AN20" s="13"/>
      <c r="AO20" s="13"/>
      <c r="AP20" s="13"/>
      <c r="AQ20" s="13"/>
      <c r="AR20" s="13"/>
      <c r="AS20" s="13"/>
      <c r="AT20" s="13"/>
      <c r="AU20" s="13"/>
      <c r="AV20" s="13"/>
      <c r="AW20" s="13"/>
      <c r="AX20" s="13"/>
      <c r="AY20" s="13"/>
      <c r="AZ20" s="13"/>
      <c r="BA20" s="13"/>
      <c r="BB20" s="13"/>
      <c r="BC20" s="13"/>
      <c r="BD20" s="13"/>
      <c r="BE20" s="13"/>
      <c r="BF20" s="13"/>
      <c r="BG20" s="13"/>
      <c r="BH20" s="13"/>
      <c r="BI20" s="13"/>
      <c r="BJ20" s="13"/>
      <c r="BK20" s="13"/>
      <c r="BL20" s="13"/>
      <c r="BM20" s="13"/>
      <c r="BN20" s="13"/>
      <c r="BO20" s="13"/>
      <c r="BP20" s="13"/>
      <c r="BQ20" s="13"/>
      <c r="BR20" s="13"/>
      <c r="BS20" s="13"/>
      <c r="BT20" s="13"/>
      <c r="BU20" s="13"/>
      <c r="BV20" s="13"/>
      <c r="BW20" s="13"/>
      <c r="BX20" s="13"/>
      <c r="BY20" s="13"/>
      <c r="BZ20" s="13"/>
      <c r="CA20" s="13"/>
      <c r="CB20" s="13"/>
      <c r="CC20" s="13"/>
      <c r="CD20" s="13"/>
      <c r="CE20" s="13"/>
      <c r="CF20" s="13"/>
      <c r="CG20" s="13"/>
      <c r="CH20" s="13"/>
      <c r="CI20" s="13"/>
      <c r="CJ20" s="13"/>
      <c r="CK20" s="13"/>
      <c r="CL20" s="13"/>
      <c r="CM20" s="13"/>
      <c r="CN20" s="13"/>
      <c r="CO20" s="13"/>
      <c r="CP20" s="13"/>
      <c r="CQ20" s="13"/>
      <c r="CR20" s="13"/>
      <c r="CS20" s="13"/>
      <c r="CT20" s="13"/>
      <c r="CU20" s="13"/>
      <c r="CV20" s="13"/>
      <c r="CW20" s="13"/>
      <c r="CX20" s="13"/>
      <c r="CY20" s="13"/>
      <c r="CZ20" s="13"/>
      <c r="DA20" s="13"/>
      <c r="DB20" s="13"/>
      <c r="DC20" s="13"/>
      <c r="DD20" s="13"/>
      <c r="DE20" s="13"/>
      <c r="DF20" s="13"/>
      <c r="DG20" s="13"/>
      <c r="DH20" s="13"/>
      <c r="DI20" s="13"/>
      <c r="DJ20" s="13"/>
      <c r="DK20" s="13"/>
      <c r="DL20" s="13"/>
      <c r="DM20" s="13"/>
      <c r="DN20" s="13"/>
      <c r="DO20" s="13"/>
      <c r="DP20" s="13"/>
      <c r="DQ20" s="13"/>
      <c r="DR20" s="13"/>
      <c r="DS20" s="13"/>
      <c r="DT20" s="13"/>
      <c r="DU20" s="13"/>
      <c r="DV20" s="13"/>
      <c r="DW20" s="13"/>
    </row>
    <row r="21" spans="1:127">
      <c r="A21" s="13" t="str">
        <f>Schedule_Data!A22</f>
        <v>ARR-112</v>
      </c>
      <c r="B21" s="13" t="str">
        <f>Schedule_Data!B22</f>
        <v>2.0</v>
      </c>
      <c r="C21" s="13" t="str">
        <f>Schedule_Data!C22</f>
        <v>Arrive/berth AGI</v>
      </c>
      <c r="D21" s="24" t="str">
        <f>Schedule_Data!D22</f>
        <v>AGI_UNLOAD</v>
      </c>
      <c r="E21" s="33">
        <f>Schedule_Data!F22</f>
        <v>46050</v>
      </c>
      <c r="F21" s="33">
        <f>Schedule_Data!G22</f>
        <v>46050</v>
      </c>
      <c r="G21" s="13">
        <f>Schedule_Data!H22</f>
        <v>0</v>
      </c>
      <c r="H21" s="13"/>
      <c r="I21" s="13"/>
      <c r="J21" s="13"/>
      <c r="K21" s="13"/>
      <c r="L21" s="13"/>
      <c r="M21" s="13"/>
      <c r="N21" s="13"/>
      <c r="O21" s="13"/>
      <c r="P21" s="13"/>
      <c r="Q21" s="13"/>
      <c r="R21" s="13"/>
      <c r="S21" s="13"/>
      <c r="T21" s="13"/>
      <c r="U21" s="39" t="s">
        <v>270</v>
      </c>
      <c r="V21" s="13"/>
      <c r="W21" s="13"/>
      <c r="X21" s="13"/>
      <c r="Y21" s="13"/>
      <c r="Z21" s="13"/>
      <c r="AA21" s="13"/>
      <c r="AB21" s="13"/>
      <c r="AC21" s="13"/>
      <c r="AD21" s="13"/>
      <c r="AE21" s="13"/>
      <c r="AF21" s="13"/>
      <c r="AG21" s="13"/>
      <c r="AH21" s="13"/>
      <c r="AI21" s="13"/>
      <c r="AJ21" s="13"/>
      <c r="AK21" s="13"/>
      <c r="AL21" s="13"/>
      <c r="AM21" s="13"/>
      <c r="AN21" s="13"/>
      <c r="AO21" s="13"/>
      <c r="AP21" s="13"/>
      <c r="AQ21" s="13"/>
      <c r="AR21" s="13"/>
      <c r="AS21" s="13"/>
      <c r="AT21" s="13"/>
      <c r="AU21" s="13"/>
      <c r="AV21" s="13"/>
      <c r="AW21" s="13"/>
      <c r="AX21" s="13"/>
      <c r="AY21" s="13"/>
      <c r="AZ21" s="13"/>
      <c r="BA21" s="13"/>
      <c r="BB21" s="13"/>
      <c r="BC21" s="13"/>
      <c r="BD21" s="13"/>
      <c r="BE21" s="13"/>
      <c r="BF21" s="13"/>
      <c r="BG21" s="13"/>
      <c r="BH21" s="13"/>
      <c r="BI21" s="13"/>
      <c r="BJ21" s="13"/>
      <c r="BK21" s="13"/>
      <c r="BL21" s="13"/>
      <c r="BM21" s="13"/>
      <c r="BN21" s="13"/>
      <c r="BO21" s="13"/>
      <c r="BP21" s="13"/>
      <c r="BQ21" s="13"/>
      <c r="BR21" s="13"/>
      <c r="BS21" s="13"/>
      <c r="BT21" s="13"/>
      <c r="BU21" s="13"/>
      <c r="BV21" s="13"/>
      <c r="BW21" s="13"/>
      <c r="BX21" s="13"/>
      <c r="BY21" s="13"/>
      <c r="BZ21" s="13"/>
      <c r="CA21" s="13"/>
      <c r="CB21" s="13"/>
      <c r="CC21" s="13"/>
      <c r="CD21" s="13"/>
      <c r="CE21" s="13"/>
      <c r="CF21" s="13"/>
      <c r="CG21" s="13"/>
      <c r="CH21" s="13"/>
      <c r="CI21" s="13"/>
      <c r="CJ21" s="13"/>
      <c r="CK21" s="13"/>
      <c r="CL21" s="13"/>
      <c r="CM21" s="13"/>
      <c r="CN21" s="13"/>
      <c r="CO21" s="13"/>
      <c r="CP21" s="13"/>
      <c r="CQ21" s="13"/>
      <c r="CR21" s="13"/>
      <c r="CS21" s="13"/>
      <c r="CT21" s="13"/>
      <c r="CU21" s="13"/>
      <c r="CV21" s="13"/>
      <c r="CW21" s="13"/>
      <c r="CX21" s="13"/>
      <c r="CY21" s="13"/>
      <c r="CZ21" s="13"/>
      <c r="DA21" s="13"/>
      <c r="DB21" s="13"/>
      <c r="DC21" s="13"/>
      <c r="DD21" s="13"/>
      <c r="DE21" s="13"/>
      <c r="DF21" s="13"/>
      <c r="DG21" s="13"/>
      <c r="DH21" s="13"/>
      <c r="DI21" s="13"/>
      <c r="DJ21" s="13"/>
      <c r="DK21" s="13"/>
      <c r="DL21" s="13"/>
      <c r="DM21" s="13"/>
      <c r="DN21" s="13"/>
      <c r="DO21" s="13"/>
      <c r="DP21" s="13"/>
      <c r="DQ21" s="13"/>
      <c r="DR21" s="13"/>
      <c r="DS21" s="13"/>
      <c r="DT21" s="13"/>
      <c r="DU21" s="13"/>
      <c r="DV21" s="13"/>
      <c r="DW21" s="13"/>
    </row>
    <row r="22" spans="1:127">
      <c r="A22" s="13" t="str">
        <f>Schedule_Data!A23</f>
        <v>TRN-113</v>
      </c>
      <c r="B22" s="13" t="str">
        <f>Schedule_Data!B23</f>
        <v>2.0</v>
      </c>
      <c r="C22" s="13" t="str">
        <f>Schedule_Data!C23</f>
        <v>Inland transport TR1 to Bay-1</v>
      </c>
      <c r="D22" s="26" t="str">
        <f>Schedule_Data!D23</f>
        <v>TURNING</v>
      </c>
      <c r="E22" s="33">
        <f>Schedule_Data!F23</f>
        <v>46051</v>
      </c>
      <c r="F22" s="33">
        <f>Schedule_Data!G23</f>
        <v>46051</v>
      </c>
      <c r="G22" s="13">
        <f>Schedule_Data!H23</f>
        <v>0</v>
      </c>
      <c r="H22" s="13"/>
      <c r="I22" s="13"/>
      <c r="J22" s="13"/>
      <c r="K22" s="13"/>
      <c r="L22" s="13"/>
      <c r="M22" s="13"/>
      <c r="N22" s="13"/>
      <c r="O22" s="13"/>
      <c r="P22" s="13"/>
      <c r="Q22" s="13"/>
      <c r="R22" s="13"/>
      <c r="S22" s="13"/>
      <c r="T22" s="13"/>
      <c r="U22" s="13"/>
      <c r="V22" s="26"/>
      <c r="W22" s="13"/>
      <c r="X22" s="13"/>
      <c r="Y22" s="13"/>
      <c r="Z22" s="13"/>
      <c r="AA22" s="13"/>
      <c r="AB22" s="13"/>
      <c r="AC22" s="13"/>
      <c r="AD22" s="13"/>
      <c r="AE22" s="13"/>
      <c r="AF22" s="13"/>
      <c r="AG22" s="13"/>
      <c r="AH22" s="13"/>
      <c r="AI22" s="13"/>
      <c r="AJ22" s="13"/>
      <c r="AK22" s="13"/>
      <c r="AL22" s="13"/>
      <c r="AM22" s="13"/>
      <c r="AN22" s="13"/>
      <c r="AO22" s="13"/>
      <c r="AP22" s="13"/>
      <c r="AQ22" s="13"/>
      <c r="AR22" s="13"/>
      <c r="AS22" s="13"/>
      <c r="AT22" s="13"/>
      <c r="AU22" s="13"/>
      <c r="AV22" s="13"/>
      <c r="AW22" s="13"/>
      <c r="AX22" s="13"/>
      <c r="AY22" s="13"/>
      <c r="AZ22" s="13"/>
      <c r="BA22" s="13"/>
      <c r="BB22" s="13"/>
      <c r="BC22" s="13"/>
      <c r="BD22" s="13"/>
      <c r="BE22" s="13"/>
      <c r="BF22" s="13"/>
      <c r="BG22" s="13"/>
      <c r="BH22" s="13"/>
      <c r="BI22" s="13"/>
      <c r="BJ22" s="13"/>
      <c r="BK22" s="13"/>
      <c r="BL22" s="13"/>
      <c r="BM22" s="13"/>
      <c r="BN22" s="13"/>
      <c r="BO22" s="13"/>
      <c r="BP22" s="13"/>
      <c r="BQ22" s="13"/>
      <c r="BR22" s="13"/>
      <c r="BS22" s="13"/>
      <c r="BT22" s="13"/>
      <c r="BU22" s="13"/>
      <c r="BV22" s="13"/>
      <c r="BW22" s="13"/>
      <c r="BX22" s="13"/>
      <c r="BY22" s="13"/>
      <c r="BZ22" s="13"/>
      <c r="CA22" s="13"/>
      <c r="CB22" s="13"/>
      <c r="CC22" s="13"/>
      <c r="CD22" s="13"/>
      <c r="CE22" s="13"/>
      <c r="CF22" s="13"/>
      <c r="CG22" s="13"/>
      <c r="CH22" s="13"/>
      <c r="CI22" s="13"/>
      <c r="CJ22" s="13"/>
      <c r="CK22" s="13"/>
      <c r="CL22" s="13"/>
      <c r="CM22" s="13"/>
      <c r="CN22" s="13"/>
      <c r="CO22" s="13"/>
      <c r="CP22" s="13"/>
      <c r="CQ22" s="13"/>
      <c r="CR22" s="13"/>
      <c r="CS22" s="13"/>
      <c r="CT22" s="13"/>
      <c r="CU22" s="13"/>
      <c r="CV22" s="13"/>
      <c r="CW22" s="13"/>
      <c r="CX22" s="13"/>
      <c r="CY22" s="13"/>
      <c r="CZ22" s="13"/>
      <c r="DA22" s="13"/>
      <c r="DB22" s="13"/>
      <c r="DC22" s="13"/>
      <c r="DD22" s="13"/>
      <c r="DE22" s="13"/>
      <c r="DF22" s="13"/>
      <c r="DG22" s="13"/>
      <c r="DH22" s="13"/>
      <c r="DI22" s="13"/>
      <c r="DJ22" s="13"/>
      <c r="DK22" s="13"/>
      <c r="DL22" s="13"/>
      <c r="DM22" s="13"/>
      <c r="DN22" s="13"/>
      <c r="DO22" s="13"/>
      <c r="DP22" s="13"/>
      <c r="DQ22" s="13"/>
      <c r="DR22" s="13"/>
      <c r="DS22" s="13"/>
      <c r="DT22" s="13"/>
      <c r="DU22" s="13"/>
      <c r="DV22" s="13"/>
      <c r="DW22" s="13"/>
    </row>
    <row r="23" spans="1:127">
      <c r="A23" s="13" t="str">
        <f>Schedule_Data!A24</f>
        <v>TURN-114</v>
      </c>
      <c r="B23" s="13" t="str">
        <f>Schedule_Data!B24</f>
        <v>2.0</v>
      </c>
      <c r="C23" s="13" t="str">
        <f>Schedule_Data!C24</f>
        <v>Turn TR1 orientation (Bay-1)</v>
      </c>
      <c r="D23" s="26" t="str">
        <f>Schedule_Data!D24</f>
        <v>TURNING</v>
      </c>
      <c r="E23" s="33">
        <f>Schedule_Data!F24</f>
        <v>46052</v>
      </c>
      <c r="F23" s="33">
        <f>Schedule_Data!G24</f>
        <v>46052</v>
      </c>
      <c r="G23" s="13">
        <f>Schedule_Data!H24</f>
        <v>0</v>
      </c>
      <c r="H23" s="13"/>
      <c r="I23" s="13"/>
      <c r="J23" s="13"/>
      <c r="K23" s="13"/>
      <c r="L23" s="13"/>
      <c r="M23" s="13"/>
      <c r="N23" s="13"/>
      <c r="O23" s="13"/>
      <c r="P23" s="13"/>
      <c r="Q23" s="13"/>
      <c r="R23" s="13"/>
      <c r="S23" s="13"/>
      <c r="T23" s="13"/>
      <c r="U23" s="13"/>
      <c r="V23" s="13"/>
      <c r="W23" s="41" t="s">
        <v>270</v>
      </c>
      <c r="X23" s="13"/>
      <c r="Y23" s="13"/>
      <c r="Z23" s="13"/>
      <c r="AA23" s="13"/>
      <c r="AB23" s="13"/>
      <c r="AC23" s="13"/>
      <c r="AD23" s="13"/>
      <c r="AE23" s="13"/>
      <c r="AF23" s="13"/>
      <c r="AG23" s="13"/>
      <c r="AH23" s="13"/>
      <c r="AI23" s="13"/>
      <c r="AJ23" s="13"/>
      <c r="AK23" s="13"/>
      <c r="AL23" s="13"/>
      <c r="AM23" s="13"/>
      <c r="AN23" s="13"/>
      <c r="AO23" s="13"/>
      <c r="AP23" s="13"/>
      <c r="AQ23" s="13"/>
      <c r="AR23" s="13"/>
      <c r="AS23" s="13"/>
      <c r="AT23" s="13"/>
      <c r="AU23" s="13"/>
      <c r="AV23" s="13"/>
      <c r="AW23" s="13"/>
      <c r="AX23" s="13"/>
      <c r="AY23" s="13"/>
      <c r="AZ23" s="13"/>
      <c r="BA23" s="13"/>
      <c r="BB23" s="13"/>
      <c r="BC23" s="13"/>
      <c r="BD23" s="13"/>
      <c r="BE23" s="13"/>
      <c r="BF23" s="13"/>
      <c r="BG23" s="13"/>
      <c r="BH23" s="13"/>
      <c r="BI23" s="13"/>
      <c r="BJ23" s="13"/>
      <c r="BK23" s="13"/>
      <c r="BL23" s="13"/>
      <c r="BM23" s="13"/>
      <c r="BN23" s="13"/>
      <c r="BO23" s="13"/>
      <c r="BP23" s="13"/>
      <c r="BQ23" s="13"/>
      <c r="BR23" s="13"/>
      <c r="BS23" s="13"/>
      <c r="BT23" s="13"/>
      <c r="BU23" s="13"/>
      <c r="BV23" s="13"/>
      <c r="BW23" s="13"/>
      <c r="BX23" s="13"/>
      <c r="BY23" s="13"/>
      <c r="BZ23" s="13"/>
      <c r="CA23" s="13"/>
      <c r="CB23" s="13"/>
      <c r="CC23" s="13"/>
      <c r="CD23" s="13"/>
      <c r="CE23" s="13"/>
      <c r="CF23" s="13"/>
      <c r="CG23" s="13"/>
      <c r="CH23" s="13"/>
      <c r="CI23" s="13"/>
      <c r="CJ23" s="13"/>
      <c r="CK23" s="13"/>
      <c r="CL23" s="13"/>
      <c r="CM23" s="13"/>
      <c r="CN23" s="13"/>
      <c r="CO23" s="13"/>
      <c r="CP23" s="13"/>
      <c r="CQ23" s="13"/>
      <c r="CR23" s="13"/>
      <c r="CS23" s="13"/>
      <c r="CT23" s="13"/>
      <c r="CU23" s="13"/>
      <c r="CV23" s="13"/>
      <c r="CW23" s="13"/>
      <c r="CX23" s="13"/>
      <c r="CY23" s="13"/>
      <c r="CZ23" s="13"/>
      <c r="DA23" s="13"/>
      <c r="DB23" s="13"/>
      <c r="DC23" s="13"/>
      <c r="DD23" s="13"/>
      <c r="DE23" s="13"/>
      <c r="DF23" s="13"/>
      <c r="DG23" s="13"/>
      <c r="DH23" s="13"/>
      <c r="DI23" s="13"/>
      <c r="DJ23" s="13"/>
      <c r="DK23" s="13"/>
      <c r="DL23" s="13"/>
      <c r="DM23" s="13"/>
      <c r="DN23" s="13"/>
      <c r="DO23" s="13"/>
      <c r="DP23" s="13"/>
      <c r="DQ23" s="13"/>
      <c r="DR23" s="13"/>
      <c r="DS23" s="13"/>
      <c r="DT23" s="13"/>
      <c r="DU23" s="13"/>
      <c r="DV23" s="13"/>
      <c r="DW23" s="13"/>
    </row>
    <row r="24" spans="1:127">
      <c r="A24" s="13" t="str">
        <f>Schedule_Data!A25</f>
        <v>BRG-115</v>
      </c>
      <c r="B24" s="13" t="str">
        <f>Schedule_Data!B25</f>
        <v>2.0</v>
      </c>
      <c r="C24" s="13" t="str">
        <f>Schedule_Data!C25</f>
        <v>Steel bridge install (AGI Gate-1)</v>
      </c>
      <c r="D24" s="26" t="str">
        <f>Schedule_Data!D25</f>
        <v>TURNING</v>
      </c>
      <c r="E24" s="33">
        <f>Schedule_Data!F25</f>
        <v>46051</v>
      </c>
      <c r="F24" s="33">
        <f>Schedule_Data!G25</f>
        <v>46053</v>
      </c>
      <c r="G24" s="13">
        <f>Schedule_Data!H25</f>
        <v>2</v>
      </c>
      <c r="H24" s="13"/>
      <c r="I24" s="13"/>
      <c r="J24" s="13"/>
      <c r="K24" s="13"/>
      <c r="L24" s="13"/>
      <c r="M24" s="13"/>
      <c r="N24" s="13"/>
      <c r="O24" s="13"/>
      <c r="P24" s="13"/>
      <c r="Q24" s="13"/>
      <c r="R24" s="13"/>
      <c r="S24" s="13"/>
      <c r="T24" s="13"/>
      <c r="U24" s="13"/>
      <c r="V24" s="26"/>
      <c r="W24" s="26"/>
      <c r="X24" s="13"/>
      <c r="Y24" s="13"/>
      <c r="Z24" s="13"/>
      <c r="AA24" s="13"/>
      <c r="AB24" s="13"/>
      <c r="AC24" s="13"/>
      <c r="AD24" s="13"/>
      <c r="AE24" s="13"/>
      <c r="AF24" s="13"/>
      <c r="AG24" s="13"/>
      <c r="AH24" s="13"/>
      <c r="AI24" s="13"/>
      <c r="AJ24" s="13"/>
      <c r="AK24" s="13"/>
      <c r="AL24" s="13"/>
      <c r="AM24" s="13"/>
      <c r="AN24" s="13"/>
      <c r="AO24" s="13"/>
      <c r="AP24" s="13"/>
      <c r="AQ24" s="13"/>
      <c r="AR24" s="13"/>
      <c r="AS24" s="13"/>
      <c r="AT24" s="13"/>
      <c r="AU24" s="13"/>
      <c r="AV24" s="13"/>
      <c r="AW24" s="13"/>
      <c r="AX24" s="13"/>
      <c r="AY24" s="13"/>
      <c r="AZ24" s="13"/>
      <c r="BA24" s="13"/>
      <c r="BB24" s="13"/>
      <c r="BC24" s="13"/>
      <c r="BD24" s="13"/>
      <c r="BE24" s="13"/>
      <c r="BF24" s="13"/>
      <c r="BG24" s="13"/>
      <c r="BH24" s="13"/>
      <c r="BI24" s="13"/>
      <c r="BJ24" s="13"/>
      <c r="BK24" s="13"/>
      <c r="BL24" s="13"/>
      <c r="BM24" s="13"/>
      <c r="BN24" s="13"/>
      <c r="BO24" s="13"/>
      <c r="BP24" s="13"/>
      <c r="BQ24" s="13"/>
      <c r="BR24" s="13"/>
      <c r="BS24" s="13"/>
      <c r="BT24" s="13"/>
      <c r="BU24" s="13"/>
      <c r="BV24" s="13"/>
      <c r="BW24" s="13"/>
      <c r="BX24" s="13"/>
      <c r="BY24" s="13"/>
      <c r="BZ24" s="13"/>
      <c r="CA24" s="13"/>
      <c r="CB24" s="13"/>
      <c r="CC24" s="13"/>
      <c r="CD24" s="13"/>
      <c r="CE24" s="13"/>
      <c r="CF24" s="13"/>
      <c r="CG24" s="13"/>
      <c r="CH24" s="13"/>
      <c r="CI24" s="13"/>
      <c r="CJ24" s="13"/>
      <c r="CK24" s="13"/>
      <c r="CL24" s="13"/>
      <c r="CM24" s="13"/>
      <c r="CN24" s="13"/>
      <c r="CO24" s="13"/>
      <c r="CP24" s="13"/>
      <c r="CQ24" s="13"/>
      <c r="CR24" s="13"/>
      <c r="CS24" s="13"/>
      <c r="CT24" s="13"/>
      <c r="CU24" s="13"/>
      <c r="CV24" s="13"/>
      <c r="CW24" s="13"/>
      <c r="CX24" s="13"/>
      <c r="CY24" s="13"/>
      <c r="CZ24" s="13"/>
      <c r="DA24" s="13"/>
      <c r="DB24" s="13"/>
      <c r="DC24" s="13"/>
      <c r="DD24" s="13"/>
      <c r="DE24" s="13"/>
      <c r="DF24" s="13"/>
      <c r="DG24" s="13"/>
      <c r="DH24" s="13"/>
      <c r="DI24" s="13"/>
      <c r="DJ24" s="13"/>
      <c r="DK24" s="13"/>
      <c r="DL24" s="13"/>
      <c r="DM24" s="13"/>
      <c r="DN24" s="13"/>
      <c r="DO24" s="13"/>
      <c r="DP24" s="13"/>
      <c r="DQ24" s="13"/>
      <c r="DR24" s="13"/>
      <c r="DS24" s="13"/>
      <c r="DT24" s="13"/>
      <c r="DU24" s="13"/>
      <c r="DV24" s="13"/>
      <c r="DW24" s="13"/>
    </row>
    <row r="25" spans="1:127">
      <c r="A25" s="13" t="str">
        <f>Schedule_Data!A26</f>
        <v>TRN-116</v>
      </c>
      <c r="B25" s="13" t="str">
        <f>Schedule_Data!B26</f>
        <v>2.0</v>
      </c>
      <c r="C25" s="13" t="str">
        <f>Schedule_Data!C26</f>
        <v>Inland transport TR2 to Bay-2</v>
      </c>
      <c r="D25" s="26" t="str">
        <f>Schedule_Data!D26</f>
        <v>TURNING</v>
      </c>
      <c r="E25" s="33">
        <f>Schedule_Data!F26</f>
        <v>46054</v>
      </c>
      <c r="F25" s="33">
        <f>Schedule_Data!G26</f>
        <v>46054</v>
      </c>
      <c r="G25" s="13">
        <f>Schedule_Data!H26</f>
        <v>0</v>
      </c>
      <c r="H25" s="13"/>
      <c r="I25" s="13"/>
      <c r="J25" s="13"/>
      <c r="K25" s="13"/>
      <c r="L25" s="13"/>
      <c r="M25" s="13"/>
      <c r="N25" s="13"/>
      <c r="O25" s="13"/>
      <c r="P25" s="13"/>
      <c r="Q25" s="13"/>
      <c r="R25" s="13"/>
      <c r="S25" s="13"/>
      <c r="T25" s="13"/>
      <c r="U25" s="13"/>
      <c r="V25" s="13"/>
      <c r="W25" s="13"/>
      <c r="X25" s="13"/>
      <c r="Y25" s="26"/>
      <c r="Z25" s="13"/>
      <c r="AA25" s="13"/>
      <c r="AB25" s="13"/>
      <c r="AC25" s="13"/>
      <c r="AD25" s="13"/>
      <c r="AE25" s="13"/>
      <c r="AF25" s="13"/>
      <c r="AG25" s="13"/>
      <c r="AH25" s="13"/>
      <c r="AI25" s="13"/>
      <c r="AJ25" s="13"/>
      <c r="AK25" s="13"/>
      <c r="AL25" s="13"/>
      <c r="AM25" s="13"/>
      <c r="AN25" s="13"/>
      <c r="AO25" s="13"/>
      <c r="AP25" s="13"/>
      <c r="AQ25" s="13"/>
      <c r="AR25" s="13"/>
      <c r="AS25" s="13"/>
      <c r="AT25" s="13"/>
      <c r="AU25" s="13"/>
      <c r="AV25" s="13"/>
      <c r="AW25" s="13"/>
      <c r="AX25" s="13"/>
      <c r="AY25" s="13"/>
      <c r="AZ25" s="13"/>
      <c r="BA25" s="13"/>
      <c r="BB25" s="13"/>
      <c r="BC25" s="13"/>
      <c r="BD25" s="13"/>
      <c r="BE25" s="13"/>
      <c r="BF25" s="13"/>
      <c r="BG25" s="13"/>
      <c r="BH25" s="13"/>
      <c r="BI25" s="13"/>
      <c r="BJ25" s="13"/>
      <c r="BK25" s="13"/>
      <c r="BL25" s="13"/>
      <c r="BM25" s="13"/>
      <c r="BN25" s="13"/>
      <c r="BO25" s="13"/>
      <c r="BP25" s="13"/>
      <c r="BQ25" s="13"/>
      <c r="BR25" s="13"/>
      <c r="BS25" s="13"/>
      <c r="BT25" s="13"/>
      <c r="BU25" s="13"/>
      <c r="BV25" s="13"/>
      <c r="BW25" s="13"/>
      <c r="BX25" s="13"/>
      <c r="BY25" s="13"/>
      <c r="BZ25" s="13"/>
      <c r="CA25" s="13"/>
      <c r="CB25" s="13"/>
      <c r="CC25" s="13"/>
      <c r="CD25" s="13"/>
      <c r="CE25" s="13"/>
      <c r="CF25" s="13"/>
      <c r="CG25" s="13"/>
      <c r="CH25" s="13"/>
      <c r="CI25" s="13"/>
      <c r="CJ25" s="13"/>
      <c r="CK25" s="13"/>
      <c r="CL25" s="13"/>
      <c r="CM25" s="13"/>
      <c r="CN25" s="13"/>
      <c r="CO25" s="13"/>
      <c r="CP25" s="13"/>
      <c r="CQ25" s="13"/>
      <c r="CR25" s="13"/>
      <c r="CS25" s="13"/>
      <c r="CT25" s="13"/>
      <c r="CU25" s="13"/>
      <c r="CV25" s="13"/>
      <c r="CW25" s="13"/>
      <c r="CX25" s="13"/>
      <c r="CY25" s="13"/>
      <c r="CZ25" s="13"/>
      <c r="DA25" s="13"/>
      <c r="DB25" s="13"/>
      <c r="DC25" s="13"/>
      <c r="DD25" s="13"/>
      <c r="DE25" s="13"/>
      <c r="DF25" s="13"/>
      <c r="DG25" s="13"/>
      <c r="DH25" s="13"/>
      <c r="DI25" s="13"/>
      <c r="DJ25" s="13"/>
      <c r="DK25" s="13"/>
      <c r="DL25" s="13"/>
      <c r="DM25" s="13"/>
      <c r="DN25" s="13"/>
      <c r="DO25" s="13"/>
      <c r="DP25" s="13"/>
      <c r="DQ25" s="13"/>
      <c r="DR25" s="13"/>
      <c r="DS25" s="13"/>
      <c r="DT25" s="13"/>
      <c r="DU25" s="13"/>
      <c r="DV25" s="13"/>
      <c r="DW25" s="13"/>
    </row>
    <row r="26" spans="1:127">
      <c r="A26" s="13" t="str">
        <f>Schedule_Data!A27</f>
        <v>TURN-117</v>
      </c>
      <c r="B26" s="13" t="str">
        <f>Schedule_Data!B27</f>
        <v>2.0</v>
      </c>
      <c r="C26" s="13" t="str">
        <f>Schedule_Data!C27</f>
        <v>Turn TR2 orientation (Bay-2)</v>
      </c>
      <c r="D26" s="26" t="str">
        <f>Schedule_Data!D27</f>
        <v>TURNING</v>
      </c>
      <c r="E26" s="33">
        <f>Schedule_Data!F27</f>
        <v>46055</v>
      </c>
      <c r="F26" s="33">
        <f>Schedule_Data!G27</f>
        <v>46055</v>
      </c>
      <c r="G26" s="13">
        <f>Schedule_Data!H27</f>
        <v>0</v>
      </c>
      <c r="H26" s="13"/>
      <c r="I26" s="13"/>
      <c r="J26" s="13"/>
      <c r="K26" s="13"/>
      <c r="L26" s="13"/>
      <c r="M26" s="13"/>
      <c r="N26" s="13"/>
      <c r="O26" s="13"/>
      <c r="P26" s="13"/>
      <c r="Q26" s="13"/>
      <c r="R26" s="13"/>
      <c r="S26" s="13"/>
      <c r="T26" s="13"/>
      <c r="U26" s="13"/>
      <c r="V26" s="13"/>
      <c r="W26" s="13"/>
      <c r="X26" s="13"/>
      <c r="Y26" s="13"/>
      <c r="Z26" s="41" t="s">
        <v>270</v>
      </c>
      <c r="AA26" s="13"/>
      <c r="AB26" s="13"/>
      <c r="AC26" s="13"/>
      <c r="AD26" s="13"/>
      <c r="AE26" s="13"/>
      <c r="AF26" s="13"/>
      <c r="AG26" s="13"/>
      <c r="AH26" s="13"/>
      <c r="AI26" s="13"/>
      <c r="AJ26" s="13"/>
      <c r="AK26" s="13"/>
      <c r="AL26" s="13"/>
      <c r="AM26" s="13"/>
      <c r="AN26" s="13"/>
      <c r="AO26" s="13"/>
      <c r="AP26" s="13"/>
      <c r="AQ26" s="13"/>
      <c r="AR26" s="13"/>
      <c r="AS26" s="13"/>
      <c r="AT26" s="13"/>
      <c r="AU26" s="13"/>
      <c r="AV26" s="13"/>
      <c r="AW26" s="13"/>
      <c r="AX26" s="13"/>
      <c r="AY26" s="13"/>
      <c r="AZ26" s="13"/>
      <c r="BA26" s="13"/>
      <c r="BB26" s="13"/>
      <c r="BC26" s="13"/>
      <c r="BD26" s="13"/>
      <c r="BE26" s="13"/>
      <c r="BF26" s="13"/>
      <c r="BG26" s="13"/>
      <c r="BH26" s="13"/>
      <c r="BI26" s="13"/>
      <c r="BJ26" s="13"/>
      <c r="BK26" s="13"/>
      <c r="BL26" s="13"/>
      <c r="BM26" s="13"/>
      <c r="BN26" s="13"/>
      <c r="BO26" s="13"/>
      <c r="BP26" s="13"/>
      <c r="BQ26" s="13"/>
      <c r="BR26" s="13"/>
      <c r="BS26" s="13"/>
      <c r="BT26" s="13"/>
      <c r="BU26" s="13"/>
      <c r="BV26" s="13"/>
      <c r="BW26" s="13"/>
      <c r="BX26" s="13"/>
      <c r="BY26" s="13"/>
      <c r="BZ26" s="13"/>
      <c r="CA26" s="13"/>
      <c r="CB26" s="13"/>
      <c r="CC26" s="13"/>
      <c r="CD26" s="13"/>
      <c r="CE26" s="13"/>
      <c r="CF26" s="13"/>
      <c r="CG26" s="13"/>
      <c r="CH26" s="13"/>
      <c r="CI26" s="13"/>
      <c r="CJ26" s="13"/>
      <c r="CK26" s="13"/>
      <c r="CL26" s="13"/>
      <c r="CM26" s="13"/>
      <c r="CN26" s="13"/>
      <c r="CO26" s="13"/>
      <c r="CP26" s="13"/>
      <c r="CQ26" s="13"/>
      <c r="CR26" s="13"/>
      <c r="CS26" s="13"/>
      <c r="CT26" s="13"/>
      <c r="CU26" s="13"/>
      <c r="CV26" s="13"/>
      <c r="CW26" s="13"/>
      <c r="CX26" s="13"/>
      <c r="CY26" s="13"/>
      <c r="CZ26" s="13"/>
      <c r="DA26" s="13"/>
      <c r="DB26" s="13"/>
      <c r="DC26" s="13"/>
      <c r="DD26" s="13"/>
      <c r="DE26" s="13"/>
      <c r="DF26" s="13"/>
      <c r="DG26" s="13"/>
      <c r="DH26" s="13"/>
      <c r="DI26" s="13"/>
      <c r="DJ26" s="13"/>
      <c r="DK26" s="13"/>
      <c r="DL26" s="13"/>
      <c r="DM26" s="13"/>
      <c r="DN26" s="13"/>
      <c r="DO26" s="13"/>
      <c r="DP26" s="13"/>
      <c r="DQ26" s="13"/>
      <c r="DR26" s="13"/>
      <c r="DS26" s="13"/>
      <c r="DT26" s="13"/>
      <c r="DU26" s="13"/>
      <c r="DV26" s="13"/>
      <c r="DW26" s="13"/>
    </row>
    <row r="27" spans="1:127">
      <c r="A27" s="13" t="str">
        <f>Schedule_Data!A28</f>
        <v>BUF-118</v>
      </c>
      <c r="B27" s="13" t="str">
        <f>Schedule_Data!B28</f>
        <v>2.0</v>
      </c>
      <c r="C27" s="13" t="str">
        <f>Schedule_Data!C28</f>
        <v>TR2 Laydown buffer</v>
      </c>
      <c r="D27" s="22" t="str">
        <f>Schedule_Data!D28</f>
        <v>BUFFER</v>
      </c>
      <c r="E27" s="33">
        <f>Schedule_Data!F28</f>
        <v>46056</v>
      </c>
      <c r="F27" s="33">
        <f>Schedule_Data!G28</f>
        <v>46056</v>
      </c>
      <c r="G27" s="13">
        <f>Schedule_Data!H28</f>
        <v>0</v>
      </c>
      <c r="H27" s="13"/>
      <c r="I27" s="13"/>
      <c r="J27" s="13"/>
      <c r="K27" s="13"/>
      <c r="L27" s="13"/>
      <c r="M27" s="13"/>
      <c r="N27" s="13"/>
      <c r="O27" s="13"/>
      <c r="P27" s="13"/>
      <c r="Q27" s="13"/>
      <c r="R27" s="13"/>
      <c r="S27" s="13"/>
      <c r="T27" s="13"/>
      <c r="U27" s="13"/>
      <c r="V27" s="13"/>
      <c r="W27" s="13"/>
      <c r="X27" s="13"/>
      <c r="Y27" s="13"/>
      <c r="Z27" s="13"/>
      <c r="AA27" s="22"/>
      <c r="AB27" s="13"/>
      <c r="AC27" s="13"/>
      <c r="AD27" s="13"/>
      <c r="AE27" s="13"/>
      <c r="AF27" s="13"/>
      <c r="AG27" s="13"/>
      <c r="AH27" s="13"/>
      <c r="AI27" s="13"/>
      <c r="AJ27" s="13"/>
      <c r="AK27" s="13"/>
      <c r="AL27" s="13"/>
      <c r="AM27" s="13"/>
      <c r="AN27" s="13"/>
      <c r="AO27" s="13"/>
      <c r="AP27" s="13"/>
      <c r="AQ27" s="13"/>
      <c r="AR27" s="13"/>
      <c r="AS27" s="13"/>
      <c r="AT27" s="13"/>
      <c r="AU27" s="13"/>
      <c r="AV27" s="13"/>
      <c r="AW27" s="13"/>
      <c r="AX27" s="13"/>
      <c r="AY27" s="13"/>
      <c r="AZ27" s="13"/>
      <c r="BA27" s="13"/>
      <c r="BB27" s="13"/>
      <c r="BC27" s="13"/>
      <c r="BD27" s="13"/>
      <c r="BE27" s="13"/>
      <c r="BF27" s="13"/>
      <c r="BG27" s="13"/>
      <c r="BH27" s="13"/>
      <c r="BI27" s="13"/>
      <c r="BJ27" s="13"/>
      <c r="BK27" s="13"/>
      <c r="BL27" s="13"/>
      <c r="BM27" s="13"/>
      <c r="BN27" s="13"/>
      <c r="BO27" s="13"/>
      <c r="BP27" s="13"/>
      <c r="BQ27" s="13"/>
      <c r="BR27" s="13"/>
      <c r="BS27" s="13"/>
      <c r="BT27" s="13"/>
      <c r="BU27" s="13"/>
      <c r="BV27" s="13"/>
      <c r="BW27" s="13"/>
      <c r="BX27" s="13"/>
      <c r="BY27" s="13"/>
      <c r="BZ27" s="13"/>
      <c r="CA27" s="13"/>
      <c r="CB27" s="13"/>
      <c r="CC27" s="13"/>
      <c r="CD27" s="13"/>
      <c r="CE27" s="13"/>
      <c r="CF27" s="13"/>
      <c r="CG27" s="13"/>
      <c r="CH27" s="13"/>
      <c r="CI27" s="13"/>
      <c r="CJ27" s="13"/>
      <c r="CK27" s="13"/>
      <c r="CL27" s="13"/>
      <c r="CM27" s="13"/>
      <c r="CN27" s="13"/>
      <c r="CO27" s="13"/>
      <c r="CP27" s="13"/>
      <c r="CQ27" s="13"/>
      <c r="CR27" s="13"/>
      <c r="CS27" s="13"/>
      <c r="CT27" s="13"/>
      <c r="CU27" s="13"/>
      <c r="CV27" s="13"/>
      <c r="CW27" s="13"/>
      <c r="CX27" s="13"/>
      <c r="CY27" s="13"/>
      <c r="CZ27" s="13"/>
      <c r="DA27" s="13"/>
      <c r="DB27" s="13"/>
      <c r="DC27" s="13"/>
      <c r="DD27" s="13"/>
      <c r="DE27" s="13"/>
      <c r="DF27" s="13"/>
      <c r="DG27" s="13"/>
      <c r="DH27" s="13"/>
      <c r="DI27" s="13"/>
      <c r="DJ27" s="13"/>
      <c r="DK27" s="13"/>
      <c r="DL27" s="13"/>
      <c r="DM27" s="13"/>
      <c r="DN27" s="13"/>
      <c r="DO27" s="13"/>
      <c r="DP27" s="13"/>
      <c r="DQ27" s="13"/>
      <c r="DR27" s="13"/>
      <c r="DS27" s="13"/>
      <c r="DT27" s="13"/>
      <c r="DU27" s="13"/>
      <c r="DV27" s="13"/>
      <c r="DW27" s="13"/>
    </row>
    <row r="28" spans="1:127">
      <c r="A28" s="13" t="str">
        <f>Schedule_Data!A29</f>
        <v>JD-120</v>
      </c>
      <c r="B28" s="13" t="str">
        <f>Schedule_Data!B29</f>
        <v>2.0</v>
      </c>
      <c r="C28" s="13" t="str">
        <f>Schedule_Data!C29</f>
        <v>JACKDOWN-1: TR1+TR2 set-down in bays</v>
      </c>
      <c r="D28" s="42" t="str">
        <f>Schedule_Data!D29</f>
        <v>JACKDOWN</v>
      </c>
      <c r="E28" s="33">
        <f>Schedule_Data!F29</f>
        <v>46058</v>
      </c>
      <c r="F28" s="33">
        <f>Schedule_Data!G29</f>
        <v>46058</v>
      </c>
      <c r="G28" s="13">
        <f>Schedule_Data!H29</f>
        <v>0</v>
      </c>
      <c r="H28" s="13"/>
      <c r="I28" s="13"/>
      <c r="J28" s="13"/>
      <c r="K28" s="13"/>
      <c r="L28" s="13"/>
      <c r="M28" s="13"/>
      <c r="N28" s="13"/>
      <c r="O28" s="13"/>
      <c r="P28" s="13"/>
      <c r="Q28" s="13"/>
      <c r="R28" s="13"/>
      <c r="S28" s="13"/>
      <c r="T28" s="13"/>
      <c r="U28" s="13"/>
      <c r="V28" s="13"/>
      <c r="W28" s="13"/>
      <c r="X28" s="13"/>
      <c r="Y28" s="13"/>
      <c r="Z28" s="13"/>
      <c r="AA28" s="13"/>
      <c r="AB28" s="13"/>
      <c r="AC28" s="43" t="s">
        <v>270</v>
      </c>
      <c r="AD28" s="13"/>
      <c r="AE28" s="13"/>
      <c r="AF28" s="13"/>
      <c r="AG28" s="13"/>
      <c r="AH28" s="13"/>
      <c r="AI28" s="13"/>
      <c r="AJ28" s="13"/>
      <c r="AK28" s="13"/>
      <c r="AL28" s="13"/>
      <c r="AM28" s="13"/>
      <c r="AN28" s="13"/>
      <c r="AO28" s="13"/>
      <c r="AP28" s="13"/>
      <c r="AQ28" s="13"/>
      <c r="AR28" s="13"/>
      <c r="AS28" s="13"/>
      <c r="AT28" s="13"/>
      <c r="AU28" s="13"/>
      <c r="AV28" s="13"/>
      <c r="AW28" s="13"/>
      <c r="AX28" s="13"/>
      <c r="AY28" s="13"/>
      <c r="AZ28" s="13"/>
      <c r="BA28" s="13"/>
      <c r="BB28" s="13"/>
      <c r="BC28" s="13"/>
      <c r="BD28" s="13"/>
      <c r="BE28" s="13"/>
      <c r="BF28" s="13"/>
      <c r="BG28" s="13"/>
      <c r="BH28" s="13"/>
      <c r="BI28" s="13"/>
      <c r="BJ28" s="13"/>
      <c r="BK28" s="13"/>
      <c r="BL28" s="13"/>
      <c r="BM28" s="13"/>
      <c r="BN28" s="13"/>
      <c r="BO28" s="13"/>
      <c r="BP28" s="13"/>
      <c r="BQ28" s="13"/>
      <c r="BR28" s="13"/>
      <c r="BS28" s="13"/>
      <c r="BT28" s="13"/>
      <c r="BU28" s="13"/>
      <c r="BV28" s="13"/>
      <c r="BW28" s="13"/>
      <c r="BX28" s="13"/>
      <c r="BY28" s="13"/>
      <c r="BZ28" s="13"/>
      <c r="CA28" s="13"/>
      <c r="CB28" s="13"/>
      <c r="CC28" s="13"/>
      <c r="CD28" s="13"/>
      <c r="CE28" s="13"/>
      <c r="CF28" s="13"/>
      <c r="CG28" s="13"/>
      <c r="CH28" s="13"/>
      <c r="CI28" s="13"/>
      <c r="CJ28" s="13"/>
      <c r="CK28" s="13"/>
      <c r="CL28" s="13"/>
      <c r="CM28" s="13"/>
      <c r="CN28" s="13"/>
      <c r="CO28" s="13"/>
      <c r="CP28" s="13"/>
      <c r="CQ28" s="13"/>
      <c r="CR28" s="13"/>
      <c r="CS28" s="13"/>
      <c r="CT28" s="13"/>
      <c r="CU28" s="13"/>
      <c r="CV28" s="13"/>
      <c r="CW28" s="13"/>
      <c r="CX28" s="13"/>
      <c r="CY28" s="13"/>
      <c r="CZ28" s="13"/>
      <c r="DA28" s="13"/>
      <c r="DB28" s="13"/>
      <c r="DC28" s="13"/>
      <c r="DD28" s="13"/>
      <c r="DE28" s="13"/>
      <c r="DF28" s="13"/>
      <c r="DG28" s="13"/>
      <c r="DH28" s="13"/>
      <c r="DI28" s="13"/>
      <c r="DJ28" s="13"/>
      <c r="DK28" s="13"/>
      <c r="DL28" s="13"/>
      <c r="DM28" s="13"/>
      <c r="DN28" s="13"/>
      <c r="DO28" s="13"/>
      <c r="DP28" s="13"/>
      <c r="DQ28" s="13"/>
      <c r="DR28" s="13"/>
      <c r="DS28" s="13"/>
      <c r="DT28" s="13"/>
      <c r="DU28" s="13"/>
      <c r="DV28" s="13"/>
      <c r="DW28" s="13"/>
    </row>
    <row r="29" spans="1:127">
      <c r="A29" s="13" t="str">
        <f>Schedule_Data!A30</f>
        <v>RET-119</v>
      </c>
      <c r="B29" s="13" t="str">
        <f>Schedule_Data!B30</f>
        <v>2.0</v>
      </c>
      <c r="C29" s="13" t="str">
        <f>Schedule_Data!C30</f>
        <v>LCT Return after JD-1</v>
      </c>
      <c r="D29" s="25" t="str">
        <f>Schedule_Data!D30</f>
        <v>RETURN</v>
      </c>
      <c r="E29" s="33">
        <f>Schedule_Data!F30</f>
        <v>46059</v>
      </c>
      <c r="F29" s="33">
        <f>Schedule_Data!G30</f>
        <v>46059</v>
      </c>
      <c r="G29" s="13">
        <f>Schedule_Data!H30</f>
        <v>0</v>
      </c>
      <c r="H29" s="13"/>
      <c r="I29" s="13"/>
      <c r="J29" s="13"/>
      <c r="K29" s="13"/>
      <c r="L29" s="13"/>
      <c r="M29" s="13"/>
      <c r="N29" s="13"/>
      <c r="O29" s="13"/>
      <c r="P29" s="13"/>
      <c r="Q29" s="13"/>
      <c r="R29" s="13"/>
      <c r="S29" s="13"/>
      <c r="T29" s="13"/>
      <c r="U29" s="13"/>
      <c r="V29" s="13"/>
      <c r="W29" s="13"/>
      <c r="X29" s="13"/>
      <c r="Y29" s="13"/>
      <c r="Z29" s="13"/>
      <c r="AA29" s="13"/>
      <c r="AB29" s="13"/>
      <c r="AC29" s="13"/>
      <c r="AD29" s="40" t="s">
        <v>270</v>
      </c>
      <c r="AE29" s="13"/>
      <c r="AF29" s="13"/>
      <c r="AG29" s="13"/>
      <c r="AH29" s="13"/>
      <c r="AI29" s="13"/>
      <c r="AJ29" s="13"/>
      <c r="AK29" s="13"/>
      <c r="AL29" s="13"/>
      <c r="AM29" s="13"/>
      <c r="AN29" s="13"/>
      <c r="AO29" s="13"/>
      <c r="AP29" s="13"/>
      <c r="AQ29" s="13"/>
      <c r="AR29" s="13"/>
      <c r="AS29" s="13"/>
      <c r="AT29" s="13"/>
      <c r="AU29" s="13"/>
      <c r="AV29" s="13"/>
      <c r="AW29" s="13"/>
      <c r="AX29" s="13"/>
      <c r="AY29" s="13"/>
      <c r="AZ29" s="13"/>
      <c r="BA29" s="13"/>
      <c r="BB29" s="13"/>
      <c r="BC29" s="13"/>
      <c r="BD29" s="13"/>
      <c r="BE29" s="13"/>
      <c r="BF29" s="13"/>
      <c r="BG29" s="13"/>
      <c r="BH29" s="13"/>
      <c r="BI29" s="13"/>
      <c r="BJ29" s="13"/>
      <c r="BK29" s="13"/>
      <c r="BL29" s="13"/>
      <c r="BM29" s="13"/>
      <c r="BN29" s="13"/>
      <c r="BO29" s="13"/>
      <c r="BP29" s="13"/>
      <c r="BQ29" s="13"/>
      <c r="BR29" s="13"/>
      <c r="BS29" s="13"/>
      <c r="BT29" s="13"/>
      <c r="BU29" s="13"/>
      <c r="BV29" s="13"/>
      <c r="BW29" s="13"/>
      <c r="BX29" s="13"/>
      <c r="BY29" s="13"/>
      <c r="BZ29" s="13"/>
      <c r="CA29" s="13"/>
      <c r="CB29" s="13"/>
      <c r="CC29" s="13"/>
      <c r="CD29" s="13"/>
      <c r="CE29" s="13"/>
      <c r="CF29" s="13"/>
      <c r="CG29" s="13"/>
      <c r="CH29" s="13"/>
      <c r="CI29" s="13"/>
      <c r="CJ29" s="13"/>
      <c r="CK29" s="13"/>
      <c r="CL29" s="13"/>
      <c r="CM29" s="13"/>
      <c r="CN29" s="13"/>
      <c r="CO29" s="13"/>
      <c r="CP29" s="13"/>
      <c r="CQ29" s="13"/>
      <c r="CR29" s="13"/>
      <c r="CS29" s="13"/>
      <c r="CT29" s="13"/>
      <c r="CU29" s="13"/>
      <c r="CV29" s="13"/>
      <c r="CW29" s="13"/>
      <c r="CX29" s="13"/>
      <c r="CY29" s="13"/>
      <c r="CZ29" s="13"/>
      <c r="DA29" s="13"/>
      <c r="DB29" s="13"/>
      <c r="DC29" s="13"/>
      <c r="DD29" s="13"/>
      <c r="DE29" s="13"/>
      <c r="DF29" s="13"/>
      <c r="DG29" s="13"/>
      <c r="DH29" s="13"/>
      <c r="DI29" s="13"/>
      <c r="DJ29" s="13"/>
      <c r="DK29" s="13"/>
      <c r="DL29" s="13"/>
      <c r="DM29" s="13"/>
      <c r="DN29" s="13"/>
      <c r="DO29" s="13"/>
      <c r="DP29" s="13"/>
      <c r="DQ29" s="13"/>
      <c r="DR29" s="13"/>
      <c r="DS29" s="13"/>
      <c r="DT29" s="13"/>
      <c r="DU29" s="13"/>
      <c r="DV29" s="13"/>
      <c r="DW29" s="13"/>
    </row>
    <row r="30" spans="1:127">
      <c r="A30" s="13" t="str">
        <f>Schedule_Data!A31</f>
        <v>BUF-120</v>
      </c>
      <c r="B30" s="13" t="str">
        <f>Schedule_Data!B31</f>
        <v>2.0</v>
      </c>
      <c r="C30" s="13" t="str">
        <f>Schedule_Data!C31</f>
        <v>Buffer / Shamal recovery</v>
      </c>
      <c r="D30" s="22" t="str">
        <f>Schedule_Data!D31</f>
        <v>BUFFER</v>
      </c>
      <c r="E30" s="33">
        <f>Schedule_Data!F31</f>
        <v>46060</v>
      </c>
      <c r="F30" s="33">
        <f>Schedule_Data!G31</f>
        <v>46060</v>
      </c>
      <c r="G30" s="13">
        <f>Schedule_Data!H31</f>
        <v>0</v>
      </c>
      <c r="H30" s="13"/>
      <c r="I30" s="13"/>
      <c r="J30" s="13"/>
      <c r="K30" s="13"/>
      <c r="L30" s="13"/>
      <c r="M30" s="13"/>
      <c r="N30" s="13"/>
      <c r="O30" s="13"/>
      <c r="P30" s="13"/>
      <c r="Q30" s="13"/>
      <c r="R30" s="13"/>
      <c r="S30" s="13"/>
      <c r="T30" s="13"/>
      <c r="U30" s="13"/>
      <c r="V30" s="13"/>
      <c r="W30" s="13"/>
      <c r="X30" s="13"/>
      <c r="Y30" s="13"/>
      <c r="Z30" s="13"/>
      <c r="AA30" s="13"/>
      <c r="AB30" s="13"/>
      <c r="AC30" s="13"/>
      <c r="AD30" s="13"/>
      <c r="AE30" s="22"/>
      <c r="AF30" s="13"/>
      <c r="AG30" s="13"/>
      <c r="AH30" s="13"/>
      <c r="AI30" s="13"/>
      <c r="AJ30" s="13"/>
      <c r="AK30" s="13"/>
      <c r="AL30" s="13"/>
      <c r="AM30" s="13"/>
      <c r="AN30" s="13"/>
      <c r="AO30" s="13"/>
      <c r="AP30" s="13"/>
      <c r="AQ30" s="13"/>
      <c r="AR30" s="13"/>
      <c r="AS30" s="13"/>
      <c r="AT30" s="13"/>
      <c r="AU30" s="13"/>
      <c r="AV30" s="13"/>
      <c r="AW30" s="13"/>
      <c r="AX30" s="13"/>
      <c r="AY30" s="13"/>
      <c r="AZ30" s="13"/>
      <c r="BA30" s="13"/>
      <c r="BB30" s="13"/>
      <c r="BC30" s="13"/>
      <c r="BD30" s="13"/>
      <c r="BE30" s="13"/>
      <c r="BF30" s="13"/>
      <c r="BG30" s="13"/>
      <c r="BH30" s="13"/>
      <c r="BI30" s="13"/>
      <c r="BJ30" s="13"/>
      <c r="BK30" s="13"/>
      <c r="BL30" s="13"/>
      <c r="BM30" s="13"/>
      <c r="BN30" s="13"/>
      <c r="BO30" s="13"/>
      <c r="BP30" s="13"/>
      <c r="BQ30" s="13"/>
      <c r="BR30" s="13"/>
      <c r="BS30" s="13"/>
      <c r="BT30" s="13"/>
      <c r="BU30" s="13"/>
      <c r="BV30" s="13"/>
      <c r="BW30" s="13"/>
      <c r="BX30" s="13"/>
      <c r="BY30" s="13"/>
      <c r="BZ30" s="13"/>
      <c r="CA30" s="13"/>
      <c r="CB30" s="13"/>
      <c r="CC30" s="13"/>
      <c r="CD30" s="13"/>
      <c r="CE30" s="13"/>
      <c r="CF30" s="13"/>
      <c r="CG30" s="13"/>
      <c r="CH30" s="13"/>
      <c r="CI30" s="13"/>
      <c r="CJ30" s="13"/>
      <c r="CK30" s="13"/>
      <c r="CL30" s="13"/>
      <c r="CM30" s="13"/>
      <c r="CN30" s="13"/>
      <c r="CO30" s="13"/>
      <c r="CP30" s="13"/>
      <c r="CQ30" s="13"/>
      <c r="CR30" s="13"/>
      <c r="CS30" s="13"/>
      <c r="CT30" s="13"/>
      <c r="CU30" s="13"/>
      <c r="CV30" s="13"/>
      <c r="CW30" s="13"/>
      <c r="CX30" s="13"/>
      <c r="CY30" s="13"/>
      <c r="CZ30" s="13"/>
      <c r="DA30" s="13"/>
      <c r="DB30" s="13"/>
      <c r="DC30" s="13"/>
      <c r="DD30" s="13"/>
      <c r="DE30" s="13"/>
      <c r="DF30" s="13"/>
      <c r="DG30" s="13"/>
      <c r="DH30" s="13"/>
      <c r="DI30" s="13"/>
      <c r="DJ30" s="13"/>
      <c r="DK30" s="13"/>
      <c r="DL30" s="13"/>
      <c r="DM30" s="13"/>
      <c r="DN30" s="13"/>
      <c r="DO30" s="13"/>
      <c r="DP30" s="13"/>
      <c r="DQ30" s="13"/>
      <c r="DR30" s="13"/>
      <c r="DS30" s="13"/>
      <c r="DT30" s="13"/>
      <c r="DU30" s="13"/>
      <c r="DV30" s="13"/>
      <c r="DW30" s="13"/>
    </row>
    <row r="31" spans="1:127">
      <c r="A31" s="13" t="str">
        <f>Schedule_Data!A32</f>
        <v>V3</v>
      </c>
      <c r="B31" s="13" t="str">
        <f>Schedule_Data!B32</f>
        <v>3.0</v>
      </c>
      <c r="C31" s="13" t="str">
        <f>Schedule_Data!C32</f>
        <v>VOYAGE 3: TR3 Transport</v>
      </c>
      <c r="D31" s="34" t="str">
        <f>Schedule_Data!D32</f>
        <v>MILESTONE</v>
      </c>
      <c r="E31" s="33">
        <f>Schedule_Data!F32</f>
        <v>46069</v>
      </c>
      <c r="F31" s="33">
        <f>Schedule_Data!G32</f>
        <v>46069</v>
      </c>
      <c r="G31" s="13">
        <f>Schedule_Data!H32</f>
        <v>0</v>
      </c>
      <c r="H31" s="13"/>
      <c r="I31" s="13"/>
      <c r="J31" s="13"/>
      <c r="K31" s="13"/>
      <c r="L31" s="13"/>
      <c r="M31" s="13"/>
      <c r="N31" s="13"/>
      <c r="O31" s="13"/>
      <c r="P31" s="13"/>
      <c r="Q31" s="13"/>
      <c r="R31" s="13"/>
      <c r="S31" s="13"/>
      <c r="T31" s="13"/>
      <c r="U31" s="13"/>
      <c r="V31" s="13"/>
      <c r="W31" s="13"/>
      <c r="X31" s="13"/>
      <c r="Y31" s="13"/>
      <c r="Z31" s="13"/>
      <c r="AA31" s="13"/>
      <c r="AB31" s="13"/>
      <c r="AC31" s="13"/>
      <c r="AD31" s="13"/>
      <c r="AE31" s="13"/>
      <c r="AF31" s="13"/>
      <c r="AG31" s="13"/>
      <c r="AH31" s="13"/>
      <c r="AI31" s="13"/>
      <c r="AJ31" s="13"/>
      <c r="AK31" s="13"/>
      <c r="AL31" s="13"/>
      <c r="AM31" s="13"/>
      <c r="AN31" s="35" t="s">
        <v>270</v>
      </c>
      <c r="AO31" s="13"/>
      <c r="AP31" s="13"/>
      <c r="AQ31" s="13"/>
      <c r="AR31" s="13"/>
      <c r="AS31" s="13"/>
      <c r="AT31" s="13"/>
      <c r="AU31" s="13"/>
      <c r="AV31" s="13"/>
      <c r="AW31" s="13"/>
      <c r="AX31" s="13"/>
      <c r="AY31" s="13"/>
      <c r="AZ31" s="13"/>
      <c r="BA31" s="13"/>
      <c r="BB31" s="13"/>
      <c r="BC31" s="13"/>
      <c r="BD31" s="13"/>
      <c r="BE31" s="13"/>
      <c r="BF31" s="13"/>
      <c r="BG31" s="13"/>
      <c r="BH31" s="13"/>
      <c r="BI31" s="13"/>
      <c r="BJ31" s="13"/>
      <c r="BK31" s="13"/>
      <c r="BL31" s="13"/>
      <c r="BM31" s="13"/>
      <c r="BN31" s="13"/>
      <c r="BO31" s="13"/>
      <c r="BP31" s="13"/>
      <c r="BQ31" s="13"/>
      <c r="BR31" s="13"/>
      <c r="BS31" s="13"/>
      <c r="BT31" s="13"/>
      <c r="BU31" s="13"/>
      <c r="BV31" s="13"/>
      <c r="BW31" s="13"/>
      <c r="BX31" s="13"/>
      <c r="BY31" s="13"/>
      <c r="BZ31" s="13"/>
      <c r="CA31" s="13"/>
      <c r="CB31" s="13"/>
      <c r="CC31" s="13"/>
      <c r="CD31" s="13"/>
      <c r="CE31" s="13"/>
      <c r="CF31" s="13"/>
      <c r="CG31" s="13"/>
      <c r="CH31" s="13"/>
      <c r="CI31" s="13"/>
      <c r="CJ31" s="13"/>
      <c r="CK31" s="13"/>
      <c r="CL31" s="13"/>
      <c r="CM31" s="13"/>
      <c r="CN31" s="13"/>
      <c r="CO31" s="13"/>
      <c r="CP31" s="13"/>
      <c r="CQ31" s="13"/>
      <c r="CR31" s="13"/>
      <c r="CS31" s="13"/>
      <c r="CT31" s="13"/>
      <c r="CU31" s="13"/>
      <c r="CV31" s="13"/>
      <c r="CW31" s="13"/>
      <c r="CX31" s="13"/>
      <c r="CY31" s="13"/>
      <c r="CZ31" s="13"/>
      <c r="DA31" s="13"/>
      <c r="DB31" s="13"/>
      <c r="DC31" s="13"/>
      <c r="DD31" s="13"/>
      <c r="DE31" s="13"/>
      <c r="DF31" s="13"/>
      <c r="DG31" s="13"/>
      <c r="DH31" s="13"/>
      <c r="DI31" s="13"/>
      <c r="DJ31" s="13"/>
      <c r="DK31" s="13"/>
      <c r="DL31" s="13"/>
      <c r="DM31" s="13"/>
      <c r="DN31" s="13"/>
      <c r="DO31" s="13"/>
      <c r="DP31" s="13"/>
      <c r="DQ31" s="13"/>
      <c r="DR31" s="13"/>
      <c r="DS31" s="13"/>
      <c r="DT31" s="13"/>
      <c r="DU31" s="13"/>
      <c r="DV31" s="13"/>
      <c r="DW31" s="13"/>
    </row>
    <row r="32" spans="1:127">
      <c r="A32" s="13" t="str">
        <f>Schedule_Data!A33</f>
        <v>LO-121</v>
      </c>
      <c r="B32" s="13" t="str">
        <f>Schedule_Data!B33</f>
        <v>3.0</v>
      </c>
      <c r="C32" s="13" t="str">
        <f>Schedule_Data!C33</f>
        <v>Loadout TR3</v>
      </c>
      <c r="D32" s="20" t="str">
        <f>Schedule_Data!D33</f>
        <v>LOADOUT</v>
      </c>
      <c r="E32" s="33">
        <f>Schedule_Data!F33</f>
        <v>46069</v>
      </c>
      <c r="F32" s="33">
        <f>Schedule_Data!G33</f>
        <v>46069</v>
      </c>
      <c r="G32" s="13">
        <f>Schedule_Data!H33</f>
        <v>0</v>
      </c>
      <c r="H32" s="13"/>
      <c r="I32" s="13"/>
      <c r="J32" s="13"/>
      <c r="K32" s="13"/>
      <c r="L32" s="13"/>
      <c r="M32" s="13"/>
      <c r="N32" s="13"/>
      <c r="O32" s="13"/>
      <c r="P32" s="13"/>
      <c r="Q32" s="13"/>
      <c r="R32" s="13"/>
      <c r="S32" s="13"/>
      <c r="T32" s="13"/>
      <c r="U32" s="13"/>
      <c r="V32" s="13"/>
      <c r="W32" s="13"/>
      <c r="X32" s="13"/>
      <c r="Y32" s="13"/>
      <c r="Z32" s="13"/>
      <c r="AA32" s="13"/>
      <c r="AB32" s="13"/>
      <c r="AC32" s="13"/>
      <c r="AD32" s="13"/>
      <c r="AE32" s="13"/>
      <c r="AF32" s="13"/>
      <c r="AG32" s="13"/>
      <c r="AH32" s="13"/>
      <c r="AI32" s="13"/>
      <c r="AJ32" s="13"/>
      <c r="AK32" s="13"/>
      <c r="AL32" s="13"/>
      <c r="AM32" s="13"/>
      <c r="AN32" s="20"/>
      <c r="AO32" s="13"/>
      <c r="AP32" s="13"/>
      <c r="AQ32" s="13"/>
      <c r="AR32" s="13"/>
      <c r="AS32" s="13"/>
      <c r="AT32" s="13"/>
      <c r="AU32" s="13"/>
      <c r="AV32" s="13"/>
      <c r="AW32" s="13"/>
      <c r="AX32" s="13"/>
      <c r="AY32" s="13"/>
      <c r="AZ32" s="13"/>
      <c r="BA32" s="13"/>
      <c r="BB32" s="13"/>
      <c r="BC32" s="13"/>
      <c r="BD32" s="13"/>
      <c r="BE32" s="13"/>
      <c r="BF32" s="13"/>
      <c r="BG32" s="13"/>
      <c r="BH32" s="13"/>
      <c r="BI32" s="13"/>
      <c r="BJ32" s="13"/>
      <c r="BK32" s="13"/>
      <c r="BL32" s="13"/>
      <c r="BM32" s="13"/>
      <c r="BN32" s="13"/>
      <c r="BO32" s="13"/>
      <c r="BP32" s="13"/>
      <c r="BQ32" s="13"/>
      <c r="BR32" s="13"/>
      <c r="BS32" s="13"/>
      <c r="BT32" s="13"/>
      <c r="BU32" s="13"/>
      <c r="BV32" s="13"/>
      <c r="BW32" s="13"/>
      <c r="BX32" s="13"/>
      <c r="BY32" s="13"/>
      <c r="BZ32" s="13"/>
      <c r="CA32" s="13"/>
      <c r="CB32" s="13"/>
      <c r="CC32" s="13"/>
      <c r="CD32" s="13"/>
      <c r="CE32" s="13"/>
      <c r="CF32" s="13"/>
      <c r="CG32" s="13"/>
      <c r="CH32" s="13"/>
      <c r="CI32" s="13"/>
      <c r="CJ32" s="13"/>
      <c r="CK32" s="13"/>
      <c r="CL32" s="13"/>
      <c r="CM32" s="13"/>
      <c r="CN32" s="13"/>
      <c r="CO32" s="13"/>
      <c r="CP32" s="13"/>
      <c r="CQ32" s="13"/>
      <c r="CR32" s="13"/>
      <c r="CS32" s="13"/>
      <c r="CT32" s="13"/>
      <c r="CU32" s="13"/>
      <c r="CV32" s="13"/>
      <c r="CW32" s="13"/>
      <c r="CX32" s="13"/>
      <c r="CY32" s="13"/>
      <c r="CZ32" s="13"/>
      <c r="DA32" s="13"/>
      <c r="DB32" s="13"/>
      <c r="DC32" s="13"/>
      <c r="DD32" s="13"/>
      <c r="DE32" s="13"/>
      <c r="DF32" s="13"/>
      <c r="DG32" s="13"/>
      <c r="DH32" s="13"/>
      <c r="DI32" s="13"/>
      <c r="DJ32" s="13"/>
      <c r="DK32" s="13"/>
      <c r="DL32" s="13"/>
      <c r="DM32" s="13"/>
      <c r="DN32" s="13"/>
      <c r="DO32" s="13"/>
      <c r="DP32" s="13"/>
      <c r="DQ32" s="13"/>
      <c r="DR32" s="13"/>
      <c r="DS32" s="13"/>
      <c r="DT32" s="13"/>
      <c r="DU32" s="13"/>
      <c r="DV32" s="13"/>
      <c r="DW32" s="13"/>
    </row>
    <row r="33" spans="1:127">
      <c r="A33" s="13" t="str">
        <f>Schedule_Data!A34</f>
        <v>SF-122</v>
      </c>
      <c r="B33" s="13" t="str">
        <f>Schedule_Data!B34</f>
        <v>3.0</v>
      </c>
      <c r="C33" s="13" t="str">
        <f>Schedule_Data!C34</f>
        <v>Sea fastening TR3</v>
      </c>
      <c r="D33" s="21" t="str">
        <f>Schedule_Data!D34</f>
        <v>SEAFAST</v>
      </c>
      <c r="E33" s="33">
        <f>Schedule_Data!F34</f>
        <v>46070</v>
      </c>
      <c r="F33" s="33">
        <f>Schedule_Data!G34</f>
        <v>46070</v>
      </c>
      <c r="G33" s="13">
        <f>Schedule_Data!H34</f>
        <v>0</v>
      </c>
      <c r="H33" s="13"/>
      <c r="I33" s="13"/>
      <c r="J33" s="13"/>
      <c r="K33" s="13"/>
      <c r="L33" s="13"/>
      <c r="M33" s="13"/>
      <c r="N33" s="13"/>
      <c r="O33" s="13"/>
      <c r="P33" s="13"/>
      <c r="Q33" s="13"/>
      <c r="R33" s="13"/>
      <c r="S33" s="13"/>
      <c r="T33" s="13"/>
      <c r="U33" s="13"/>
      <c r="V33" s="13"/>
      <c r="W33" s="13"/>
      <c r="X33" s="13"/>
      <c r="Y33" s="13"/>
      <c r="Z33" s="13"/>
      <c r="AA33" s="13"/>
      <c r="AB33" s="13"/>
      <c r="AC33" s="13"/>
      <c r="AD33" s="13"/>
      <c r="AE33" s="13"/>
      <c r="AF33" s="13"/>
      <c r="AG33" s="13"/>
      <c r="AH33" s="13"/>
      <c r="AI33" s="13"/>
      <c r="AJ33" s="13"/>
      <c r="AK33" s="13"/>
      <c r="AL33" s="13"/>
      <c r="AM33" s="13"/>
      <c r="AN33" s="13"/>
      <c r="AO33" s="36" t="s">
        <v>270</v>
      </c>
      <c r="AP33" s="13"/>
      <c r="AQ33" s="13"/>
      <c r="AR33" s="13"/>
      <c r="AS33" s="13"/>
      <c r="AT33" s="13"/>
      <c r="AU33" s="13"/>
      <c r="AV33" s="13"/>
      <c r="AW33" s="13"/>
      <c r="AX33" s="13"/>
      <c r="AY33" s="13"/>
      <c r="AZ33" s="13"/>
      <c r="BA33" s="13"/>
      <c r="BB33" s="13"/>
      <c r="BC33" s="13"/>
      <c r="BD33" s="13"/>
      <c r="BE33" s="13"/>
      <c r="BF33" s="13"/>
      <c r="BG33" s="13"/>
      <c r="BH33" s="13"/>
      <c r="BI33" s="13"/>
      <c r="BJ33" s="13"/>
      <c r="BK33" s="13"/>
      <c r="BL33" s="13"/>
      <c r="BM33" s="13"/>
      <c r="BN33" s="13"/>
      <c r="BO33" s="13"/>
      <c r="BP33" s="13"/>
      <c r="BQ33" s="13"/>
      <c r="BR33" s="13"/>
      <c r="BS33" s="13"/>
      <c r="BT33" s="13"/>
      <c r="BU33" s="13"/>
      <c r="BV33" s="13"/>
      <c r="BW33" s="13"/>
      <c r="BX33" s="13"/>
      <c r="BY33" s="13"/>
      <c r="BZ33" s="13"/>
      <c r="CA33" s="13"/>
      <c r="CB33" s="13"/>
      <c r="CC33" s="13"/>
      <c r="CD33" s="13"/>
      <c r="CE33" s="13"/>
      <c r="CF33" s="13"/>
      <c r="CG33" s="13"/>
      <c r="CH33" s="13"/>
      <c r="CI33" s="13"/>
      <c r="CJ33" s="13"/>
      <c r="CK33" s="13"/>
      <c r="CL33" s="13"/>
      <c r="CM33" s="13"/>
      <c r="CN33" s="13"/>
      <c r="CO33" s="13"/>
      <c r="CP33" s="13"/>
      <c r="CQ33" s="13"/>
      <c r="CR33" s="13"/>
      <c r="CS33" s="13"/>
      <c r="CT33" s="13"/>
      <c r="CU33" s="13"/>
      <c r="CV33" s="13"/>
      <c r="CW33" s="13"/>
      <c r="CX33" s="13"/>
      <c r="CY33" s="13"/>
      <c r="CZ33" s="13"/>
      <c r="DA33" s="13"/>
      <c r="DB33" s="13"/>
      <c r="DC33" s="13"/>
      <c r="DD33" s="13"/>
      <c r="DE33" s="13"/>
      <c r="DF33" s="13"/>
      <c r="DG33" s="13"/>
      <c r="DH33" s="13"/>
      <c r="DI33" s="13"/>
      <c r="DJ33" s="13"/>
      <c r="DK33" s="13"/>
      <c r="DL33" s="13"/>
      <c r="DM33" s="13"/>
      <c r="DN33" s="13"/>
      <c r="DO33" s="13"/>
      <c r="DP33" s="13"/>
      <c r="DQ33" s="13"/>
      <c r="DR33" s="13"/>
      <c r="DS33" s="13"/>
      <c r="DT33" s="13"/>
      <c r="DU33" s="13"/>
      <c r="DV33" s="13"/>
      <c r="DW33" s="13"/>
    </row>
    <row r="34" spans="1:127">
      <c r="A34" s="13" t="str">
        <f>Schedule_Data!A35</f>
        <v>MWS-122A</v>
      </c>
      <c r="B34" s="13" t="str">
        <f>Schedule_Data!B35</f>
        <v>3.0</v>
      </c>
      <c r="C34" s="13" t="str">
        <f>Schedule_Data!C35</f>
        <v>MWS Survey + Final checks</v>
      </c>
      <c r="D34" s="22" t="str">
        <f>Schedule_Data!D35</f>
        <v>BUFFER</v>
      </c>
      <c r="E34" s="33">
        <f>Schedule_Data!F35</f>
        <v>46070</v>
      </c>
      <c r="F34" s="33">
        <f>Schedule_Data!G35</f>
        <v>46070</v>
      </c>
      <c r="G34" s="13">
        <f>Schedule_Data!H35</f>
        <v>0</v>
      </c>
      <c r="H34" s="13"/>
      <c r="I34" s="13"/>
      <c r="J34" s="13"/>
      <c r="K34" s="13"/>
      <c r="L34" s="13"/>
      <c r="M34" s="13"/>
      <c r="N34" s="13"/>
      <c r="O34" s="13"/>
      <c r="P34" s="13"/>
      <c r="Q34" s="13"/>
      <c r="R34" s="13"/>
      <c r="S34" s="13"/>
      <c r="T34" s="13"/>
      <c r="U34" s="13"/>
      <c r="V34" s="13"/>
      <c r="W34" s="13"/>
      <c r="X34" s="13"/>
      <c r="Y34" s="13"/>
      <c r="Z34" s="13"/>
      <c r="AA34" s="13"/>
      <c r="AB34" s="13"/>
      <c r="AC34" s="13"/>
      <c r="AD34" s="13"/>
      <c r="AE34" s="13"/>
      <c r="AF34" s="13"/>
      <c r="AG34" s="13"/>
      <c r="AH34" s="13"/>
      <c r="AI34" s="13"/>
      <c r="AJ34" s="13"/>
      <c r="AK34" s="13"/>
      <c r="AL34" s="13"/>
      <c r="AM34" s="13"/>
      <c r="AN34" s="13"/>
      <c r="AO34" s="37" t="s">
        <v>270</v>
      </c>
      <c r="AP34" s="13"/>
      <c r="AQ34" s="13"/>
      <c r="AR34" s="13"/>
      <c r="AS34" s="13"/>
      <c r="AT34" s="13"/>
      <c r="AU34" s="13"/>
      <c r="AV34" s="13"/>
      <c r="AW34" s="13"/>
      <c r="AX34" s="13"/>
      <c r="AY34" s="13"/>
      <c r="AZ34" s="13"/>
      <c r="BA34" s="13"/>
      <c r="BB34" s="13"/>
      <c r="BC34" s="13"/>
      <c r="BD34" s="13"/>
      <c r="BE34" s="13"/>
      <c r="BF34" s="13"/>
      <c r="BG34" s="13"/>
      <c r="BH34" s="13"/>
      <c r="BI34" s="13"/>
      <c r="BJ34" s="13"/>
      <c r="BK34" s="13"/>
      <c r="BL34" s="13"/>
      <c r="BM34" s="13"/>
      <c r="BN34" s="13"/>
      <c r="BO34" s="13"/>
      <c r="BP34" s="13"/>
      <c r="BQ34" s="13"/>
      <c r="BR34" s="13"/>
      <c r="BS34" s="13"/>
      <c r="BT34" s="13"/>
      <c r="BU34" s="13"/>
      <c r="BV34" s="13"/>
      <c r="BW34" s="13"/>
      <c r="BX34" s="13"/>
      <c r="BY34" s="13"/>
      <c r="BZ34" s="13"/>
      <c r="CA34" s="13"/>
      <c r="CB34" s="13"/>
      <c r="CC34" s="13"/>
      <c r="CD34" s="13"/>
      <c r="CE34" s="13"/>
      <c r="CF34" s="13"/>
      <c r="CG34" s="13"/>
      <c r="CH34" s="13"/>
      <c r="CI34" s="13"/>
      <c r="CJ34" s="13"/>
      <c r="CK34" s="13"/>
      <c r="CL34" s="13"/>
      <c r="CM34" s="13"/>
      <c r="CN34" s="13"/>
      <c r="CO34" s="13"/>
      <c r="CP34" s="13"/>
      <c r="CQ34" s="13"/>
      <c r="CR34" s="13"/>
      <c r="CS34" s="13"/>
      <c r="CT34" s="13"/>
      <c r="CU34" s="13"/>
      <c r="CV34" s="13"/>
      <c r="CW34" s="13"/>
      <c r="CX34" s="13"/>
      <c r="CY34" s="13"/>
      <c r="CZ34" s="13"/>
      <c r="DA34" s="13"/>
      <c r="DB34" s="13"/>
      <c r="DC34" s="13"/>
      <c r="DD34" s="13"/>
      <c r="DE34" s="13"/>
      <c r="DF34" s="13"/>
      <c r="DG34" s="13"/>
      <c r="DH34" s="13"/>
      <c r="DI34" s="13"/>
      <c r="DJ34" s="13"/>
      <c r="DK34" s="13"/>
      <c r="DL34" s="13"/>
      <c r="DM34" s="13"/>
      <c r="DN34" s="13"/>
      <c r="DO34" s="13"/>
      <c r="DP34" s="13"/>
      <c r="DQ34" s="13"/>
      <c r="DR34" s="13"/>
      <c r="DS34" s="13"/>
      <c r="DT34" s="13"/>
      <c r="DU34" s="13"/>
      <c r="DV34" s="13"/>
      <c r="DW34" s="13"/>
    </row>
    <row r="35" spans="1:127">
      <c r="A35" s="13" t="str">
        <f>Schedule_Data!A36</f>
        <v>SAIL-123</v>
      </c>
      <c r="B35" s="13" t="str">
        <f>Schedule_Data!B36</f>
        <v>3.0</v>
      </c>
      <c r="C35" s="13" t="str">
        <f>Schedule_Data!C36</f>
        <v>Sail-away</v>
      </c>
      <c r="D35" s="23" t="str">
        <f>Schedule_Data!D36</f>
        <v>SAIL</v>
      </c>
      <c r="E35" s="33">
        <f>Schedule_Data!F36</f>
        <v>46070</v>
      </c>
      <c r="F35" s="33">
        <f>Schedule_Data!G36</f>
        <v>46070</v>
      </c>
      <c r="G35" s="13">
        <f>Schedule_Data!H36</f>
        <v>0</v>
      </c>
      <c r="H35" s="13"/>
      <c r="I35" s="13"/>
      <c r="J35" s="13"/>
      <c r="K35" s="13"/>
      <c r="L35" s="13"/>
      <c r="M35" s="13"/>
      <c r="N35" s="13"/>
      <c r="O35" s="13"/>
      <c r="P35" s="13"/>
      <c r="Q35" s="13"/>
      <c r="R35" s="13"/>
      <c r="S35" s="13"/>
      <c r="T35" s="13"/>
      <c r="U35" s="13"/>
      <c r="V35" s="13"/>
      <c r="W35" s="13"/>
      <c r="X35" s="13"/>
      <c r="Y35" s="13"/>
      <c r="Z35" s="13"/>
      <c r="AA35" s="13"/>
      <c r="AB35" s="13"/>
      <c r="AC35" s="13"/>
      <c r="AD35" s="13"/>
      <c r="AE35" s="13"/>
      <c r="AF35" s="13"/>
      <c r="AG35" s="13"/>
      <c r="AH35" s="13"/>
      <c r="AI35" s="13"/>
      <c r="AJ35" s="13"/>
      <c r="AK35" s="13"/>
      <c r="AL35" s="13"/>
      <c r="AM35" s="13"/>
      <c r="AN35" s="13"/>
      <c r="AO35" s="38" t="s">
        <v>270</v>
      </c>
      <c r="AP35" s="13"/>
      <c r="AQ35" s="13"/>
      <c r="AR35" s="13"/>
      <c r="AS35" s="13"/>
      <c r="AT35" s="13"/>
      <c r="AU35" s="13"/>
      <c r="AV35" s="13"/>
      <c r="AW35" s="13"/>
      <c r="AX35" s="13"/>
      <c r="AY35" s="13"/>
      <c r="AZ35" s="13"/>
      <c r="BA35" s="13"/>
      <c r="BB35" s="13"/>
      <c r="BC35" s="13"/>
      <c r="BD35" s="13"/>
      <c r="BE35" s="13"/>
      <c r="BF35" s="13"/>
      <c r="BG35" s="13"/>
      <c r="BH35" s="13"/>
      <c r="BI35" s="13"/>
      <c r="BJ35" s="13"/>
      <c r="BK35" s="13"/>
      <c r="BL35" s="13"/>
      <c r="BM35" s="13"/>
      <c r="BN35" s="13"/>
      <c r="BO35" s="13"/>
      <c r="BP35" s="13"/>
      <c r="BQ35" s="13"/>
      <c r="BR35" s="13"/>
      <c r="BS35" s="13"/>
      <c r="BT35" s="13"/>
      <c r="BU35" s="13"/>
      <c r="BV35" s="13"/>
      <c r="BW35" s="13"/>
      <c r="BX35" s="13"/>
      <c r="BY35" s="13"/>
      <c r="BZ35" s="13"/>
      <c r="CA35" s="13"/>
      <c r="CB35" s="13"/>
      <c r="CC35" s="13"/>
      <c r="CD35" s="13"/>
      <c r="CE35" s="13"/>
      <c r="CF35" s="13"/>
      <c r="CG35" s="13"/>
      <c r="CH35" s="13"/>
      <c r="CI35" s="13"/>
      <c r="CJ35" s="13"/>
      <c r="CK35" s="13"/>
      <c r="CL35" s="13"/>
      <c r="CM35" s="13"/>
      <c r="CN35" s="13"/>
      <c r="CO35" s="13"/>
      <c r="CP35" s="13"/>
      <c r="CQ35" s="13"/>
      <c r="CR35" s="13"/>
      <c r="CS35" s="13"/>
      <c r="CT35" s="13"/>
      <c r="CU35" s="13"/>
      <c r="CV35" s="13"/>
      <c r="CW35" s="13"/>
      <c r="CX35" s="13"/>
      <c r="CY35" s="13"/>
      <c r="CZ35" s="13"/>
      <c r="DA35" s="13"/>
      <c r="DB35" s="13"/>
      <c r="DC35" s="13"/>
      <c r="DD35" s="13"/>
      <c r="DE35" s="13"/>
      <c r="DF35" s="13"/>
      <c r="DG35" s="13"/>
      <c r="DH35" s="13"/>
      <c r="DI35" s="13"/>
      <c r="DJ35" s="13"/>
      <c r="DK35" s="13"/>
      <c r="DL35" s="13"/>
      <c r="DM35" s="13"/>
      <c r="DN35" s="13"/>
      <c r="DO35" s="13"/>
      <c r="DP35" s="13"/>
      <c r="DQ35" s="13"/>
      <c r="DR35" s="13"/>
      <c r="DS35" s="13"/>
      <c r="DT35" s="13"/>
      <c r="DU35" s="13"/>
      <c r="DV35" s="13"/>
      <c r="DW35" s="13"/>
    </row>
    <row r="36" spans="1:127">
      <c r="A36" s="13" t="str">
        <f>Schedule_Data!A37</f>
        <v>ARR-124</v>
      </c>
      <c r="B36" s="13" t="str">
        <f>Schedule_Data!B37</f>
        <v>3.0</v>
      </c>
      <c r="C36" s="13" t="str">
        <f>Schedule_Data!C37</f>
        <v>Arrive/berth AGI</v>
      </c>
      <c r="D36" s="24" t="str">
        <f>Schedule_Data!D37</f>
        <v>AGI_UNLOAD</v>
      </c>
      <c r="E36" s="33">
        <f>Schedule_Data!F37</f>
        <v>46071</v>
      </c>
      <c r="F36" s="33">
        <f>Schedule_Data!G37</f>
        <v>46071</v>
      </c>
      <c r="G36" s="13">
        <f>Schedule_Data!H37</f>
        <v>0</v>
      </c>
      <c r="H36" s="13"/>
      <c r="I36" s="13"/>
      <c r="J36" s="13"/>
      <c r="K36" s="13"/>
      <c r="L36" s="13"/>
      <c r="M36" s="13"/>
      <c r="N36" s="13"/>
      <c r="O36" s="13"/>
      <c r="P36" s="13"/>
      <c r="Q36" s="13"/>
      <c r="R36" s="13"/>
      <c r="S36" s="13"/>
      <c r="T36" s="13"/>
      <c r="U36" s="13"/>
      <c r="V36" s="13"/>
      <c r="W36" s="13"/>
      <c r="X36" s="13"/>
      <c r="Y36" s="13"/>
      <c r="Z36" s="13"/>
      <c r="AA36" s="13"/>
      <c r="AB36" s="13"/>
      <c r="AC36" s="13"/>
      <c r="AD36" s="13"/>
      <c r="AE36" s="13"/>
      <c r="AF36" s="13"/>
      <c r="AG36" s="13"/>
      <c r="AH36" s="13"/>
      <c r="AI36" s="13"/>
      <c r="AJ36" s="13"/>
      <c r="AK36" s="13"/>
      <c r="AL36" s="13"/>
      <c r="AM36" s="13"/>
      <c r="AN36" s="13"/>
      <c r="AO36" s="13"/>
      <c r="AP36" s="39" t="s">
        <v>270</v>
      </c>
      <c r="AQ36" s="13"/>
      <c r="AR36" s="13"/>
      <c r="AS36" s="13"/>
      <c r="AT36" s="13"/>
      <c r="AU36" s="13"/>
      <c r="AV36" s="13"/>
      <c r="AW36" s="13"/>
      <c r="AX36" s="13"/>
      <c r="AY36" s="13"/>
      <c r="AZ36" s="13"/>
      <c r="BA36" s="13"/>
      <c r="BB36" s="13"/>
      <c r="BC36" s="13"/>
      <c r="BD36" s="13"/>
      <c r="BE36" s="13"/>
      <c r="BF36" s="13"/>
      <c r="BG36" s="13"/>
      <c r="BH36" s="13"/>
      <c r="BI36" s="13"/>
      <c r="BJ36" s="13"/>
      <c r="BK36" s="13"/>
      <c r="BL36" s="13"/>
      <c r="BM36" s="13"/>
      <c r="BN36" s="13"/>
      <c r="BO36" s="13"/>
      <c r="BP36" s="13"/>
      <c r="BQ36" s="13"/>
      <c r="BR36" s="13"/>
      <c r="BS36" s="13"/>
      <c r="BT36" s="13"/>
      <c r="BU36" s="13"/>
      <c r="BV36" s="13"/>
      <c r="BW36" s="13"/>
      <c r="BX36" s="13"/>
      <c r="BY36" s="13"/>
      <c r="BZ36" s="13"/>
      <c r="CA36" s="13"/>
      <c r="CB36" s="13"/>
      <c r="CC36" s="13"/>
      <c r="CD36" s="13"/>
      <c r="CE36" s="13"/>
      <c r="CF36" s="13"/>
      <c r="CG36" s="13"/>
      <c r="CH36" s="13"/>
      <c r="CI36" s="13"/>
      <c r="CJ36" s="13"/>
      <c r="CK36" s="13"/>
      <c r="CL36" s="13"/>
      <c r="CM36" s="13"/>
      <c r="CN36" s="13"/>
      <c r="CO36" s="13"/>
      <c r="CP36" s="13"/>
      <c r="CQ36" s="13"/>
      <c r="CR36" s="13"/>
      <c r="CS36" s="13"/>
      <c r="CT36" s="13"/>
      <c r="CU36" s="13"/>
      <c r="CV36" s="13"/>
      <c r="CW36" s="13"/>
      <c r="CX36" s="13"/>
      <c r="CY36" s="13"/>
      <c r="CZ36" s="13"/>
      <c r="DA36" s="13"/>
      <c r="DB36" s="13"/>
      <c r="DC36" s="13"/>
      <c r="DD36" s="13"/>
      <c r="DE36" s="13"/>
      <c r="DF36" s="13"/>
      <c r="DG36" s="13"/>
      <c r="DH36" s="13"/>
      <c r="DI36" s="13"/>
      <c r="DJ36" s="13"/>
      <c r="DK36" s="13"/>
      <c r="DL36" s="13"/>
      <c r="DM36" s="13"/>
      <c r="DN36" s="13"/>
      <c r="DO36" s="13"/>
      <c r="DP36" s="13"/>
      <c r="DQ36" s="13"/>
      <c r="DR36" s="13"/>
      <c r="DS36" s="13"/>
      <c r="DT36" s="13"/>
      <c r="DU36" s="13"/>
      <c r="DV36" s="13"/>
      <c r="DW36" s="13"/>
    </row>
    <row r="37" spans="1:127">
      <c r="A37" s="13" t="str">
        <f>Schedule_Data!A38</f>
        <v>STORE-125</v>
      </c>
      <c r="B37" s="13" t="str">
        <f>Schedule_Data!B38</f>
        <v>3.0</v>
      </c>
      <c r="C37" s="13" t="str">
        <f>Schedule_Data!C38</f>
        <v>Unload &amp; store TR3 laydown</v>
      </c>
      <c r="D37" s="22" t="str">
        <f>Schedule_Data!D38</f>
        <v>BUFFER</v>
      </c>
      <c r="E37" s="33">
        <f>Schedule_Data!F38</f>
        <v>46072</v>
      </c>
      <c r="F37" s="33">
        <f>Schedule_Data!G38</f>
        <v>46072</v>
      </c>
      <c r="G37" s="13">
        <f>Schedule_Data!H38</f>
        <v>0</v>
      </c>
      <c r="H37" s="13"/>
      <c r="I37" s="13"/>
      <c r="J37" s="13"/>
      <c r="K37" s="13"/>
      <c r="L37" s="13"/>
      <c r="M37" s="13"/>
      <c r="N37" s="13"/>
      <c r="O37" s="13"/>
      <c r="P37" s="13"/>
      <c r="Q37" s="13"/>
      <c r="R37" s="13"/>
      <c r="S37" s="13"/>
      <c r="T37" s="13"/>
      <c r="U37" s="13"/>
      <c r="V37" s="13"/>
      <c r="W37" s="13"/>
      <c r="X37" s="13"/>
      <c r="Y37" s="13"/>
      <c r="Z37" s="13"/>
      <c r="AA37" s="13"/>
      <c r="AB37" s="13"/>
      <c r="AC37" s="13"/>
      <c r="AD37" s="13"/>
      <c r="AE37" s="13"/>
      <c r="AF37" s="13"/>
      <c r="AG37" s="13"/>
      <c r="AH37" s="13"/>
      <c r="AI37" s="13"/>
      <c r="AJ37" s="13"/>
      <c r="AK37" s="13"/>
      <c r="AL37" s="13"/>
      <c r="AM37" s="13"/>
      <c r="AN37" s="13"/>
      <c r="AO37" s="13"/>
      <c r="AP37" s="13"/>
      <c r="AQ37" s="22"/>
      <c r="AR37" s="13"/>
      <c r="AS37" s="13"/>
      <c r="AT37" s="13"/>
      <c r="AU37" s="13"/>
      <c r="AV37" s="13"/>
      <c r="AW37" s="13"/>
      <c r="AX37" s="13"/>
      <c r="AY37" s="13"/>
      <c r="AZ37" s="13"/>
      <c r="BA37" s="13"/>
      <c r="BB37" s="13"/>
      <c r="BC37" s="13"/>
      <c r="BD37" s="13"/>
      <c r="BE37" s="13"/>
      <c r="BF37" s="13"/>
      <c r="BG37" s="13"/>
      <c r="BH37" s="13"/>
      <c r="BI37" s="13"/>
      <c r="BJ37" s="13"/>
      <c r="BK37" s="13"/>
      <c r="BL37" s="13"/>
      <c r="BM37" s="13"/>
      <c r="BN37" s="13"/>
      <c r="BO37" s="13"/>
      <c r="BP37" s="13"/>
      <c r="BQ37" s="13"/>
      <c r="BR37" s="13"/>
      <c r="BS37" s="13"/>
      <c r="BT37" s="13"/>
      <c r="BU37" s="13"/>
      <c r="BV37" s="13"/>
      <c r="BW37" s="13"/>
      <c r="BX37" s="13"/>
      <c r="BY37" s="13"/>
      <c r="BZ37" s="13"/>
      <c r="CA37" s="13"/>
      <c r="CB37" s="13"/>
      <c r="CC37" s="13"/>
      <c r="CD37" s="13"/>
      <c r="CE37" s="13"/>
      <c r="CF37" s="13"/>
      <c r="CG37" s="13"/>
      <c r="CH37" s="13"/>
      <c r="CI37" s="13"/>
      <c r="CJ37" s="13"/>
      <c r="CK37" s="13"/>
      <c r="CL37" s="13"/>
      <c r="CM37" s="13"/>
      <c r="CN37" s="13"/>
      <c r="CO37" s="13"/>
      <c r="CP37" s="13"/>
      <c r="CQ37" s="13"/>
      <c r="CR37" s="13"/>
      <c r="CS37" s="13"/>
      <c r="CT37" s="13"/>
      <c r="CU37" s="13"/>
      <c r="CV37" s="13"/>
      <c r="CW37" s="13"/>
      <c r="CX37" s="13"/>
      <c r="CY37" s="13"/>
      <c r="CZ37" s="13"/>
      <c r="DA37" s="13"/>
      <c r="DB37" s="13"/>
      <c r="DC37" s="13"/>
      <c r="DD37" s="13"/>
      <c r="DE37" s="13"/>
      <c r="DF37" s="13"/>
      <c r="DG37" s="13"/>
      <c r="DH37" s="13"/>
      <c r="DI37" s="13"/>
      <c r="DJ37" s="13"/>
      <c r="DK37" s="13"/>
      <c r="DL37" s="13"/>
      <c r="DM37" s="13"/>
      <c r="DN37" s="13"/>
      <c r="DO37" s="13"/>
      <c r="DP37" s="13"/>
      <c r="DQ37" s="13"/>
      <c r="DR37" s="13"/>
      <c r="DS37" s="13"/>
      <c r="DT37" s="13"/>
      <c r="DU37" s="13"/>
      <c r="DV37" s="13"/>
      <c r="DW37" s="13"/>
    </row>
    <row r="38" spans="1:127">
      <c r="A38" s="13" t="str">
        <f>Schedule_Data!A39</f>
        <v>RET-126</v>
      </c>
      <c r="B38" s="13" t="str">
        <f>Schedule_Data!B39</f>
        <v>3.0</v>
      </c>
      <c r="C38" s="13" t="str">
        <f>Schedule_Data!C39</f>
        <v>LCT Return to MZP</v>
      </c>
      <c r="D38" s="25" t="str">
        <f>Schedule_Data!D39</f>
        <v>RETURN</v>
      </c>
      <c r="E38" s="33">
        <f>Schedule_Data!F39</f>
        <v>46073</v>
      </c>
      <c r="F38" s="33">
        <f>Schedule_Data!G39</f>
        <v>46073</v>
      </c>
      <c r="G38" s="13">
        <f>Schedule_Data!H39</f>
        <v>0</v>
      </c>
      <c r="H38" s="13"/>
      <c r="I38" s="13"/>
      <c r="J38" s="13"/>
      <c r="K38" s="13"/>
      <c r="L38" s="13"/>
      <c r="M38" s="13"/>
      <c r="N38" s="13"/>
      <c r="O38" s="13"/>
      <c r="P38" s="13"/>
      <c r="Q38" s="13"/>
      <c r="R38" s="13"/>
      <c r="S38" s="13"/>
      <c r="T38" s="13"/>
      <c r="U38" s="13"/>
      <c r="V38" s="13"/>
      <c r="W38" s="13"/>
      <c r="X38" s="13"/>
      <c r="Y38" s="13"/>
      <c r="Z38" s="13"/>
      <c r="AA38" s="13"/>
      <c r="AB38" s="13"/>
      <c r="AC38" s="13"/>
      <c r="AD38" s="13"/>
      <c r="AE38" s="13"/>
      <c r="AF38" s="13"/>
      <c r="AG38" s="13"/>
      <c r="AH38" s="13"/>
      <c r="AI38" s="13"/>
      <c r="AJ38" s="13"/>
      <c r="AK38" s="13"/>
      <c r="AL38" s="13"/>
      <c r="AM38" s="13"/>
      <c r="AN38" s="13"/>
      <c r="AO38" s="13"/>
      <c r="AP38" s="13"/>
      <c r="AQ38" s="13"/>
      <c r="AR38" s="40" t="s">
        <v>270</v>
      </c>
      <c r="AS38" s="13"/>
      <c r="AT38" s="13"/>
      <c r="AU38" s="13"/>
      <c r="AV38" s="13"/>
      <c r="AW38" s="13"/>
      <c r="AX38" s="13"/>
      <c r="AY38" s="13"/>
      <c r="AZ38" s="13"/>
      <c r="BA38" s="13"/>
      <c r="BB38" s="13"/>
      <c r="BC38" s="13"/>
      <c r="BD38" s="13"/>
      <c r="BE38" s="13"/>
      <c r="BF38" s="13"/>
      <c r="BG38" s="13"/>
      <c r="BH38" s="13"/>
      <c r="BI38" s="13"/>
      <c r="BJ38" s="13"/>
      <c r="BK38" s="13"/>
      <c r="BL38" s="13"/>
      <c r="BM38" s="13"/>
      <c r="BN38" s="13"/>
      <c r="BO38" s="13"/>
      <c r="BP38" s="13"/>
      <c r="BQ38" s="13"/>
      <c r="BR38" s="13"/>
      <c r="BS38" s="13"/>
      <c r="BT38" s="13"/>
      <c r="BU38" s="13"/>
      <c r="BV38" s="13"/>
      <c r="BW38" s="13"/>
      <c r="BX38" s="13"/>
      <c r="BY38" s="13"/>
      <c r="BZ38" s="13"/>
      <c r="CA38" s="13"/>
      <c r="CB38" s="13"/>
      <c r="CC38" s="13"/>
      <c r="CD38" s="13"/>
      <c r="CE38" s="13"/>
      <c r="CF38" s="13"/>
      <c r="CG38" s="13"/>
      <c r="CH38" s="13"/>
      <c r="CI38" s="13"/>
      <c r="CJ38" s="13"/>
      <c r="CK38" s="13"/>
      <c r="CL38" s="13"/>
      <c r="CM38" s="13"/>
      <c r="CN38" s="13"/>
      <c r="CO38" s="13"/>
      <c r="CP38" s="13"/>
      <c r="CQ38" s="13"/>
      <c r="CR38" s="13"/>
      <c r="CS38" s="13"/>
      <c r="CT38" s="13"/>
      <c r="CU38" s="13"/>
      <c r="CV38" s="13"/>
      <c r="CW38" s="13"/>
      <c r="CX38" s="13"/>
      <c r="CY38" s="13"/>
      <c r="CZ38" s="13"/>
      <c r="DA38" s="13"/>
      <c r="DB38" s="13"/>
      <c r="DC38" s="13"/>
      <c r="DD38" s="13"/>
      <c r="DE38" s="13"/>
      <c r="DF38" s="13"/>
      <c r="DG38" s="13"/>
      <c r="DH38" s="13"/>
      <c r="DI38" s="13"/>
      <c r="DJ38" s="13"/>
      <c r="DK38" s="13"/>
      <c r="DL38" s="13"/>
      <c r="DM38" s="13"/>
      <c r="DN38" s="13"/>
      <c r="DO38" s="13"/>
      <c r="DP38" s="13"/>
      <c r="DQ38" s="13"/>
      <c r="DR38" s="13"/>
      <c r="DS38" s="13"/>
      <c r="DT38" s="13"/>
      <c r="DU38" s="13"/>
      <c r="DV38" s="13"/>
      <c r="DW38" s="13"/>
    </row>
    <row r="39" spans="1:127">
      <c r="A39" s="13" t="str">
        <f>Schedule_Data!A40</f>
        <v>BUF-127</v>
      </c>
      <c r="B39" s="13" t="str">
        <f>Schedule_Data!B40</f>
        <v>3.0</v>
      </c>
      <c r="C39" s="13" t="str">
        <f>Schedule_Data!C40</f>
        <v>Buffer</v>
      </c>
      <c r="D39" s="22" t="str">
        <f>Schedule_Data!D40</f>
        <v>BUFFER</v>
      </c>
      <c r="E39" s="33">
        <f>Schedule_Data!F40</f>
        <v>46074</v>
      </c>
      <c r="F39" s="33">
        <f>Schedule_Data!G40</f>
        <v>46074</v>
      </c>
      <c r="G39" s="13">
        <f>Schedule_Data!H40</f>
        <v>0</v>
      </c>
      <c r="H39" s="13"/>
      <c r="I39" s="13"/>
      <c r="J39" s="13"/>
      <c r="K39" s="13"/>
      <c r="L39" s="13"/>
      <c r="M39" s="13"/>
      <c r="N39" s="13"/>
      <c r="O39" s="13"/>
      <c r="P39" s="13"/>
      <c r="Q39" s="13"/>
      <c r="R39" s="13"/>
      <c r="S39" s="13"/>
      <c r="T39" s="13"/>
      <c r="U39" s="13"/>
      <c r="V39" s="13"/>
      <c r="W39" s="13"/>
      <c r="X39" s="13"/>
      <c r="Y39" s="13"/>
      <c r="Z39" s="13"/>
      <c r="AA39" s="13"/>
      <c r="AB39" s="13"/>
      <c r="AC39" s="13"/>
      <c r="AD39" s="13"/>
      <c r="AE39" s="13"/>
      <c r="AF39" s="13"/>
      <c r="AG39" s="13"/>
      <c r="AH39" s="13"/>
      <c r="AI39" s="13"/>
      <c r="AJ39" s="13"/>
      <c r="AK39" s="13"/>
      <c r="AL39" s="13"/>
      <c r="AM39" s="13"/>
      <c r="AN39" s="13"/>
      <c r="AO39" s="13"/>
      <c r="AP39" s="13"/>
      <c r="AQ39" s="13"/>
      <c r="AR39" s="13"/>
      <c r="AS39" s="22"/>
      <c r="AT39" s="13"/>
      <c r="AU39" s="13"/>
      <c r="AV39" s="13"/>
      <c r="AW39" s="13"/>
      <c r="AX39" s="13"/>
      <c r="AY39" s="13"/>
      <c r="AZ39" s="13"/>
      <c r="BA39" s="13"/>
      <c r="BB39" s="13"/>
      <c r="BC39" s="13"/>
      <c r="BD39" s="13"/>
      <c r="BE39" s="13"/>
      <c r="BF39" s="13"/>
      <c r="BG39" s="13"/>
      <c r="BH39" s="13"/>
      <c r="BI39" s="13"/>
      <c r="BJ39" s="13"/>
      <c r="BK39" s="13"/>
      <c r="BL39" s="13"/>
      <c r="BM39" s="13"/>
      <c r="BN39" s="13"/>
      <c r="BO39" s="13"/>
      <c r="BP39" s="13"/>
      <c r="BQ39" s="13"/>
      <c r="BR39" s="13"/>
      <c r="BS39" s="13"/>
      <c r="BT39" s="13"/>
      <c r="BU39" s="13"/>
      <c r="BV39" s="13"/>
      <c r="BW39" s="13"/>
      <c r="BX39" s="13"/>
      <c r="BY39" s="13"/>
      <c r="BZ39" s="13"/>
      <c r="CA39" s="13"/>
      <c r="CB39" s="13"/>
      <c r="CC39" s="13"/>
      <c r="CD39" s="13"/>
      <c r="CE39" s="13"/>
      <c r="CF39" s="13"/>
      <c r="CG39" s="13"/>
      <c r="CH39" s="13"/>
      <c r="CI39" s="13"/>
      <c r="CJ39" s="13"/>
      <c r="CK39" s="13"/>
      <c r="CL39" s="13"/>
      <c r="CM39" s="13"/>
      <c r="CN39" s="13"/>
      <c r="CO39" s="13"/>
      <c r="CP39" s="13"/>
      <c r="CQ39" s="13"/>
      <c r="CR39" s="13"/>
      <c r="CS39" s="13"/>
      <c r="CT39" s="13"/>
      <c r="CU39" s="13"/>
      <c r="CV39" s="13"/>
      <c r="CW39" s="13"/>
      <c r="CX39" s="13"/>
      <c r="CY39" s="13"/>
      <c r="CZ39" s="13"/>
      <c r="DA39" s="13"/>
      <c r="DB39" s="13"/>
      <c r="DC39" s="13"/>
      <c r="DD39" s="13"/>
      <c r="DE39" s="13"/>
      <c r="DF39" s="13"/>
      <c r="DG39" s="13"/>
      <c r="DH39" s="13"/>
      <c r="DI39" s="13"/>
      <c r="DJ39" s="13"/>
      <c r="DK39" s="13"/>
      <c r="DL39" s="13"/>
      <c r="DM39" s="13"/>
      <c r="DN39" s="13"/>
      <c r="DO39" s="13"/>
      <c r="DP39" s="13"/>
      <c r="DQ39" s="13"/>
      <c r="DR39" s="13"/>
      <c r="DS39" s="13"/>
      <c r="DT39" s="13"/>
      <c r="DU39" s="13"/>
      <c r="DV39" s="13"/>
      <c r="DW39" s="13"/>
    </row>
    <row r="40" spans="1:127">
      <c r="A40" s="13" t="str">
        <f>Schedule_Data!A41</f>
        <v>V4</v>
      </c>
      <c r="B40" s="13" t="str">
        <f>Schedule_Data!B41</f>
        <v>4.0</v>
      </c>
      <c r="C40" s="13" t="str">
        <f>Schedule_Data!C41</f>
        <v>VOYAGE 4: TR4 Transport + JD-2</v>
      </c>
      <c r="D40" s="34" t="str">
        <f>Schedule_Data!D41</f>
        <v>MILESTONE</v>
      </c>
      <c r="E40" s="33">
        <f>Schedule_Data!F41</f>
        <v>46076</v>
      </c>
      <c r="F40" s="33">
        <f>Schedule_Data!G41</f>
        <v>46076</v>
      </c>
      <c r="G40" s="13">
        <f>Schedule_Data!H41</f>
        <v>0</v>
      </c>
      <c r="H40" s="13"/>
      <c r="I40" s="13"/>
      <c r="J40" s="13"/>
      <c r="K40" s="13"/>
      <c r="L40" s="13"/>
      <c r="M40" s="13"/>
      <c r="N40" s="13"/>
      <c r="O40" s="13"/>
      <c r="P40" s="13"/>
      <c r="Q40" s="13"/>
      <c r="R40" s="13"/>
      <c r="S40" s="13"/>
      <c r="T40" s="13"/>
      <c r="U40" s="13"/>
      <c r="V40" s="13"/>
      <c r="W40" s="13"/>
      <c r="X40" s="13"/>
      <c r="Y40" s="13"/>
      <c r="Z40" s="13"/>
      <c r="AA40" s="13"/>
      <c r="AB40" s="13"/>
      <c r="AC40" s="13"/>
      <c r="AD40" s="13"/>
      <c r="AE40" s="13"/>
      <c r="AF40" s="13"/>
      <c r="AG40" s="13"/>
      <c r="AH40" s="13"/>
      <c r="AI40" s="13"/>
      <c r="AJ40" s="13"/>
      <c r="AK40" s="13"/>
      <c r="AL40" s="13"/>
      <c r="AM40" s="13"/>
      <c r="AN40" s="13"/>
      <c r="AO40" s="13"/>
      <c r="AP40" s="13"/>
      <c r="AQ40" s="13"/>
      <c r="AR40" s="13"/>
      <c r="AS40" s="13"/>
      <c r="AT40" s="13"/>
      <c r="AU40" s="35" t="s">
        <v>270</v>
      </c>
      <c r="AV40" s="13"/>
      <c r="AW40" s="13"/>
      <c r="AX40" s="13"/>
      <c r="AY40" s="13"/>
      <c r="AZ40" s="13"/>
      <c r="BA40" s="13"/>
      <c r="BB40" s="13"/>
      <c r="BC40" s="13"/>
      <c r="BD40" s="13"/>
      <c r="BE40" s="13"/>
      <c r="BF40" s="13"/>
      <c r="BG40" s="13"/>
      <c r="BH40" s="13"/>
      <c r="BI40" s="13"/>
      <c r="BJ40" s="13"/>
      <c r="BK40" s="13"/>
      <c r="BL40" s="13"/>
      <c r="BM40" s="13"/>
      <c r="BN40" s="13"/>
      <c r="BO40" s="13"/>
      <c r="BP40" s="13"/>
      <c r="BQ40" s="13"/>
      <c r="BR40" s="13"/>
      <c r="BS40" s="13"/>
      <c r="BT40" s="13"/>
      <c r="BU40" s="13"/>
      <c r="BV40" s="13"/>
      <c r="BW40" s="13"/>
      <c r="BX40" s="13"/>
      <c r="BY40" s="13"/>
      <c r="BZ40" s="13"/>
      <c r="CA40" s="13"/>
      <c r="CB40" s="13"/>
      <c r="CC40" s="13"/>
      <c r="CD40" s="13"/>
      <c r="CE40" s="13"/>
      <c r="CF40" s="13"/>
      <c r="CG40" s="13"/>
      <c r="CH40" s="13"/>
      <c r="CI40" s="13"/>
      <c r="CJ40" s="13"/>
      <c r="CK40" s="13"/>
      <c r="CL40" s="13"/>
      <c r="CM40" s="13"/>
      <c r="CN40" s="13"/>
      <c r="CO40" s="13"/>
      <c r="CP40" s="13"/>
      <c r="CQ40" s="13"/>
      <c r="CR40" s="13"/>
      <c r="CS40" s="13"/>
      <c r="CT40" s="13"/>
      <c r="CU40" s="13"/>
      <c r="CV40" s="13"/>
      <c r="CW40" s="13"/>
      <c r="CX40" s="13"/>
      <c r="CY40" s="13"/>
      <c r="CZ40" s="13"/>
      <c r="DA40" s="13"/>
      <c r="DB40" s="13"/>
      <c r="DC40" s="13"/>
      <c r="DD40" s="13"/>
      <c r="DE40" s="13"/>
      <c r="DF40" s="13"/>
      <c r="DG40" s="13"/>
      <c r="DH40" s="13"/>
      <c r="DI40" s="13"/>
      <c r="DJ40" s="13"/>
      <c r="DK40" s="13"/>
      <c r="DL40" s="13"/>
      <c r="DM40" s="13"/>
      <c r="DN40" s="13"/>
      <c r="DO40" s="13"/>
      <c r="DP40" s="13"/>
      <c r="DQ40" s="13"/>
      <c r="DR40" s="13"/>
      <c r="DS40" s="13"/>
      <c r="DT40" s="13"/>
      <c r="DU40" s="13"/>
      <c r="DV40" s="13"/>
      <c r="DW40" s="13"/>
    </row>
    <row r="41" spans="1:127">
      <c r="A41" s="13" t="str">
        <f>Schedule_Data!A42</f>
        <v>LO-128</v>
      </c>
      <c r="B41" s="13" t="str">
        <f>Schedule_Data!B42</f>
        <v>4.0</v>
      </c>
      <c r="C41" s="13" t="str">
        <f>Schedule_Data!C42</f>
        <v>Loadout TR4</v>
      </c>
      <c r="D41" s="20" t="str">
        <f>Schedule_Data!D42</f>
        <v>LOADOUT</v>
      </c>
      <c r="E41" s="33">
        <f>Schedule_Data!F42</f>
        <v>46076</v>
      </c>
      <c r="F41" s="33">
        <f>Schedule_Data!G42</f>
        <v>46076</v>
      </c>
      <c r="G41" s="13">
        <f>Schedule_Data!H42</f>
        <v>0</v>
      </c>
      <c r="H41" s="13"/>
      <c r="I41" s="13"/>
      <c r="J41" s="13"/>
      <c r="K41" s="13"/>
      <c r="L41" s="13"/>
      <c r="M41" s="13"/>
      <c r="N41" s="13"/>
      <c r="O41" s="13"/>
      <c r="P41" s="13"/>
      <c r="Q41" s="13"/>
      <c r="R41" s="13"/>
      <c r="S41" s="13"/>
      <c r="T41" s="13"/>
      <c r="U41" s="13"/>
      <c r="V41" s="13"/>
      <c r="W41" s="13"/>
      <c r="X41" s="13"/>
      <c r="Y41" s="13"/>
      <c r="Z41" s="13"/>
      <c r="AA41" s="13"/>
      <c r="AB41" s="13"/>
      <c r="AC41" s="13"/>
      <c r="AD41" s="13"/>
      <c r="AE41" s="13"/>
      <c r="AF41" s="13"/>
      <c r="AG41" s="13"/>
      <c r="AH41" s="13"/>
      <c r="AI41" s="13"/>
      <c r="AJ41" s="13"/>
      <c r="AK41" s="13"/>
      <c r="AL41" s="13"/>
      <c r="AM41" s="13"/>
      <c r="AN41" s="13"/>
      <c r="AO41" s="13"/>
      <c r="AP41" s="13"/>
      <c r="AQ41" s="13"/>
      <c r="AR41" s="13"/>
      <c r="AS41" s="13"/>
      <c r="AT41" s="13"/>
      <c r="AU41" s="20"/>
      <c r="AV41" s="13"/>
      <c r="AW41" s="13"/>
      <c r="AX41" s="13"/>
      <c r="AY41" s="13"/>
      <c r="AZ41" s="13"/>
      <c r="BA41" s="13"/>
      <c r="BB41" s="13"/>
      <c r="BC41" s="13"/>
      <c r="BD41" s="13"/>
      <c r="BE41" s="13"/>
      <c r="BF41" s="13"/>
      <c r="BG41" s="13"/>
      <c r="BH41" s="13"/>
      <c r="BI41" s="13"/>
      <c r="BJ41" s="13"/>
      <c r="BK41" s="13"/>
      <c r="BL41" s="13"/>
      <c r="BM41" s="13"/>
      <c r="BN41" s="13"/>
      <c r="BO41" s="13"/>
      <c r="BP41" s="13"/>
      <c r="BQ41" s="13"/>
      <c r="BR41" s="13"/>
      <c r="BS41" s="13"/>
      <c r="BT41" s="13"/>
      <c r="BU41" s="13"/>
      <c r="BV41" s="13"/>
      <c r="BW41" s="13"/>
      <c r="BX41" s="13"/>
      <c r="BY41" s="13"/>
      <c r="BZ41" s="13"/>
      <c r="CA41" s="13"/>
      <c r="CB41" s="13"/>
      <c r="CC41" s="13"/>
      <c r="CD41" s="13"/>
      <c r="CE41" s="13"/>
      <c r="CF41" s="13"/>
      <c r="CG41" s="13"/>
      <c r="CH41" s="13"/>
      <c r="CI41" s="13"/>
      <c r="CJ41" s="13"/>
      <c r="CK41" s="13"/>
      <c r="CL41" s="13"/>
      <c r="CM41" s="13"/>
      <c r="CN41" s="13"/>
      <c r="CO41" s="13"/>
      <c r="CP41" s="13"/>
      <c r="CQ41" s="13"/>
      <c r="CR41" s="13"/>
      <c r="CS41" s="13"/>
      <c r="CT41" s="13"/>
      <c r="CU41" s="13"/>
      <c r="CV41" s="13"/>
      <c r="CW41" s="13"/>
      <c r="CX41" s="13"/>
      <c r="CY41" s="13"/>
      <c r="CZ41" s="13"/>
      <c r="DA41" s="13"/>
      <c r="DB41" s="13"/>
      <c r="DC41" s="13"/>
      <c r="DD41" s="13"/>
      <c r="DE41" s="13"/>
      <c r="DF41" s="13"/>
      <c r="DG41" s="13"/>
      <c r="DH41" s="13"/>
      <c r="DI41" s="13"/>
      <c r="DJ41" s="13"/>
      <c r="DK41" s="13"/>
      <c r="DL41" s="13"/>
      <c r="DM41" s="13"/>
      <c r="DN41" s="13"/>
      <c r="DO41" s="13"/>
      <c r="DP41" s="13"/>
      <c r="DQ41" s="13"/>
      <c r="DR41" s="13"/>
      <c r="DS41" s="13"/>
      <c r="DT41" s="13"/>
      <c r="DU41" s="13"/>
      <c r="DV41" s="13"/>
      <c r="DW41" s="13"/>
    </row>
    <row r="42" spans="1:127">
      <c r="A42" s="13" t="str">
        <f>Schedule_Data!A43</f>
        <v>SF-129</v>
      </c>
      <c r="B42" s="13" t="str">
        <f>Schedule_Data!B43</f>
        <v>4.0</v>
      </c>
      <c r="C42" s="13" t="str">
        <f>Schedule_Data!C43</f>
        <v>Sea fastening TR4</v>
      </c>
      <c r="D42" s="21" t="str">
        <f>Schedule_Data!D43</f>
        <v>SEAFAST</v>
      </c>
      <c r="E42" s="33">
        <f>Schedule_Data!F43</f>
        <v>46077</v>
      </c>
      <c r="F42" s="33">
        <f>Schedule_Data!G43</f>
        <v>46077</v>
      </c>
      <c r="G42" s="13">
        <f>Schedule_Data!H43</f>
        <v>0</v>
      </c>
      <c r="H42" s="13"/>
      <c r="I42" s="13"/>
      <c r="J42" s="13"/>
      <c r="K42" s="13"/>
      <c r="L42" s="13"/>
      <c r="M42" s="13"/>
      <c r="N42" s="13"/>
      <c r="O42" s="13"/>
      <c r="P42" s="13"/>
      <c r="Q42" s="13"/>
      <c r="R42" s="13"/>
      <c r="S42" s="13"/>
      <c r="T42" s="13"/>
      <c r="U42" s="13"/>
      <c r="V42" s="13"/>
      <c r="W42" s="13"/>
      <c r="X42" s="13"/>
      <c r="Y42" s="13"/>
      <c r="Z42" s="13"/>
      <c r="AA42" s="13"/>
      <c r="AB42" s="13"/>
      <c r="AC42" s="13"/>
      <c r="AD42" s="13"/>
      <c r="AE42" s="13"/>
      <c r="AF42" s="13"/>
      <c r="AG42" s="13"/>
      <c r="AH42" s="13"/>
      <c r="AI42" s="13"/>
      <c r="AJ42" s="13"/>
      <c r="AK42" s="13"/>
      <c r="AL42" s="13"/>
      <c r="AM42" s="13"/>
      <c r="AN42" s="13"/>
      <c r="AO42" s="13"/>
      <c r="AP42" s="13"/>
      <c r="AQ42" s="13"/>
      <c r="AR42" s="13"/>
      <c r="AS42" s="13"/>
      <c r="AT42" s="13"/>
      <c r="AU42" s="13"/>
      <c r="AV42" s="36" t="s">
        <v>270</v>
      </c>
      <c r="AW42" s="13"/>
      <c r="AX42" s="13"/>
      <c r="AY42" s="13"/>
      <c r="AZ42" s="13"/>
      <c r="BA42" s="13"/>
      <c r="BB42" s="13"/>
      <c r="BC42" s="13"/>
      <c r="BD42" s="13"/>
      <c r="BE42" s="13"/>
      <c r="BF42" s="13"/>
      <c r="BG42" s="13"/>
      <c r="BH42" s="13"/>
      <c r="BI42" s="13"/>
      <c r="BJ42" s="13"/>
      <c r="BK42" s="13"/>
      <c r="BL42" s="13"/>
      <c r="BM42" s="13"/>
      <c r="BN42" s="13"/>
      <c r="BO42" s="13"/>
      <c r="BP42" s="13"/>
      <c r="BQ42" s="13"/>
      <c r="BR42" s="13"/>
      <c r="BS42" s="13"/>
      <c r="BT42" s="13"/>
      <c r="BU42" s="13"/>
      <c r="BV42" s="13"/>
      <c r="BW42" s="13"/>
      <c r="BX42" s="13"/>
      <c r="BY42" s="13"/>
      <c r="BZ42" s="13"/>
      <c r="CA42" s="13"/>
      <c r="CB42" s="13"/>
      <c r="CC42" s="13"/>
      <c r="CD42" s="13"/>
      <c r="CE42" s="13"/>
      <c r="CF42" s="13"/>
      <c r="CG42" s="13"/>
      <c r="CH42" s="13"/>
      <c r="CI42" s="13"/>
      <c r="CJ42" s="13"/>
      <c r="CK42" s="13"/>
      <c r="CL42" s="13"/>
      <c r="CM42" s="13"/>
      <c r="CN42" s="13"/>
      <c r="CO42" s="13"/>
      <c r="CP42" s="13"/>
      <c r="CQ42" s="13"/>
      <c r="CR42" s="13"/>
      <c r="CS42" s="13"/>
      <c r="CT42" s="13"/>
      <c r="CU42" s="13"/>
      <c r="CV42" s="13"/>
      <c r="CW42" s="13"/>
      <c r="CX42" s="13"/>
      <c r="CY42" s="13"/>
      <c r="CZ42" s="13"/>
      <c r="DA42" s="13"/>
      <c r="DB42" s="13"/>
      <c r="DC42" s="13"/>
      <c r="DD42" s="13"/>
      <c r="DE42" s="13"/>
      <c r="DF42" s="13"/>
      <c r="DG42" s="13"/>
      <c r="DH42" s="13"/>
      <c r="DI42" s="13"/>
      <c r="DJ42" s="13"/>
      <c r="DK42" s="13"/>
      <c r="DL42" s="13"/>
      <c r="DM42" s="13"/>
      <c r="DN42" s="13"/>
      <c r="DO42" s="13"/>
      <c r="DP42" s="13"/>
      <c r="DQ42" s="13"/>
      <c r="DR42" s="13"/>
      <c r="DS42" s="13"/>
      <c r="DT42" s="13"/>
      <c r="DU42" s="13"/>
      <c r="DV42" s="13"/>
      <c r="DW42" s="13"/>
    </row>
    <row r="43" spans="1:127">
      <c r="A43" s="13" t="str">
        <f>Schedule_Data!A44</f>
        <v>MWS-129A</v>
      </c>
      <c r="B43" s="13" t="str">
        <f>Schedule_Data!B44</f>
        <v>4.0</v>
      </c>
      <c r="C43" s="13" t="str">
        <f>Schedule_Data!C44</f>
        <v>MWS Survey + Final checks</v>
      </c>
      <c r="D43" s="22" t="str">
        <f>Schedule_Data!D44</f>
        <v>BUFFER</v>
      </c>
      <c r="E43" s="33">
        <f>Schedule_Data!F44</f>
        <v>46077</v>
      </c>
      <c r="F43" s="33">
        <f>Schedule_Data!G44</f>
        <v>46077</v>
      </c>
      <c r="G43" s="13">
        <f>Schedule_Data!H44</f>
        <v>0</v>
      </c>
      <c r="H43" s="13"/>
      <c r="I43" s="13"/>
      <c r="J43" s="13"/>
      <c r="K43" s="13"/>
      <c r="L43" s="13"/>
      <c r="M43" s="13"/>
      <c r="N43" s="13"/>
      <c r="O43" s="13"/>
      <c r="P43" s="13"/>
      <c r="Q43" s="13"/>
      <c r="R43" s="13"/>
      <c r="S43" s="13"/>
      <c r="T43" s="13"/>
      <c r="U43" s="13"/>
      <c r="V43" s="13"/>
      <c r="W43" s="13"/>
      <c r="X43" s="13"/>
      <c r="Y43" s="13"/>
      <c r="Z43" s="13"/>
      <c r="AA43" s="13"/>
      <c r="AB43" s="13"/>
      <c r="AC43" s="13"/>
      <c r="AD43" s="13"/>
      <c r="AE43" s="13"/>
      <c r="AF43" s="13"/>
      <c r="AG43" s="13"/>
      <c r="AH43" s="13"/>
      <c r="AI43" s="13"/>
      <c r="AJ43" s="13"/>
      <c r="AK43" s="13"/>
      <c r="AL43" s="13"/>
      <c r="AM43" s="13"/>
      <c r="AN43" s="13"/>
      <c r="AO43" s="13"/>
      <c r="AP43" s="13"/>
      <c r="AQ43" s="13"/>
      <c r="AR43" s="13"/>
      <c r="AS43" s="13"/>
      <c r="AT43" s="13"/>
      <c r="AU43" s="13"/>
      <c r="AV43" s="37" t="s">
        <v>270</v>
      </c>
      <c r="AW43" s="13"/>
      <c r="AX43" s="13"/>
      <c r="AY43" s="13"/>
      <c r="AZ43" s="13"/>
      <c r="BA43" s="13"/>
      <c r="BB43" s="13"/>
      <c r="BC43" s="13"/>
      <c r="BD43" s="13"/>
      <c r="BE43" s="13"/>
      <c r="BF43" s="13"/>
      <c r="BG43" s="13"/>
      <c r="BH43" s="13"/>
      <c r="BI43" s="13"/>
      <c r="BJ43" s="13"/>
      <c r="BK43" s="13"/>
      <c r="BL43" s="13"/>
      <c r="BM43" s="13"/>
      <c r="BN43" s="13"/>
      <c r="BO43" s="13"/>
      <c r="BP43" s="13"/>
      <c r="BQ43" s="13"/>
      <c r="BR43" s="13"/>
      <c r="BS43" s="13"/>
      <c r="BT43" s="13"/>
      <c r="BU43" s="13"/>
      <c r="BV43" s="13"/>
      <c r="BW43" s="13"/>
      <c r="BX43" s="13"/>
      <c r="BY43" s="13"/>
      <c r="BZ43" s="13"/>
      <c r="CA43" s="13"/>
      <c r="CB43" s="13"/>
      <c r="CC43" s="13"/>
      <c r="CD43" s="13"/>
      <c r="CE43" s="13"/>
      <c r="CF43" s="13"/>
      <c r="CG43" s="13"/>
      <c r="CH43" s="13"/>
      <c r="CI43" s="13"/>
      <c r="CJ43" s="13"/>
      <c r="CK43" s="13"/>
      <c r="CL43" s="13"/>
      <c r="CM43" s="13"/>
      <c r="CN43" s="13"/>
      <c r="CO43" s="13"/>
      <c r="CP43" s="13"/>
      <c r="CQ43" s="13"/>
      <c r="CR43" s="13"/>
      <c r="CS43" s="13"/>
      <c r="CT43" s="13"/>
      <c r="CU43" s="13"/>
      <c r="CV43" s="13"/>
      <c r="CW43" s="13"/>
      <c r="CX43" s="13"/>
      <c r="CY43" s="13"/>
      <c r="CZ43" s="13"/>
      <c r="DA43" s="13"/>
      <c r="DB43" s="13"/>
      <c r="DC43" s="13"/>
      <c r="DD43" s="13"/>
      <c r="DE43" s="13"/>
      <c r="DF43" s="13"/>
      <c r="DG43" s="13"/>
      <c r="DH43" s="13"/>
      <c r="DI43" s="13"/>
      <c r="DJ43" s="13"/>
      <c r="DK43" s="13"/>
      <c r="DL43" s="13"/>
      <c r="DM43" s="13"/>
      <c r="DN43" s="13"/>
      <c r="DO43" s="13"/>
      <c r="DP43" s="13"/>
      <c r="DQ43" s="13"/>
      <c r="DR43" s="13"/>
      <c r="DS43" s="13"/>
      <c r="DT43" s="13"/>
      <c r="DU43" s="13"/>
      <c r="DV43" s="13"/>
      <c r="DW43" s="13"/>
    </row>
    <row r="44" spans="1:127">
      <c r="A44" s="13" t="str">
        <f>Schedule_Data!A45</f>
        <v>SAIL-130</v>
      </c>
      <c r="B44" s="13" t="str">
        <f>Schedule_Data!B45</f>
        <v>4.0</v>
      </c>
      <c r="C44" s="13" t="str">
        <f>Schedule_Data!C45</f>
        <v>Sail-away</v>
      </c>
      <c r="D44" s="23" t="str">
        <f>Schedule_Data!D45</f>
        <v>SAIL</v>
      </c>
      <c r="E44" s="33">
        <f>Schedule_Data!F45</f>
        <v>46077</v>
      </c>
      <c r="F44" s="33">
        <f>Schedule_Data!G45</f>
        <v>46077</v>
      </c>
      <c r="G44" s="13">
        <f>Schedule_Data!H45</f>
        <v>0</v>
      </c>
      <c r="H44" s="13"/>
      <c r="I44" s="13"/>
      <c r="J44" s="13"/>
      <c r="K44" s="13"/>
      <c r="L44" s="13"/>
      <c r="M44" s="13"/>
      <c r="N44" s="13"/>
      <c r="O44" s="13"/>
      <c r="P44" s="13"/>
      <c r="Q44" s="13"/>
      <c r="R44" s="13"/>
      <c r="S44" s="13"/>
      <c r="T44" s="13"/>
      <c r="U44" s="13"/>
      <c r="V44" s="13"/>
      <c r="W44" s="13"/>
      <c r="X44" s="13"/>
      <c r="Y44" s="13"/>
      <c r="Z44" s="13"/>
      <c r="AA44" s="13"/>
      <c r="AB44" s="13"/>
      <c r="AC44" s="13"/>
      <c r="AD44" s="13"/>
      <c r="AE44" s="13"/>
      <c r="AF44" s="13"/>
      <c r="AG44" s="13"/>
      <c r="AH44" s="13"/>
      <c r="AI44" s="13"/>
      <c r="AJ44" s="13"/>
      <c r="AK44" s="13"/>
      <c r="AL44" s="13"/>
      <c r="AM44" s="13"/>
      <c r="AN44" s="13"/>
      <c r="AO44" s="13"/>
      <c r="AP44" s="13"/>
      <c r="AQ44" s="13"/>
      <c r="AR44" s="13"/>
      <c r="AS44" s="13"/>
      <c r="AT44" s="13"/>
      <c r="AU44" s="13"/>
      <c r="AV44" s="38" t="s">
        <v>270</v>
      </c>
      <c r="AW44" s="13"/>
      <c r="AX44" s="13"/>
      <c r="AY44" s="13"/>
      <c r="AZ44" s="13"/>
      <c r="BA44" s="13"/>
      <c r="BB44" s="13"/>
      <c r="BC44" s="13"/>
      <c r="BD44" s="13"/>
      <c r="BE44" s="13"/>
      <c r="BF44" s="13"/>
      <c r="BG44" s="13"/>
      <c r="BH44" s="13"/>
      <c r="BI44" s="13"/>
      <c r="BJ44" s="13"/>
      <c r="BK44" s="13"/>
      <c r="BL44" s="13"/>
      <c r="BM44" s="13"/>
      <c r="BN44" s="13"/>
      <c r="BO44" s="13"/>
      <c r="BP44" s="13"/>
      <c r="BQ44" s="13"/>
      <c r="BR44" s="13"/>
      <c r="BS44" s="13"/>
      <c r="BT44" s="13"/>
      <c r="BU44" s="13"/>
      <c r="BV44" s="13"/>
      <c r="BW44" s="13"/>
      <c r="BX44" s="13"/>
      <c r="BY44" s="13"/>
      <c r="BZ44" s="13"/>
      <c r="CA44" s="13"/>
      <c r="CB44" s="13"/>
      <c r="CC44" s="13"/>
      <c r="CD44" s="13"/>
      <c r="CE44" s="13"/>
      <c r="CF44" s="13"/>
      <c r="CG44" s="13"/>
      <c r="CH44" s="13"/>
      <c r="CI44" s="13"/>
      <c r="CJ44" s="13"/>
      <c r="CK44" s="13"/>
      <c r="CL44" s="13"/>
      <c r="CM44" s="13"/>
      <c r="CN44" s="13"/>
      <c r="CO44" s="13"/>
      <c r="CP44" s="13"/>
      <c r="CQ44" s="13"/>
      <c r="CR44" s="13"/>
      <c r="CS44" s="13"/>
      <c r="CT44" s="13"/>
      <c r="CU44" s="13"/>
      <c r="CV44" s="13"/>
      <c r="CW44" s="13"/>
      <c r="CX44" s="13"/>
      <c r="CY44" s="13"/>
      <c r="CZ44" s="13"/>
      <c r="DA44" s="13"/>
      <c r="DB44" s="13"/>
      <c r="DC44" s="13"/>
      <c r="DD44" s="13"/>
      <c r="DE44" s="13"/>
      <c r="DF44" s="13"/>
      <c r="DG44" s="13"/>
      <c r="DH44" s="13"/>
      <c r="DI44" s="13"/>
      <c r="DJ44" s="13"/>
      <c r="DK44" s="13"/>
      <c r="DL44" s="13"/>
      <c r="DM44" s="13"/>
      <c r="DN44" s="13"/>
      <c r="DO44" s="13"/>
      <c r="DP44" s="13"/>
      <c r="DQ44" s="13"/>
      <c r="DR44" s="13"/>
      <c r="DS44" s="13"/>
      <c r="DT44" s="13"/>
      <c r="DU44" s="13"/>
      <c r="DV44" s="13"/>
      <c r="DW44" s="13"/>
    </row>
    <row r="45" spans="1:127">
      <c r="A45" s="13" t="str">
        <f>Schedule_Data!A46</f>
        <v>ARR-131</v>
      </c>
      <c r="B45" s="13" t="str">
        <f>Schedule_Data!B46</f>
        <v>4.0</v>
      </c>
      <c r="C45" s="13" t="str">
        <f>Schedule_Data!C46</f>
        <v>Arrive/berth AGI</v>
      </c>
      <c r="D45" s="24" t="str">
        <f>Schedule_Data!D46</f>
        <v>AGI_UNLOAD</v>
      </c>
      <c r="E45" s="33">
        <f>Schedule_Data!F46</f>
        <v>46078</v>
      </c>
      <c r="F45" s="33">
        <f>Schedule_Data!G46</f>
        <v>46078</v>
      </c>
      <c r="G45" s="13">
        <f>Schedule_Data!H46</f>
        <v>0</v>
      </c>
      <c r="H45" s="13"/>
      <c r="I45" s="13"/>
      <c r="J45" s="13"/>
      <c r="K45" s="13"/>
      <c r="L45" s="13"/>
      <c r="M45" s="13"/>
      <c r="N45" s="13"/>
      <c r="O45" s="13"/>
      <c r="P45" s="13"/>
      <c r="Q45" s="13"/>
      <c r="R45" s="13"/>
      <c r="S45" s="13"/>
      <c r="T45" s="13"/>
      <c r="U45" s="13"/>
      <c r="V45" s="13"/>
      <c r="W45" s="13"/>
      <c r="X45" s="13"/>
      <c r="Y45" s="13"/>
      <c r="Z45" s="13"/>
      <c r="AA45" s="13"/>
      <c r="AB45" s="13"/>
      <c r="AC45" s="13"/>
      <c r="AD45" s="13"/>
      <c r="AE45" s="13"/>
      <c r="AF45" s="13"/>
      <c r="AG45" s="13"/>
      <c r="AH45" s="13"/>
      <c r="AI45" s="13"/>
      <c r="AJ45" s="13"/>
      <c r="AK45" s="13"/>
      <c r="AL45" s="13"/>
      <c r="AM45" s="13"/>
      <c r="AN45" s="13"/>
      <c r="AO45" s="13"/>
      <c r="AP45" s="13"/>
      <c r="AQ45" s="13"/>
      <c r="AR45" s="13"/>
      <c r="AS45" s="13"/>
      <c r="AT45" s="13"/>
      <c r="AU45" s="13"/>
      <c r="AV45" s="13"/>
      <c r="AW45" s="39" t="s">
        <v>270</v>
      </c>
      <c r="AX45" s="13"/>
      <c r="AY45" s="13"/>
      <c r="AZ45" s="13"/>
      <c r="BA45" s="13"/>
      <c r="BB45" s="13"/>
      <c r="BC45" s="13"/>
      <c r="BD45" s="13"/>
      <c r="BE45" s="13"/>
      <c r="BF45" s="13"/>
      <c r="BG45" s="13"/>
      <c r="BH45" s="13"/>
      <c r="BI45" s="13"/>
      <c r="BJ45" s="13"/>
      <c r="BK45" s="13"/>
      <c r="BL45" s="13"/>
      <c r="BM45" s="13"/>
      <c r="BN45" s="13"/>
      <c r="BO45" s="13"/>
      <c r="BP45" s="13"/>
      <c r="BQ45" s="13"/>
      <c r="BR45" s="13"/>
      <c r="BS45" s="13"/>
      <c r="BT45" s="13"/>
      <c r="BU45" s="13"/>
      <c r="BV45" s="13"/>
      <c r="BW45" s="13"/>
      <c r="BX45" s="13"/>
      <c r="BY45" s="13"/>
      <c r="BZ45" s="13"/>
      <c r="CA45" s="13"/>
      <c r="CB45" s="13"/>
      <c r="CC45" s="13"/>
      <c r="CD45" s="13"/>
      <c r="CE45" s="13"/>
      <c r="CF45" s="13"/>
      <c r="CG45" s="13"/>
      <c r="CH45" s="13"/>
      <c r="CI45" s="13"/>
      <c r="CJ45" s="13"/>
      <c r="CK45" s="13"/>
      <c r="CL45" s="13"/>
      <c r="CM45" s="13"/>
      <c r="CN45" s="13"/>
      <c r="CO45" s="13"/>
      <c r="CP45" s="13"/>
      <c r="CQ45" s="13"/>
      <c r="CR45" s="13"/>
      <c r="CS45" s="13"/>
      <c r="CT45" s="13"/>
      <c r="CU45" s="13"/>
      <c r="CV45" s="13"/>
      <c r="CW45" s="13"/>
      <c r="CX45" s="13"/>
      <c r="CY45" s="13"/>
      <c r="CZ45" s="13"/>
      <c r="DA45" s="13"/>
      <c r="DB45" s="13"/>
      <c r="DC45" s="13"/>
      <c r="DD45" s="13"/>
      <c r="DE45" s="13"/>
      <c r="DF45" s="13"/>
      <c r="DG45" s="13"/>
      <c r="DH45" s="13"/>
      <c r="DI45" s="13"/>
      <c r="DJ45" s="13"/>
      <c r="DK45" s="13"/>
      <c r="DL45" s="13"/>
      <c r="DM45" s="13"/>
      <c r="DN45" s="13"/>
      <c r="DO45" s="13"/>
      <c r="DP45" s="13"/>
      <c r="DQ45" s="13"/>
      <c r="DR45" s="13"/>
      <c r="DS45" s="13"/>
      <c r="DT45" s="13"/>
      <c r="DU45" s="13"/>
      <c r="DV45" s="13"/>
      <c r="DW45" s="13"/>
    </row>
    <row r="46" spans="1:127">
      <c r="A46" s="13" t="str">
        <f>Schedule_Data!A47</f>
        <v>TRN-132</v>
      </c>
      <c r="B46" s="13" t="str">
        <f>Schedule_Data!B47</f>
        <v>4.0</v>
      </c>
      <c r="C46" s="13" t="str">
        <f>Schedule_Data!C47</f>
        <v>Inland transport TR3 to Bay-3</v>
      </c>
      <c r="D46" s="26" t="str">
        <f>Schedule_Data!D47</f>
        <v>TURNING</v>
      </c>
      <c r="E46" s="33">
        <f>Schedule_Data!F47</f>
        <v>46079</v>
      </c>
      <c r="F46" s="33">
        <f>Schedule_Data!G47</f>
        <v>46079</v>
      </c>
      <c r="G46" s="13">
        <f>Schedule_Data!H47</f>
        <v>0</v>
      </c>
      <c r="H46" s="13"/>
      <c r="I46" s="13"/>
      <c r="J46" s="13"/>
      <c r="K46" s="13"/>
      <c r="L46" s="13"/>
      <c r="M46" s="13"/>
      <c r="N46" s="13"/>
      <c r="O46" s="13"/>
      <c r="P46" s="13"/>
      <c r="Q46" s="13"/>
      <c r="R46" s="13"/>
      <c r="S46" s="13"/>
      <c r="T46" s="13"/>
      <c r="U46" s="13"/>
      <c r="V46" s="13"/>
      <c r="W46" s="13"/>
      <c r="X46" s="13"/>
      <c r="Y46" s="13"/>
      <c r="Z46" s="13"/>
      <c r="AA46" s="13"/>
      <c r="AB46" s="13"/>
      <c r="AC46" s="13"/>
      <c r="AD46" s="13"/>
      <c r="AE46" s="13"/>
      <c r="AF46" s="13"/>
      <c r="AG46" s="13"/>
      <c r="AH46" s="13"/>
      <c r="AI46" s="13"/>
      <c r="AJ46" s="13"/>
      <c r="AK46" s="13"/>
      <c r="AL46" s="13"/>
      <c r="AM46" s="13"/>
      <c r="AN46" s="13"/>
      <c r="AO46" s="13"/>
      <c r="AP46" s="13"/>
      <c r="AQ46" s="13"/>
      <c r="AR46" s="13"/>
      <c r="AS46" s="13"/>
      <c r="AT46" s="13"/>
      <c r="AU46" s="13"/>
      <c r="AV46" s="13"/>
      <c r="AW46" s="13"/>
      <c r="AX46" s="26"/>
      <c r="AY46" s="13"/>
      <c r="AZ46" s="13"/>
      <c r="BA46" s="13"/>
      <c r="BB46" s="13"/>
      <c r="BC46" s="13"/>
      <c r="BD46" s="13"/>
      <c r="BE46" s="13"/>
      <c r="BF46" s="13"/>
      <c r="BG46" s="13"/>
      <c r="BH46" s="13"/>
      <c r="BI46" s="13"/>
      <c r="BJ46" s="13"/>
      <c r="BK46" s="13"/>
      <c r="BL46" s="13"/>
      <c r="BM46" s="13"/>
      <c r="BN46" s="13"/>
      <c r="BO46" s="13"/>
      <c r="BP46" s="13"/>
      <c r="BQ46" s="13"/>
      <c r="BR46" s="13"/>
      <c r="BS46" s="13"/>
      <c r="BT46" s="13"/>
      <c r="BU46" s="13"/>
      <c r="BV46" s="13"/>
      <c r="BW46" s="13"/>
      <c r="BX46" s="13"/>
      <c r="BY46" s="13"/>
      <c r="BZ46" s="13"/>
      <c r="CA46" s="13"/>
      <c r="CB46" s="13"/>
      <c r="CC46" s="13"/>
      <c r="CD46" s="13"/>
      <c r="CE46" s="13"/>
      <c r="CF46" s="13"/>
      <c r="CG46" s="13"/>
      <c r="CH46" s="13"/>
      <c r="CI46" s="13"/>
      <c r="CJ46" s="13"/>
      <c r="CK46" s="13"/>
      <c r="CL46" s="13"/>
      <c r="CM46" s="13"/>
      <c r="CN46" s="13"/>
      <c r="CO46" s="13"/>
      <c r="CP46" s="13"/>
      <c r="CQ46" s="13"/>
      <c r="CR46" s="13"/>
      <c r="CS46" s="13"/>
      <c r="CT46" s="13"/>
      <c r="CU46" s="13"/>
      <c r="CV46" s="13"/>
      <c r="CW46" s="13"/>
      <c r="CX46" s="13"/>
      <c r="CY46" s="13"/>
      <c r="CZ46" s="13"/>
      <c r="DA46" s="13"/>
      <c r="DB46" s="13"/>
      <c r="DC46" s="13"/>
      <c r="DD46" s="13"/>
      <c r="DE46" s="13"/>
      <c r="DF46" s="13"/>
      <c r="DG46" s="13"/>
      <c r="DH46" s="13"/>
      <c r="DI46" s="13"/>
      <c r="DJ46" s="13"/>
      <c r="DK46" s="13"/>
      <c r="DL46" s="13"/>
      <c r="DM46" s="13"/>
      <c r="DN46" s="13"/>
      <c r="DO46" s="13"/>
      <c r="DP46" s="13"/>
      <c r="DQ46" s="13"/>
      <c r="DR46" s="13"/>
      <c r="DS46" s="13"/>
      <c r="DT46" s="13"/>
      <c r="DU46" s="13"/>
      <c r="DV46" s="13"/>
      <c r="DW46" s="13"/>
    </row>
    <row r="47" spans="1:127">
      <c r="A47" s="13" t="str">
        <f>Schedule_Data!A48</f>
        <v>TURN-133</v>
      </c>
      <c r="B47" s="13" t="str">
        <f>Schedule_Data!B48</f>
        <v>4.0</v>
      </c>
      <c r="C47" s="13" t="str">
        <f>Schedule_Data!C48</f>
        <v>Turn TR3 orientation (Bay-3)</v>
      </c>
      <c r="D47" s="26" t="str">
        <f>Schedule_Data!D48</f>
        <v>TURNING</v>
      </c>
      <c r="E47" s="33">
        <f>Schedule_Data!F48</f>
        <v>46080</v>
      </c>
      <c r="F47" s="33">
        <f>Schedule_Data!G48</f>
        <v>46080</v>
      </c>
      <c r="G47" s="13">
        <f>Schedule_Data!H48</f>
        <v>0</v>
      </c>
      <c r="H47" s="13"/>
      <c r="I47" s="13"/>
      <c r="J47" s="13"/>
      <c r="K47" s="13"/>
      <c r="L47" s="13"/>
      <c r="M47" s="13"/>
      <c r="N47" s="13"/>
      <c r="O47" s="13"/>
      <c r="P47" s="13"/>
      <c r="Q47" s="13"/>
      <c r="R47" s="13"/>
      <c r="S47" s="13"/>
      <c r="T47" s="13"/>
      <c r="U47" s="13"/>
      <c r="V47" s="13"/>
      <c r="W47" s="13"/>
      <c r="X47" s="13"/>
      <c r="Y47" s="13"/>
      <c r="Z47" s="13"/>
      <c r="AA47" s="13"/>
      <c r="AB47" s="13"/>
      <c r="AC47" s="13"/>
      <c r="AD47" s="13"/>
      <c r="AE47" s="13"/>
      <c r="AF47" s="13"/>
      <c r="AG47" s="13"/>
      <c r="AH47" s="13"/>
      <c r="AI47" s="13"/>
      <c r="AJ47" s="13"/>
      <c r="AK47" s="13"/>
      <c r="AL47" s="13"/>
      <c r="AM47" s="13"/>
      <c r="AN47" s="13"/>
      <c r="AO47" s="13"/>
      <c r="AP47" s="13"/>
      <c r="AQ47" s="13"/>
      <c r="AR47" s="13"/>
      <c r="AS47" s="13"/>
      <c r="AT47" s="13"/>
      <c r="AU47" s="13"/>
      <c r="AV47" s="13"/>
      <c r="AW47" s="13"/>
      <c r="AX47" s="13"/>
      <c r="AY47" s="41" t="s">
        <v>270</v>
      </c>
      <c r="AZ47" s="13"/>
      <c r="BA47" s="13"/>
      <c r="BB47" s="13"/>
      <c r="BC47" s="13"/>
      <c r="BD47" s="13"/>
      <c r="BE47" s="13"/>
      <c r="BF47" s="13"/>
      <c r="BG47" s="13"/>
      <c r="BH47" s="13"/>
      <c r="BI47" s="13"/>
      <c r="BJ47" s="13"/>
      <c r="BK47" s="13"/>
      <c r="BL47" s="13"/>
      <c r="BM47" s="13"/>
      <c r="BN47" s="13"/>
      <c r="BO47" s="13"/>
      <c r="BP47" s="13"/>
      <c r="BQ47" s="13"/>
      <c r="BR47" s="13"/>
      <c r="BS47" s="13"/>
      <c r="BT47" s="13"/>
      <c r="BU47" s="13"/>
      <c r="BV47" s="13"/>
      <c r="BW47" s="13"/>
      <c r="BX47" s="13"/>
      <c r="BY47" s="13"/>
      <c r="BZ47" s="13"/>
      <c r="CA47" s="13"/>
      <c r="CB47" s="13"/>
      <c r="CC47" s="13"/>
      <c r="CD47" s="13"/>
      <c r="CE47" s="13"/>
      <c r="CF47" s="13"/>
      <c r="CG47" s="13"/>
      <c r="CH47" s="13"/>
      <c r="CI47" s="13"/>
      <c r="CJ47" s="13"/>
      <c r="CK47" s="13"/>
      <c r="CL47" s="13"/>
      <c r="CM47" s="13"/>
      <c r="CN47" s="13"/>
      <c r="CO47" s="13"/>
      <c r="CP47" s="13"/>
      <c r="CQ47" s="13"/>
      <c r="CR47" s="13"/>
      <c r="CS47" s="13"/>
      <c r="CT47" s="13"/>
      <c r="CU47" s="13"/>
      <c r="CV47" s="13"/>
      <c r="CW47" s="13"/>
      <c r="CX47" s="13"/>
      <c r="CY47" s="13"/>
      <c r="CZ47" s="13"/>
      <c r="DA47" s="13"/>
      <c r="DB47" s="13"/>
      <c r="DC47" s="13"/>
      <c r="DD47" s="13"/>
      <c r="DE47" s="13"/>
      <c r="DF47" s="13"/>
      <c r="DG47" s="13"/>
      <c r="DH47" s="13"/>
      <c r="DI47" s="13"/>
      <c r="DJ47" s="13"/>
      <c r="DK47" s="13"/>
      <c r="DL47" s="13"/>
      <c r="DM47" s="13"/>
      <c r="DN47" s="13"/>
      <c r="DO47" s="13"/>
      <c r="DP47" s="13"/>
      <c r="DQ47" s="13"/>
      <c r="DR47" s="13"/>
      <c r="DS47" s="13"/>
      <c r="DT47" s="13"/>
      <c r="DU47" s="13"/>
      <c r="DV47" s="13"/>
      <c r="DW47" s="13"/>
    </row>
    <row r="48" spans="1:127">
      <c r="A48" s="13" t="str">
        <f>Schedule_Data!A49</f>
        <v>BUF-134</v>
      </c>
      <c r="B48" s="13" t="str">
        <f>Schedule_Data!B49</f>
        <v>4.0</v>
      </c>
      <c r="C48" s="13" t="str">
        <f>Schedule_Data!C49</f>
        <v>TR3 Laydown buffer</v>
      </c>
      <c r="D48" s="22" t="str">
        <f>Schedule_Data!D49</f>
        <v>BUFFER</v>
      </c>
      <c r="E48" s="33">
        <f>Schedule_Data!F49</f>
        <v>46080</v>
      </c>
      <c r="F48" s="33">
        <f>Schedule_Data!G49</f>
        <v>46080</v>
      </c>
      <c r="G48" s="13">
        <f>Schedule_Data!H49</f>
        <v>0</v>
      </c>
      <c r="H48" s="13"/>
      <c r="I48" s="13"/>
      <c r="J48" s="13"/>
      <c r="K48" s="13"/>
      <c r="L48" s="13"/>
      <c r="M48" s="13"/>
      <c r="N48" s="13"/>
      <c r="O48" s="13"/>
      <c r="P48" s="13"/>
      <c r="Q48" s="13"/>
      <c r="R48" s="13"/>
      <c r="S48" s="13"/>
      <c r="T48" s="13"/>
      <c r="U48" s="13"/>
      <c r="V48" s="13"/>
      <c r="W48" s="13"/>
      <c r="X48" s="13"/>
      <c r="Y48" s="13"/>
      <c r="Z48" s="13"/>
      <c r="AA48" s="13"/>
      <c r="AB48" s="13"/>
      <c r="AC48" s="13"/>
      <c r="AD48" s="13"/>
      <c r="AE48" s="13"/>
      <c r="AF48" s="13"/>
      <c r="AG48" s="13"/>
      <c r="AH48" s="13"/>
      <c r="AI48" s="13"/>
      <c r="AJ48" s="13"/>
      <c r="AK48" s="13"/>
      <c r="AL48" s="13"/>
      <c r="AM48" s="13"/>
      <c r="AN48" s="13"/>
      <c r="AO48" s="13"/>
      <c r="AP48" s="13"/>
      <c r="AQ48" s="13"/>
      <c r="AR48" s="13"/>
      <c r="AS48" s="13"/>
      <c r="AT48" s="13"/>
      <c r="AU48" s="13"/>
      <c r="AV48" s="13"/>
      <c r="AW48" s="13"/>
      <c r="AX48" s="13"/>
      <c r="AY48" s="22"/>
      <c r="AZ48" s="13"/>
      <c r="BA48" s="13"/>
      <c r="BB48" s="13"/>
      <c r="BC48" s="13"/>
      <c r="BD48" s="13"/>
      <c r="BE48" s="13"/>
      <c r="BF48" s="13"/>
      <c r="BG48" s="13"/>
      <c r="BH48" s="13"/>
      <c r="BI48" s="13"/>
      <c r="BJ48" s="13"/>
      <c r="BK48" s="13"/>
      <c r="BL48" s="13"/>
      <c r="BM48" s="13"/>
      <c r="BN48" s="13"/>
      <c r="BO48" s="13"/>
      <c r="BP48" s="13"/>
      <c r="BQ48" s="13"/>
      <c r="BR48" s="13"/>
      <c r="BS48" s="13"/>
      <c r="BT48" s="13"/>
      <c r="BU48" s="13"/>
      <c r="BV48" s="13"/>
      <c r="BW48" s="13"/>
      <c r="BX48" s="13"/>
      <c r="BY48" s="13"/>
      <c r="BZ48" s="13"/>
      <c r="CA48" s="13"/>
      <c r="CB48" s="13"/>
      <c r="CC48" s="13"/>
      <c r="CD48" s="13"/>
      <c r="CE48" s="13"/>
      <c r="CF48" s="13"/>
      <c r="CG48" s="13"/>
      <c r="CH48" s="13"/>
      <c r="CI48" s="13"/>
      <c r="CJ48" s="13"/>
      <c r="CK48" s="13"/>
      <c r="CL48" s="13"/>
      <c r="CM48" s="13"/>
      <c r="CN48" s="13"/>
      <c r="CO48" s="13"/>
      <c r="CP48" s="13"/>
      <c r="CQ48" s="13"/>
      <c r="CR48" s="13"/>
      <c r="CS48" s="13"/>
      <c r="CT48" s="13"/>
      <c r="CU48" s="13"/>
      <c r="CV48" s="13"/>
      <c r="CW48" s="13"/>
      <c r="CX48" s="13"/>
      <c r="CY48" s="13"/>
      <c r="CZ48" s="13"/>
      <c r="DA48" s="13"/>
      <c r="DB48" s="13"/>
      <c r="DC48" s="13"/>
      <c r="DD48" s="13"/>
      <c r="DE48" s="13"/>
      <c r="DF48" s="13"/>
      <c r="DG48" s="13"/>
      <c r="DH48" s="13"/>
      <c r="DI48" s="13"/>
      <c r="DJ48" s="13"/>
      <c r="DK48" s="13"/>
      <c r="DL48" s="13"/>
      <c r="DM48" s="13"/>
      <c r="DN48" s="13"/>
      <c r="DO48" s="13"/>
      <c r="DP48" s="13"/>
      <c r="DQ48" s="13"/>
      <c r="DR48" s="13"/>
      <c r="DS48" s="13"/>
      <c r="DT48" s="13"/>
      <c r="DU48" s="13"/>
      <c r="DV48" s="13"/>
      <c r="DW48" s="13"/>
    </row>
    <row r="49" spans="1:127">
      <c r="A49" s="13" t="str">
        <f>Schedule_Data!A50</f>
        <v>TRN-135</v>
      </c>
      <c r="B49" s="13" t="str">
        <f>Schedule_Data!B50</f>
        <v>4.0</v>
      </c>
      <c r="C49" s="13" t="str">
        <f>Schedule_Data!C50</f>
        <v>Inland transport TR4 to Bay-4</v>
      </c>
      <c r="D49" s="26" t="str">
        <f>Schedule_Data!D50</f>
        <v>TURNING</v>
      </c>
      <c r="E49" s="33">
        <f>Schedule_Data!F50</f>
        <v>46080</v>
      </c>
      <c r="F49" s="33">
        <f>Schedule_Data!G50</f>
        <v>46080</v>
      </c>
      <c r="G49" s="13">
        <f>Schedule_Data!H50</f>
        <v>0</v>
      </c>
      <c r="H49" s="13"/>
      <c r="I49" s="13"/>
      <c r="J49" s="13"/>
      <c r="K49" s="13"/>
      <c r="L49" s="13"/>
      <c r="M49" s="13"/>
      <c r="N49" s="13"/>
      <c r="O49" s="13"/>
      <c r="P49" s="13"/>
      <c r="Q49" s="13"/>
      <c r="R49" s="13"/>
      <c r="S49" s="13"/>
      <c r="T49" s="13"/>
      <c r="U49" s="13"/>
      <c r="V49" s="13"/>
      <c r="W49" s="13"/>
      <c r="X49" s="13"/>
      <c r="Y49" s="13"/>
      <c r="Z49" s="13"/>
      <c r="AA49" s="13"/>
      <c r="AB49" s="13"/>
      <c r="AC49" s="13"/>
      <c r="AD49" s="13"/>
      <c r="AE49" s="13"/>
      <c r="AF49" s="13"/>
      <c r="AG49" s="13"/>
      <c r="AH49" s="13"/>
      <c r="AI49" s="13"/>
      <c r="AJ49" s="13"/>
      <c r="AK49" s="13"/>
      <c r="AL49" s="13"/>
      <c r="AM49" s="13"/>
      <c r="AN49" s="13"/>
      <c r="AO49" s="13"/>
      <c r="AP49" s="13"/>
      <c r="AQ49" s="13"/>
      <c r="AR49" s="13"/>
      <c r="AS49" s="13"/>
      <c r="AT49" s="13"/>
      <c r="AU49" s="13"/>
      <c r="AV49" s="13"/>
      <c r="AW49" s="13"/>
      <c r="AX49" s="13"/>
      <c r="AY49" s="26"/>
      <c r="AZ49" s="13"/>
      <c r="BA49" s="13"/>
      <c r="BB49" s="13"/>
      <c r="BC49" s="13"/>
      <c r="BD49" s="13"/>
      <c r="BE49" s="13"/>
      <c r="BF49" s="13"/>
      <c r="BG49" s="13"/>
      <c r="BH49" s="13"/>
      <c r="BI49" s="13"/>
      <c r="BJ49" s="13"/>
      <c r="BK49" s="13"/>
      <c r="BL49" s="13"/>
      <c r="BM49" s="13"/>
      <c r="BN49" s="13"/>
      <c r="BO49" s="13"/>
      <c r="BP49" s="13"/>
      <c r="BQ49" s="13"/>
      <c r="BR49" s="13"/>
      <c r="BS49" s="13"/>
      <c r="BT49" s="13"/>
      <c r="BU49" s="13"/>
      <c r="BV49" s="13"/>
      <c r="BW49" s="13"/>
      <c r="BX49" s="13"/>
      <c r="BY49" s="13"/>
      <c r="BZ49" s="13"/>
      <c r="CA49" s="13"/>
      <c r="CB49" s="13"/>
      <c r="CC49" s="13"/>
      <c r="CD49" s="13"/>
      <c r="CE49" s="13"/>
      <c r="CF49" s="13"/>
      <c r="CG49" s="13"/>
      <c r="CH49" s="13"/>
      <c r="CI49" s="13"/>
      <c r="CJ49" s="13"/>
      <c r="CK49" s="13"/>
      <c r="CL49" s="13"/>
      <c r="CM49" s="13"/>
      <c r="CN49" s="13"/>
      <c r="CO49" s="13"/>
      <c r="CP49" s="13"/>
      <c r="CQ49" s="13"/>
      <c r="CR49" s="13"/>
      <c r="CS49" s="13"/>
      <c r="CT49" s="13"/>
      <c r="CU49" s="13"/>
      <c r="CV49" s="13"/>
      <c r="CW49" s="13"/>
      <c r="CX49" s="13"/>
      <c r="CY49" s="13"/>
      <c r="CZ49" s="13"/>
      <c r="DA49" s="13"/>
      <c r="DB49" s="13"/>
      <c r="DC49" s="13"/>
      <c r="DD49" s="13"/>
      <c r="DE49" s="13"/>
      <c r="DF49" s="13"/>
      <c r="DG49" s="13"/>
      <c r="DH49" s="13"/>
      <c r="DI49" s="13"/>
      <c r="DJ49" s="13"/>
      <c r="DK49" s="13"/>
      <c r="DL49" s="13"/>
      <c r="DM49" s="13"/>
      <c r="DN49" s="13"/>
      <c r="DO49" s="13"/>
      <c r="DP49" s="13"/>
      <c r="DQ49" s="13"/>
      <c r="DR49" s="13"/>
      <c r="DS49" s="13"/>
      <c r="DT49" s="13"/>
      <c r="DU49" s="13"/>
      <c r="DV49" s="13"/>
      <c r="DW49" s="13"/>
    </row>
    <row r="50" spans="1:127">
      <c r="A50" s="13" t="str">
        <f>Schedule_Data!A51</f>
        <v>TURN-136</v>
      </c>
      <c r="B50" s="13" t="str">
        <f>Schedule_Data!B51</f>
        <v>4.0</v>
      </c>
      <c r="C50" s="13" t="str">
        <f>Schedule_Data!C51</f>
        <v>Turn TR4 orientation (Bay-4)</v>
      </c>
      <c r="D50" s="26" t="str">
        <f>Schedule_Data!D51</f>
        <v>TURNING</v>
      </c>
      <c r="E50" s="33">
        <f>Schedule_Data!F51</f>
        <v>46081</v>
      </c>
      <c r="F50" s="33">
        <f>Schedule_Data!G51</f>
        <v>46081</v>
      </c>
      <c r="G50" s="13">
        <f>Schedule_Data!H51</f>
        <v>0</v>
      </c>
      <c r="H50" s="13"/>
      <c r="I50" s="13"/>
      <c r="J50" s="13"/>
      <c r="K50" s="13"/>
      <c r="L50" s="13"/>
      <c r="M50" s="13"/>
      <c r="N50" s="13"/>
      <c r="O50" s="13"/>
      <c r="P50" s="13"/>
      <c r="Q50" s="13"/>
      <c r="R50" s="13"/>
      <c r="S50" s="13"/>
      <c r="T50" s="13"/>
      <c r="U50" s="13"/>
      <c r="V50" s="13"/>
      <c r="W50" s="13"/>
      <c r="X50" s="13"/>
      <c r="Y50" s="13"/>
      <c r="Z50" s="13"/>
      <c r="AA50" s="13"/>
      <c r="AB50" s="13"/>
      <c r="AC50" s="13"/>
      <c r="AD50" s="13"/>
      <c r="AE50" s="13"/>
      <c r="AF50" s="13"/>
      <c r="AG50" s="13"/>
      <c r="AH50" s="13"/>
      <c r="AI50" s="13"/>
      <c r="AJ50" s="13"/>
      <c r="AK50" s="13"/>
      <c r="AL50" s="13"/>
      <c r="AM50" s="13"/>
      <c r="AN50" s="13"/>
      <c r="AO50" s="13"/>
      <c r="AP50" s="13"/>
      <c r="AQ50" s="13"/>
      <c r="AR50" s="13"/>
      <c r="AS50" s="13"/>
      <c r="AT50" s="13"/>
      <c r="AU50" s="13"/>
      <c r="AV50" s="13"/>
      <c r="AW50" s="13"/>
      <c r="AX50" s="13"/>
      <c r="AY50" s="13"/>
      <c r="AZ50" s="41" t="s">
        <v>270</v>
      </c>
      <c r="BA50" s="13"/>
      <c r="BB50" s="13"/>
      <c r="BC50" s="13"/>
      <c r="BD50" s="13"/>
      <c r="BE50" s="13"/>
      <c r="BF50" s="13"/>
      <c r="BG50" s="13"/>
      <c r="BH50" s="13"/>
      <c r="BI50" s="13"/>
      <c r="BJ50" s="13"/>
      <c r="BK50" s="13"/>
      <c r="BL50" s="13"/>
      <c r="BM50" s="13"/>
      <c r="BN50" s="13"/>
      <c r="BO50" s="13"/>
      <c r="BP50" s="13"/>
      <c r="BQ50" s="13"/>
      <c r="BR50" s="13"/>
      <c r="BS50" s="13"/>
      <c r="BT50" s="13"/>
      <c r="BU50" s="13"/>
      <c r="BV50" s="13"/>
      <c r="BW50" s="13"/>
      <c r="BX50" s="13"/>
      <c r="BY50" s="13"/>
      <c r="BZ50" s="13"/>
      <c r="CA50" s="13"/>
      <c r="CB50" s="13"/>
      <c r="CC50" s="13"/>
      <c r="CD50" s="13"/>
      <c r="CE50" s="13"/>
      <c r="CF50" s="13"/>
      <c r="CG50" s="13"/>
      <c r="CH50" s="13"/>
      <c r="CI50" s="13"/>
      <c r="CJ50" s="13"/>
      <c r="CK50" s="13"/>
      <c r="CL50" s="13"/>
      <c r="CM50" s="13"/>
      <c r="CN50" s="13"/>
      <c r="CO50" s="13"/>
      <c r="CP50" s="13"/>
      <c r="CQ50" s="13"/>
      <c r="CR50" s="13"/>
      <c r="CS50" s="13"/>
      <c r="CT50" s="13"/>
      <c r="CU50" s="13"/>
      <c r="CV50" s="13"/>
      <c r="CW50" s="13"/>
      <c r="CX50" s="13"/>
      <c r="CY50" s="13"/>
      <c r="CZ50" s="13"/>
      <c r="DA50" s="13"/>
      <c r="DB50" s="13"/>
      <c r="DC50" s="13"/>
      <c r="DD50" s="13"/>
      <c r="DE50" s="13"/>
      <c r="DF50" s="13"/>
      <c r="DG50" s="13"/>
      <c r="DH50" s="13"/>
      <c r="DI50" s="13"/>
      <c r="DJ50" s="13"/>
      <c r="DK50" s="13"/>
      <c r="DL50" s="13"/>
      <c r="DM50" s="13"/>
      <c r="DN50" s="13"/>
      <c r="DO50" s="13"/>
      <c r="DP50" s="13"/>
      <c r="DQ50" s="13"/>
      <c r="DR50" s="13"/>
      <c r="DS50" s="13"/>
      <c r="DT50" s="13"/>
      <c r="DU50" s="13"/>
      <c r="DV50" s="13"/>
      <c r="DW50" s="13"/>
    </row>
    <row r="51" spans="1:127">
      <c r="A51" s="13" t="str">
        <f>Schedule_Data!A52</f>
        <v>BUF-137</v>
      </c>
      <c r="B51" s="13" t="str">
        <f>Schedule_Data!B52</f>
        <v>4.0</v>
      </c>
      <c r="C51" s="13" t="str">
        <f>Schedule_Data!C52</f>
        <v>TR4 Laydown buffer</v>
      </c>
      <c r="D51" s="22" t="str">
        <f>Schedule_Data!D52</f>
        <v>BUFFER</v>
      </c>
      <c r="E51" s="33">
        <f>Schedule_Data!F52</f>
        <v>46081</v>
      </c>
      <c r="F51" s="33">
        <f>Schedule_Data!G52</f>
        <v>46081</v>
      </c>
      <c r="G51" s="13">
        <f>Schedule_Data!H52</f>
        <v>0</v>
      </c>
      <c r="H51" s="13"/>
      <c r="I51" s="13"/>
      <c r="J51" s="13"/>
      <c r="K51" s="13"/>
      <c r="L51" s="13"/>
      <c r="M51" s="13"/>
      <c r="N51" s="13"/>
      <c r="O51" s="13"/>
      <c r="P51" s="13"/>
      <c r="Q51" s="13"/>
      <c r="R51" s="13"/>
      <c r="S51" s="13"/>
      <c r="T51" s="13"/>
      <c r="U51" s="13"/>
      <c r="V51" s="13"/>
      <c r="W51" s="13"/>
      <c r="X51" s="13"/>
      <c r="Y51" s="13"/>
      <c r="Z51" s="13"/>
      <c r="AA51" s="13"/>
      <c r="AB51" s="13"/>
      <c r="AC51" s="13"/>
      <c r="AD51" s="13"/>
      <c r="AE51" s="13"/>
      <c r="AF51" s="13"/>
      <c r="AG51" s="13"/>
      <c r="AH51" s="13"/>
      <c r="AI51" s="13"/>
      <c r="AJ51" s="13"/>
      <c r="AK51" s="13"/>
      <c r="AL51" s="13"/>
      <c r="AM51" s="13"/>
      <c r="AN51" s="13"/>
      <c r="AO51" s="13"/>
      <c r="AP51" s="13"/>
      <c r="AQ51" s="13"/>
      <c r="AR51" s="13"/>
      <c r="AS51" s="13"/>
      <c r="AT51" s="13"/>
      <c r="AU51" s="13"/>
      <c r="AV51" s="13"/>
      <c r="AW51" s="13"/>
      <c r="AX51" s="13"/>
      <c r="AY51" s="13"/>
      <c r="AZ51" s="37" t="s">
        <v>270</v>
      </c>
      <c r="BA51" s="13"/>
      <c r="BB51" s="13"/>
      <c r="BC51" s="13"/>
      <c r="BD51" s="13"/>
      <c r="BE51" s="13"/>
      <c r="BF51" s="13"/>
      <c r="BG51" s="13"/>
      <c r="BH51" s="13"/>
      <c r="BI51" s="13"/>
      <c r="BJ51" s="13"/>
      <c r="BK51" s="13"/>
      <c r="BL51" s="13"/>
      <c r="BM51" s="13"/>
      <c r="BN51" s="13"/>
      <c r="BO51" s="13"/>
      <c r="BP51" s="13"/>
      <c r="BQ51" s="13"/>
      <c r="BR51" s="13"/>
      <c r="BS51" s="13"/>
      <c r="BT51" s="13"/>
      <c r="BU51" s="13"/>
      <c r="BV51" s="13"/>
      <c r="BW51" s="13"/>
      <c r="BX51" s="13"/>
      <c r="BY51" s="13"/>
      <c r="BZ51" s="13"/>
      <c r="CA51" s="13"/>
      <c r="CB51" s="13"/>
      <c r="CC51" s="13"/>
      <c r="CD51" s="13"/>
      <c r="CE51" s="13"/>
      <c r="CF51" s="13"/>
      <c r="CG51" s="13"/>
      <c r="CH51" s="13"/>
      <c r="CI51" s="13"/>
      <c r="CJ51" s="13"/>
      <c r="CK51" s="13"/>
      <c r="CL51" s="13"/>
      <c r="CM51" s="13"/>
      <c r="CN51" s="13"/>
      <c r="CO51" s="13"/>
      <c r="CP51" s="13"/>
      <c r="CQ51" s="13"/>
      <c r="CR51" s="13"/>
      <c r="CS51" s="13"/>
      <c r="CT51" s="13"/>
      <c r="CU51" s="13"/>
      <c r="CV51" s="13"/>
      <c r="CW51" s="13"/>
      <c r="CX51" s="13"/>
      <c r="CY51" s="13"/>
      <c r="CZ51" s="13"/>
      <c r="DA51" s="13"/>
      <c r="DB51" s="13"/>
      <c r="DC51" s="13"/>
      <c r="DD51" s="13"/>
      <c r="DE51" s="13"/>
      <c r="DF51" s="13"/>
      <c r="DG51" s="13"/>
      <c r="DH51" s="13"/>
      <c r="DI51" s="13"/>
      <c r="DJ51" s="13"/>
      <c r="DK51" s="13"/>
      <c r="DL51" s="13"/>
      <c r="DM51" s="13"/>
      <c r="DN51" s="13"/>
      <c r="DO51" s="13"/>
      <c r="DP51" s="13"/>
      <c r="DQ51" s="13"/>
      <c r="DR51" s="13"/>
      <c r="DS51" s="13"/>
      <c r="DT51" s="13"/>
      <c r="DU51" s="13"/>
      <c r="DV51" s="13"/>
      <c r="DW51" s="13"/>
    </row>
    <row r="52" spans="1:127">
      <c r="A52" s="13" t="str">
        <f>Schedule_Data!A53</f>
        <v>JD-139</v>
      </c>
      <c r="B52" s="13" t="str">
        <f>Schedule_Data!B53</f>
        <v>4.0</v>
      </c>
      <c r="C52" s="13" t="str">
        <f>Schedule_Data!C53</f>
        <v>JACKDOWN-2: TR3+TR4</v>
      </c>
      <c r="D52" s="42" t="str">
        <f>Schedule_Data!D53</f>
        <v>JACKDOWN</v>
      </c>
      <c r="E52" s="33">
        <f>Schedule_Data!F53</f>
        <v>46081</v>
      </c>
      <c r="F52" s="33">
        <f>Schedule_Data!G53</f>
        <v>46081</v>
      </c>
      <c r="G52" s="13">
        <f>Schedule_Data!H53</f>
        <v>0</v>
      </c>
      <c r="H52" s="13"/>
      <c r="I52" s="13"/>
      <c r="J52" s="13"/>
      <c r="K52" s="13"/>
      <c r="L52" s="13"/>
      <c r="M52" s="13"/>
      <c r="N52" s="13"/>
      <c r="O52" s="13"/>
      <c r="P52" s="13"/>
      <c r="Q52" s="13"/>
      <c r="R52" s="13"/>
      <c r="S52" s="13"/>
      <c r="T52" s="13"/>
      <c r="U52" s="13"/>
      <c r="V52" s="13"/>
      <c r="W52" s="13"/>
      <c r="X52" s="13"/>
      <c r="Y52" s="13"/>
      <c r="Z52" s="13"/>
      <c r="AA52" s="13"/>
      <c r="AB52" s="13"/>
      <c r="AC52" s="13"/>
      <c r="AD52" s="13"/>
      <c r="AE52" s="13"/>
      <c r="AF52" s="13"/>
      <c r="AG52" s="13"/>
      <c r="AH52" s="13"/>
      <c r="AI52" s="13"/>
      <c r="AJ52" s="13"/>
      <c r="AK52" s="13"/>
      <c r="AL52" s="13"/>
      <c r="AM52" s="13"/>
      <c r="AN52" s="13"/>
      <c r="AO52" s="13"/>
      <c r="AP52" s="13"/>
      <c r="AQ52" s="13"/>
      <c r="AR52" s="13"/>
      <c r="AS52" s="13"/>
      <c r="AT52" s="13"/>
      <c r="AU52" s="13"/>
      <c r="AV52" s="13"/>
      <c r="AW52" s="13"/>
      <c r="AX52" s="13"/>
      <c r="AY52" s="13"/>
      <c r="AZ52" s="43" t="s">
        <v>270</v>
      </c>
      <c r="BA52" s="13"/>
      <c r="BB52" s="13"/>
      <c r="BC52" s="13"/>
      <c r="BD52" s="13"/>
      <c r="BE52" s="13"/>
      <c r="BF52" s="13"/>
      <c r="BG52" s="13"/>
      <c r="BH52" s="13"/>
      <c r="BI52" s="13"/>
      <c r="BJ52" s="13"/>
      <c r="BK52" s="13"/>
      <c r="BL52" s="13"/>
      <c r="BM52" s="13"/>
      <c r="BN52" s="13"/>
      <c r="BO52" s="13"/>
      <c r="BP52" s="13"/>
      <c r="BQ52" s="13"/>
      <c r="BR52" s="13"/>
      <c r="BS52" s="13"/>
      <c r="BT52" s="13"/>
      <c r="BU52" s="13"/>
      <c r="BV52" s="13"/>
      <c r="BW52" s="13"/>
      <c r="BX52" s="13"/>
      <c r="BY52" s="13"/>
      <c r="BZ52" s="13"/>
      <c r="CA52" s="13"/>
      <c r="CB52" s="13"/>
      <c r="CC52" s="13"/>
      <c r="CD52" s="13"/>
      <c r="CE52" s="13"/>
      <c r="CF52" s="13"/>
      <c r="CG52" s="13"/>
      <c r="CH52" s="13"/>
      <c r="CI52" s="13"/>
      <c r="CJ52" s="13"/>
      <c r="CK52" s="13"/>
      <c r="CL52" s="13"/>
      <c r="CM52" s="13"/>
      <c r="CN52" s="13"/>
      <c r="CO52" s="13"/>
      <c r="CP52" s="13"/>
      <c r="CQ52" s="13"/>
      <c r="CR52" s="13"/>
      <c r="CS52" s="13"/>
      <c r="CT52" s="13"/>
      <c r="CU52" s="13"/>
      <c r="CV52" s="13"/>
      <c r="CW52" s="13"/>
      <c r="CX52" s="13"/>
      <c r="CY52" s="13"/>
      <c r="CZ52" s="13"/>
      <c r="DA52" s="13"/>
      <c r="DB52" s="13"/>
      <c r="DC52" s="13"/>
      <c r="DD52" s="13"/>
      <c r="DE52" s="13"/>
      <c r="DF52" s="13"/>
      <c r="DG52" s="13"/>
      <c r="DH52" s="13"/>
      <c r="DI52" s="13"/>
      <c r="DJ52" s="13"/>
      <c r="DK52" s="13"/>
      <c r="DL52" s="13"/>
      <c r="DM52" s="13"/>
      <c r="DN52" s="13"/>
      <c r="DO52" s="13"/>
      <c r="DP52" s="13"/>
      <c r="DQ52" s="13"/>
      <c r="DR52" s="13"/>
      <c r="DS52" s="13"/>
      <c r="DT52" s="13"/>
      <c r="DU52" s="13"/>
      <c r="DV52" s="13"/>
      <c r="DW52" s="13"/>
    </row>
    <row r="53" spans="1:127">
      <c r="A53" s="13" t="str">
        <f>Schedule_Data!A54</f>
        <v>RET-138</v>
      </c>
      <c r="B53" s="13" t="str">
        <f>Schedule_Data!B54</f>
        <v>4.0</v>
      </c>
      <c r="C53" s="13" t="str">
        <f>Schedule_Data!C54</f>
        <v>LCT Return after JD-2</v>
      </c>
      <c r="D53" s="25" t="str">
        <f>Schedule_Data!D54</f>
        <v>RETURN</v>
      </c>
      <c r="E53" s="33">
        <f>Schedule_Data!F54</f>
        <v>46082</v>
      </c>
      <c r="F53" s="33">
        <f>Schedule_Data!G54</f>
        <v>46082</v>
      </c>
      <c r="G53" s="13">
        <f>Schedule_Data!H54</f>
        <v>0</v>
      </c>
      <c r="H53" s="13"/>
      <c r="I53" s="13"/>
      <c r="J53" s="13"/>
      <c r="K53" s="13"/>
      <c r="L53" s="13"/>
      <c r="M53" s="13"/>
      <c r="N53" s="13"/>
      <c r="O53" s="13"/>
      <c r="P53" s="13"/>
      <c r="Q53" s="13"/>
      <c r="R53" s="13"/>
      <c r="S53" s="13"/>
      <c r="T53" s="13"/>
      <c r="U53" s="13"/>
      <c r="V53" s="13"/>
      <c r="W53" s="13"/>
      <c r="X53" s="13"/>
      <c r="Y53" s="13"/>
      <c r="Z53" s="13"/>
      <c r="AA53" s="13"/>
      <c r="AB53" s="13"/>
      <c r="AC53" s="13"/>
      <c r="AD53" s="13"/>
      <c r="AE53" s="13"/>
      <c r="AF53" s="13"/>
      <c r="AG53" s="13"/>
      <c r="AH53" s="13"/>
      <c r="AI53" s="13"/>
      <c r="AJ53" s="13"/>
      <c r="AK53" s="13"/>
      <c r="AL53" s="13"/>
      <c r="AM53" s="13"/>
      <c r="AN53" s="13"/>
      <c r="AO53" s="13"/>
      <c r="AP53" s="13"/>
      <c r="AQ53" s="13"/>
      <c r="AR53" s="13"/>
      <c r="AS53" s="13"/>
      <c r="AT53" s="13"/>
      <c r="AU53" s="13"/>
      <c r="AV53" s="13"/>
      <c r="AW53" s="13"/>
      <c r="AX53" s="13"/>
      <c r="AY53" s="13"/>
      <c r="AZ53" s="13"/>
      <c r="BA53" s="40" t="s">
        <v>270</v>
      </c>
      <c r="BB53" s="13"/>
      <c r="BC53" s="13"/>
      <c r="BD53" s="13"/>
      <c r="BE53" s="13"/>
      <c r="BF53" s="13"/>
      <c r="BG53" s="13"/>
      <c r="BH53" s="13"/>
      <c r="BI53" s="13"/>
      <c r="BJ53" s="13"/>
      <c r="BK53" s="13"/>
      <c r="BL53" s="13"/>
      <c r="BM53" s="13"/>
      <c r="BN53" s="13"/>
      <c r="BO53" s="13"/>
      <c r="BP53" s="13"/>
      <c r="BQ53" s="13"/>
      <c r="BR53" s="13"/>
      <c r="BS53" s="13"/>
      <c r="BT53" s="13"/>
      <c r="BU53" s="13"/>
      <c r="BV53" s="13"/>
      <c r="BW53" s="13"/>
      <c r="BX53" s="13"/>
      <c r="BY53" s="13"/>
      <c r="BZ53" s="13"/>
      <c r="CA53" s="13"/>
      <c r="CB53" s="13"/>
      <c r="CC53" s="13"/>
      <c r="CD53" s="13"/>
      <c r="CE53" s="13"/>
      <c r="CF53" s="13"/>
      <c r="CG53" s="13"/>
      <c r="CH53" s="13"/>
      <c r="CI53" s="13"/>
      <c r="CJ53" s="13"/>
      <c r="CK53" s="13"/>
      <c r="CL53" s="13"/>
      <c r="CM53" s="13"/>
      <c r="CN53" s="13"/>
      <c r="CO53" s="13"/>
      <c r="CP53" s="13"/>
      <c r="CQ53" s="13"/>
      <c r="CR53" s="13"/>
      <c r="CS53" s="13"/>
      <c r="CT53" s="13"/>
      <c r="CU53" s="13"/>
      <c r="CV53" s="13"/>
      <c r="CW53" s="13"/>
      <c r="CX53" s="13"/>
      <c r="CY53" s="13"/>
      <c r="CZ53" s="13"/>
      <c r="DA53" s="13"/>
      <c r="DB53" s="13"/>
      <c r="DC53" s="13"/>
      <c r="DD53" s="13"/>
      <c r="DE53" s="13"/>
      <c r="DF53" s="13"/>
      <c r="DG53" s="13"/>
      <c r="DH53" s="13"/>
      <c r="DI53" s="13"/>
      <c r="DJ53" s="13"/>
      <c r="DK53" s="13"/>
      <c r="DL53" s="13"/>
      <c r="DM53" s="13"/>
      <c r="DN53" s="13"/>
      <c r="DO53" s="13"/>
      <c r="DP53" s="13"/>
      <c r="DQ53" s="13"/>
      <c r="DR53" s="13"/>
      <c r="DS53" s="13"/>
      <c r="DT53" s="13"/>
      <c r="DU53" s="13"/>
      <c r="DV53" s="13"/>
      <c r="DW53" s="13"/>
    </row>
    <row r="54" spans="1:127">
      <c r="A54" s="13" t="str">
        <f>Schedule_Data!A55</f>
        <v>BUF-140</v>
      </c>
      <c r="B54" s="13" t="str">
        <f>Schedule_Data!B55</f>
        <v>4.0</v>
      </c>
      <c r="C54" s="13" t="str">
        <f>Schedule_Data!C55</f>
        <v>Buffer</v>
      </c>
      <c r="D54" s="22" t="str">
        <f>Schedule_Data!D55</f>
        <v>BUFFER</v>
      </c>
      <c r="E54" s="33">
        <f>Schedule_Data!F55</f>
        <v>46082</v>
      </c>
      <c r="F54" s="33">
        <f>Schedule_Data!G55</f>
        <v>46082</v>
      </c>
      <c r="G54" s="13">
        <f>Schedule_Data!H55</f>
        <v>0</v>
      </c>
      <c r="H54" s="13"/>
      <c r="I54" s="13"/>
      <c r="J54" s="13"/>
      <c r="K54" s="13"/>
      <c r="L54" s="13"/>
      <c r="M54" s="13"/>
      <c r="N54" s="13"/>
      <c r="O54" s="13"/>
      <c r="P54" s="13"/>
      <c r="Q54" s="13"/>
      <c r="R54" s="13"/>
      <c r="S54" s="13"/>
      <c r="T54" s="13"/>
      <c r="U54" s="13"/>
      <c r="V54" s="13"/>
      <c r="W54" s="13"/>
      <c r="X54" s="13"/>
      <c r="Y54" s="13"/>
      <c r="Z54" s="13"/>
      <c r="AA54" s="13"/>
      <c r="AB54" s="13"/>
      <c r="AC54" s="13"/>
      <c r="AD54" s="13"/>
      <c r="AE54" s="13"/>
      <c r="AF54" s="13"/>
      <c r="AG54" s="13"/>
      <c r="AH54" s="13"/>
      <c r="AI54" s="13"/>
      <c r="AJ54" s="13"/>
      <c r="AK54" s="13"/>
      <c r="AL54" s="13"/>
      <c r="AM54" s="13"/>
      <c r="AN54" s="13"/>
      <c r="AO54" s="13"/>
      <c r="AP54" s="13"/>
      <c r="AQ54" s="13"/>
      <c r="AR54" s="13"/>
      <c r="AS54" s="13"/>
      <c r="AT54" s="13"/>
      <c r="AU54" s="13"/>
      <c r="AV54" s="13"/>
      <c r="AW54" s="13"/>
      <c r="AX54" s="13"/>
      <c r="AY54" s="13"/>
      <c r="AZ54" s="13"/>
      <c r="BA54" s="22"/>
      <c r="BB54" s="13"/>
      <c r="BC54" s="13"/>
      <c r="BD54" s="13"/>
      <c r="BE54" s="13"/>
      <c r="BF54" s="13"/>
      <c r="BG54" s="13"/>
      <c r="BH54" s="13"/>
      <c r="BI54" s="13"/>
      <c r="BJ54" s="13"/>
      <c r="BK54" s="13"/>
      <c r="BL54" s="13"/>
      <c r="BM54" s="13"/>
      <c r="BN54" s="13"/>
      <c r="BO54" s="13"/>
      <c r="BP54" s="13"/>
      <c r="BQ54" s="13"/>
      <c r="BR54" s="13"/>
      <c r="BS54" s="13"/>
      <c r="BT54" s="13"/>
      <c r="BU54" s="13"/>
      <c r="BV54" s="13"/>
      <c r="BW54" s="13"/>
      <c r="BX54" s="13"/>
      <c r="BY54" s="13"/>
      <c r="BZ54" s="13"/>
      <c r="CA54" s="13"/>
      <c r="CB54" s="13"/>
      <c r="CC54" s="13"/>
      <c r="CD54" s="13"/>
      <c r="CE54" s="13"/>
      <c r="CF54" s="13"/>
      <c r="CG54" s="13"/>
      <c r="CH54" s="13"/>
      <c r="CI54" s="13"/>
      <c r="CJ54" s="13"/>
      <c r="CK54" s="13"/>
      <c r="CL54" s="13"/>
      <c r="CM54" s="13"/>
      <c r="CN54" s="13"/>
      <c r="CO54" s="13"/>
      <c r="CP54" s="13"/>
      <c r="CQ54" s="13"/>
      <c r="CR54" s="13"/>
      <c r="CS54" s="13"/>
      <c r="CT54" s="13"/>
      <c r="CU54" s="13"/>
      <c r="CV54" s="13"/>
      <c r="CW54" s="13"/>
      <c r="CX54" s="13"/>
      <c r="CY54" s="13"/>
      <c r="CZ54" s="13"/>
      <c r="DA54" s="13"/>
      <c r="DB54" s="13"/>
      <c r="DC54" s="13"/>
      <c r="DD54" s="13"/>
      <c r="DE54" s="13"/>
      <c r="DF54" s="13"/>
      <c r="DG54" s="13"/>
      <c r="DH54" s="13"/>
      <c r="DI54" s="13"/>
      <c r="DJ54" s="13"/>
      <c r="DK54" s="13"/>
      <c r="DL54" s="13"/>
      <c r="DM54" s="13"/>
      <c r="DN54" s="13"/>
      <c r="DO54" s="13"/>
      <c r="DP54" s="13"/>
      <c r="DQ54" s="13"/>
      <c r="DR54" s="13"/>
      <c r="DS54" s="13"/>
      <c r="DT54" s="13"/>
      <c r="DU54" s="13"/>
      <c r="DV54" s="13"/>
      <c r="DW54" s="13"/>
    </row>
    <row r="55" spans="1:127">
      <c r="A55" s="13" t="str">
        <f>Schedule_Data!A56</f>
        <v>V5</v>
      </c>
      <c r="B55" s="13" t="str">
        <f>Schedule_Data!B56</f>
        <v>5.0</v>
      </c>
      <c r="C55" s="13" t="str">
        <f>Schedule_Data!C56</f>
        <v>VOYAGE 5: TR5 Transport</v>
      </c>
      <c r="D55" s="34" t="str">
        <f>Schedule_Data!D56</f>
        <v>MILESTONE</v>
      </c>
      <c r="E55" s="33">
        <f>Schedule_Data!F56</f>
        <v>46083</v>
      </c>
      <c r="F55" s="33">
        <f>Schedule_Data!G56</f>
        <v>46083</v>
      </c>
      <c r="G55" s="13">
        <f>Schedule_Data!H56</f>
        <v>0</v>
      </c>
      <c r="H55" s="13"/>
      <c r="I55" s="13"/>
      <c r="J55" s="13"/>
      <c r="K55" s="13"/>
      <c r="L55" s="13"/>
      <c r="M55" s="13"/>
      <c r="N55" s="13"/>
      <c r="O55" s="13"/>
      <c r="P55" s="13"/>
      <c r="Q55" s="13"/>
      <c r="R55" s="13"/>
      <c r="S55" s="13"/>
      <c r="T55" s="13"/>
      <c r="U55" s="13"/>
      <c r="V55" s="13"/>
      <c r="W55" s="13"/>
      <c r="X55" s="13"/>
      <c r="Y55" s="13"/>
      <c r="Z55" s="13"/>
      <c r="AA55" s="13"/>
      <c r="AB55" s="13"/>
      <c r="AC55" s="13"/>
      <c r="AD55" s="13"/>
      <c r="AE55" s="13"/>
      <c r="AF55" s="13"/>
      <c r="AG55" s="13"/>
      <c r="AH55" s="13"/>
      <c r="AI55" s="13"/>
      <c r="AJ55" s="13"/>
      <c r="AK55" s="13"/>
      <c r="AL55" s="13"/>
      <c r="AM55" s="13"/>
      <c r="AN55" s="13"/>
      <c r="AO55" s="13"/>
      <c r="AP55" s="13"/>
      <c r="AQ55" s="13"/>
      <c r="AR55" s="13"/>
      <c r="AS55" s="13"/>
      <c r="AT55" s="13"/>
      <c r="AU55" s="13"/>
      <c r="AV55" s="13"/>
      <c r="AW55" s="13"/>
      <c r="AX55" s="13"/>
      <c r="AY55" s="13"/>
      <c r="AZ55" s="13"/>
      <c r="BA55" s="13"/>
      <c r="BB55" s="35" t="s">
        <v>270</v>
      </c>
      <c r="BC55" s="13"/>
      <c r="BD55" s="13"/>
      <c r="BE55" s="13"/>
      <c r="BF55" s="13"/>
      <c r="BG55" s="13"/>
      <c r="BH55" s="13"/>
      <c r="BI55" s="13"/>
      <c r="BJ55" s="13"/>
      <c r="BK55" s="13"/>
      <c r="BL55" s="13"/>
      <c r="BM55" s="13"/>
      <c r="BN55" s="13"/>
      <c r="BO55" s="13"/>
      <c r="BP55" s="13"/>
      <c r="BQ55" s="13"/>
      <c r="BR55" s="13"/>
      <c r="BS55" s="13"/>
      <c r="BT55" s="13"/>
      <c r="BU55" s="13"/>
      <c r="BV55" s="13"/>
      <c r="BW55" s="13"/>
      <c r="BX55" s="13"/>
      <c r="BY55" s="13"/>
      <c r="BZ55" s="13"/>
      <c r="CA55" s="13"/>
      <c r="CB55" s="13"/>
      <c r="CC55" s="13"/>
      <c r="CD55" s="13"/>
      <c r="CE55" s="13"/>
      <c r="CF55" s="13"/>
      <c r="CG55" s="13"/>
      <c r="CH55" s="13"/>
      <c r="CI55" s="13"/>
      <c r="CJ55" s="13"/>
      <c r="CK55" s="13"/>
      <c r="CL55" s="13"/>
      <c r="CM55" s="13"/>
      <c r="CN55" s="13"/>
      <c r="CO55" s="13"/>
      <c r="CP55" s="13"/>
      <c r="CQ55" s="13"/>
      <c r="CR55" s="13"/>
      <c r="CS55" s="13"/>
      <c r="CT55" s="13"/>
      <c r="CU55" s="13"/>
      <c r="CV55" s="13"/>
      <c r="CW55" s="13"/>
      <c r="CX55" s="13"/>
      <c r="CY55" s="13"/>
      <c r="CZ55" s="13"/>
      <c r="DA55" s="13"/>
      <c r="DB55" s="13"/>
      <c r="DC55" s="13"/>
      <c r="DD55" s="13"/>
      <c r="DE55" s="13"/>
      <c r="DF55" s="13"/>
      <c r="DG55" s="13"/>
      <c r="DH55" s="13"/>
      <c r="DI55" s="13"/>
      <c r="DJ55" s="13"/>
      <c r="DK55" s="13"/>
      <c r="DL55" s="13"/>
      <c r="DM55" s="13"/>
      <c r="DN55" s="13"/>
      <c r="DO55" s="13"/>
      <c r="DP55" s="13"/>
      <c r="DQ55" s="13"/>
      <c r="DR55" s="13"/>
      <c r="DS55" s="13"/>
      <c r="DT55" s="13"/>
      <c r="DU55" s="13"/>
      <c r="DV55" s="13"/>
      <c r="DW55" s="13"/>
    </row>
    <row r="56" spans="1:127">
      <c r="A56" s="13" t="str">
        <f>Schedule_Data!A57</f>
        <v>LO-140</v>
      </c>
      <c r="B56" s="13" t="str">
        <f>Schedule_Data!B57</f>
        <v>5.0</v>
      </c>
      <c r="C56" s="13" t="str">
        <f>Schedule_Data!C57</f>
        <v>Loadout TR5</v>
      </c>
      <c r="D56" s="20" t="str">
        <f>Schedule_Data!D57</f>
        <v>LOADOUT</v>
      </c>
      <c r="E56" s="33">
        <f>Schedule_Data!F57</f>
        <v>46083</v>
      </c>
      <c r="F56" s="33">
        <f>Schedule_Data!G57</f>
        <v>46083</v>
      </c>
      <c r="G56" s="13">
        <f>Schedule_Data!H57</f>
        <v>0</v>
      </c>
      <c r="H56" s="13"/>
      <c r="I56" s="13"/>
      <c r="J56" s="13"/>
      <c r="K56" s="13"/>
      <c r="L56" s="13"/>
      <c r="M56" s="13"/>
      <c r="N56" s="13"/>
      <c r="O56" s="13"/>
      <c r="P56" s="13"/>
      <c r="Q56" s="13"/>
      <c r="R56" s="13"/>
      <c r="S56" s="13"/>
      <c r="T56" s="13"/>
      <c r="U56" s="13"/>
      <c r="V56" s="13"/>
      <c r="W56" s="13"/>
      <c r="X56" s="13"/>
      <c r="Y56" s="13"/>
      <c r="Z56" s="13"/>
      <c r="AA56" s="13"/>
      <c r="AB56" s="13"/>
      <c r="AC56" s="13"/>
      <c r="AD56" s="13"/>
      <c r="AE56" s="13"/>
      <c r="AF56" s="13"/>
      <c r="AG56" s="13"/>
      <c r="AH56" s="13"/>
      <c r="AI56" s="13"/>
      <c r="AJ56" s="13"/>
      <c r="AK56" s="13"/>
      <c r="AL56" s="13"/>
      <c r="AM56" s="13"/>
      <c r="AN56" s="13"/>
      <c r="AO56" s="13"/>
      <c r="AP56" s="13"/>
      <c r="AQ56" s="13"/>
      <c r="AR56" s="13"/>
      <c r="AS56" s="13"/>
      <c r="AT56" s="13"/>
      <c r="AU56" s="13"/>
      <c r="AV56" s="13"/>
      <c r="AW56" s="13"/>
      <c r="AX56" s="13"/>
      <c r="AY56" s="13"/>
      <c r="AZ56" s="13"/>
      <c r="BA56" s="13"/>
      <c r="BB56" s="20"/>
      <c r="BC56" s="13"/>
      <c r="BD56" s="13"/>
      <c r="BE56" s="13"/>
      <c r="BF56" s="13"/>
      <c r="BG56" s="13"/>
      <c r="BH56" s="13"/>
      <c r="BI56" s="13"/>
      <c r="BJ56" s="13"/>
      <c r="BK56" s="13"/>
      <c r="BL56" s="13"/>
      <c r="BM56" s="13"/>
      <c r="BN56" s="13"/>
      <c r="BO56" s="13"/>
      <c r="BP56" s="13"/>
      <c r="BQ56" s="13"/>
      <c r="BR56" s="13"/>
      <c r="BS56" s="13"/>
      <c r="BT56" s="13"/>
      <c r="BU56" s="13"/>
      <c r="BV56" s="13"/>
      <c r="BW56" s="13"/>
      <c r="BX56" s="13"/>
      <c r="BY56" s="13"/>
      <c r="BZ56" s="13"/>
      <c r="CA56" s="13"/>
      <c r="CB56" s="13"/>
      <c r="CC56" s="13"/>
      <c r="CD56" s="13"/>
      <c r="CE56" s="13"/>
      <c r="CF56" s="13"/>
      <c r="CG56" s="13"/>
      <c r="CH56" s="13"/>
      <c r="CI56" s="13"/>
      <c r="CJ56" s="13"/>
      <c r="CK56" s="13"/>
      <c r="CL56" s="13"/>
      <c r="CM56" s="13"/>
      <c r="CN56" s="13"/>
      <c r="CO56" s="13"/>
      <c r="CP56" s="13"/>
      <c r="CQ56" s="13"/>
      <c r="CR56" s="13"/>
      <c r="CS56" s="13"/>
      <c r="CT56" s="13"/>
      <c r="CU56" s="13"/>
      <c r="CV56" s="13"/>
      <c r="CW56" s="13"/>
      <c r="CX56" s="13"/>
      <c r="CY56" s="13"/>
      <c r="CZ56" s="13"/>
      <c r="DA56" s="13"/>
      <c r="DB56" s="13"/>
      <c r="DC56" s="13"/>
      <c r="DD56" s="13"/>
      <c r="DE56" s="13"/>
      <c r="DF56" s="13"/>
      <c r="DG56" s="13"/>
      <c r="DH56" s="13"/>
      <c r="DI56" s="13"/>
      <c r="DJ56" s="13"/>
      <c r="DK56" s="13"/>
      <c r="DL56" s="13"/>
      <c r="DM56" s="13"/>
      <c r="DN56" s="13"/>
      <c r="DO56" s="13"/>
      <c r="DP56" s="13"/>
      <c r="DQ56" s="13"/>
      <c r="DR56" s="13"/>
      <c r="DS56" s="13"/>
      <c r="DT56" s="13"/>
      <c r="DU56" s="13"/>
      <c r="DV56" s="13"/>
      <c r="DW56" s="13"/>
    </row>
    <row r="57" spans="1:127">
      <c r="A57" s="13" t="str">
        <f>Schedule_Data!A58</f>
        <v>SF-141</v>
      </c>
      <c r="B57" s="13" t="str">
        <f>Schedule_Data!B58</f>
        <v>5.0</v>
      </c>
      <c r="C57" s="13" t="str">
        <f>Schedule_Data!C58</f>
        <v>Sea fastening TR5</v>
      </c>
      <c r="D57" s="21" t="str">
        <f>Schedule_Data!D58</f>
        <v>SEAFAST</v>
      </c>
      <c r="E57" s="33">
        <f>Schedule_Data!F58</f>
        <v>46083</v>
      </c>
      <c r="F57" s="33">
        <f>Schedule_Data!G58</f>
        <v>46083</v>
      </c>
      <c r="G57" s="13">
        <f>Schedule_Data!H58</f>
        <v>0</v>
      </c>
      <c r="H57" s="13"/>
      <c r="I57" s="13"/>
      <c r="J57" s="13"/>
      <c r="K57" s="13"/>
      <c r="L57" s="13"/>
      <c r="M57" s="13"/>
      <c r="N57" s="13"/>
      <c r="O57" s="13"/>
      <c r="P57" s="13"/>
      <c r="Q57" s="13"/>
      <c r="R57" s="13"/>
      <c r="S57" s="13"/>
      <c r="T57" s="13"/>
      <c r="U57" s="13"/>
      <c r="V57" s="13"/>
      <c r="W57" s="13"/>
      <c r="X57" s="13"/>
      <c r="Y57" s="13"/>
      <c r="Z57" s="13"/>
      <c r="AA57" s="13"/>
      <c r="AB57" s="13"/>
      <c r="AC57" s="13"/>
      <c r="AD57" s="13"/>
      <c r="AE57" s="13"/>
      <c r="AF57" s="13"/>
      <c r="AG57" s="13"/>
      <c r="AH57" s="13"/>
      <c r="AI57" s="13"/>
      <c r="AJ57" s="13"/>
      <c r="AK57" s="13"/>
      <c r="AL57" s="13"/>
      <c r="AM57" s="13"/>
      <c r="AN57" s="13"/>
      <c r="AO57" s="13"/>
      <c r="AP57" s="13"/>
      <c r="AQ57" s="13"/>
      <c r="AR57" s="13"/>
      <c r="AS57" s="13"/>
      <c r="AT57" s="13"/>
      <c r="AU57" s="13"/>
      <c r="AV57" s="13"/>
      <c r="AW57" s="13"/>
      <c r="AX57" s="13"/>
      <c r="AY57" s="13"/>
      <c r="AZ57" s="13"/>
      <c r="BA57" s="13"/>
      <c r="BB57" s="36" t="s">
        <v>270</v>
      </c>
      <c r="BC57" s="13"/>
      <c r="BD57" s="13"/>
      <c r="BE57" s="13"/>
      <c r="BF57" s="13"/>
      <c r="BG57" s="13"/>
      <c r="BH57" s="13"/>
      <c r="BI57" s="13"/>
      <c r="BJ57" s="13"/>
      <c r="BK57" s="13"/>
      <c r="BL57" s="13"/>
      <c r="BM57" s="13"/>
      <c r="BN57" s="13"/>
      <c r="BO57" s="13"/>
      <c r="BP57" s="13"/>
      <c r="BQ57" s="13"/>
      <c r="BR57" s="13"/>
      <c r="BS57" s="13"/>
      <c r="BT57" s="13"/>
      <c r="BU57" s="13"/>
      <c r="BV57" s="13"/>
      <c r="BW57" s="13"/>
      <c r="BX57" s="13"/>
      <c r="BY57" s="13"/>
      <c r="BZ57" s="13"/>
      <c r="CA57" s="13"/>
      <c r="CB57" s="13"/>
      <c r="CC57" s="13"/>
      <c r="CD57" s="13"/>
      <c r="CE57" s="13"/>
      <c r="CF57" s="13"/>
      <c r="CG57" s="13"/>
      <c r="CH57" s="13"/>
      <c r="CI57" s="13"/>
      <c r="CJ57" s="13"/>
      <c r="CK57" s="13"/>
      <c r="CL57" s="13"/>
      <c r="CM57" s="13"/>
      <c r="CN57" s="13"/>
      <c r="CO57" s="13"/>
      <c r="CP57" s="13"/>
      <c r="CQ57" s="13"/>
      <c r="CR57" s="13"/>
      <c r="CS57" s="13"/>
      <c r="CT57" s="13"/>
      <c r="CU57" s="13"/>
      <c r="CV57" s="13"/>
      <c r="CW57" s="13"/>
      <c r="CX57" s="13"/>
      <c r="CY57" s="13"/>
      <c r="CZ57" s="13"/>
      <c r="DA57" s="13"/>
      <c r="DB57" s="13"/>
      <c r="DC57" s="13"/>
      <c r="DD57" s="13"/>
      <c r="DE57" s="13"/>
      <c r="DF57" s="13"/>
      <c r="DG57" s="13"/>
      <c r="DH57" s="13"/>
      <c r="DI57" s="13"/>
      <c r="DJ57" s="13"/>
      <c r="DK57" s="13"/>
      <c r="DL57" s="13"/>
      <c r="DM57" s="13"/>
      <c r="DN57" s="13"/>
      <c r="DO57" s="13"/>
      <c r="DP57" s="13"/>
      <c r="DQ57" s="13"/>
      <c r="DR57" s="13"/>
      <c r="DS57" s="13"/>
      <c r="DT57" s="13"/>
      <c r="DU57" s="13"/>
      <c r="DV57" s="13"/>
      <c r="DW57" s="13"/>
    </row>
    <row r="58" spans="1:127">
      <c r="A58" s="13" t="str">
        <f>Schedule_Data!A59</f>
        <v>MWS-141A</v>
      </c>
      <c r="B58" s="13" t="str">
        <f>Schedule_Data!B59</f>
        <v>5.0</v>
      </c>
      <c r="C58" s="13" t="str">
        <f>Schedule_Data!C59</f>
        <v>MWS Survey + Final checks</v>
      </c>
      <c r="D58" s="22" t="str">
        <f>Schedule_Data!D59</f>
        <v>BUFFER</v>
      </c>
      <c r="E58" s="33">
        <f>Schedule_Data!F59</f>
        <v>46083</v>
      </c>
      <c r="F58" s="33">
        <f>Schedule_Data!G59</f>
        <v>46083</v>
      </c>
      <c r="G58" s="13">
        <f>Schedule_Data!H59</f>
        <v>0</v>
      </c>
      <c r="H58" s="13"/>
      <c r="I58" s="13"/>
      <c r="J58" s="13"/>
      <c r="K58" s="13"/>
      <c r="L58" s="13"/>
      <c r="M58" s="13"/>
      <c r="N58" s="13"/>
      <c r="O58" s="13"/>
      <c r="P58" s="13"/>
      <c r="Q58" s="13"/>
      <c r="R58" s="13"/>
      <c r="S58" s="13"/>
      <c r="T58" s="13"/>
      <c r="U58" s="13"/>
      <c r="V58" s="13"/>
      <c r="W58" s="13"/>
      <c r="X58" s="13"/>
      <c r="Y58" s="13"/>
      <c r="Z58" s="13"/>
      <c r="AA58" s="13"/>
      <c r="AB58" s="13"/>
      <c r="AC58" s="13"/>
      <c r="AD58" s="13"/>
      <c r="AE58" s="13"/>
      <c r="AF58" s="13"/>
      <c r="AG58" s="13"/>
      <c r="AH58" s="13"/>
      <c r="AI58" s="13"/>
      <c r="AJ58" s="13"/>
      <c r="AK58" s="13"/>
      <c r="AL58" s="13"/>
      <c r="AM58" s="13"/>
      <c r="AN58" s="13"/>
      <c r="AO58" s="13"/>
      <c r="AP58" s="13"/>
      <c r="AQ58" s="13"/>
      <c r="AR58" s="13"/>
      <c r="AS58" s="13"/>
      <c r="AT58" s="13"/>
      <c r="AU58" s="13"/>
      <c r="AV58" s="13"/>
      <c r="AW58" s="13"/>
      <c r="AX58" s="13"/>
      <c r="AY58" s="13"/>
      <c r="AZ58" s="13"/>
      <c r="BA58" s="13"/>
      <c r="BB58" s="37" t="s">
        <v>270</v>
      </c>
      <c r="BC58" s="13"/>
      <c r="BD58" s="13"/>
      <c r="BE58" s="13"/>
      <c r="BF58" s="13"/>
      <c r="BG58" s="13"/>
      <c r="BH58" s="13"/>
      <c r="BI58" s="13"/>
      <c r="BJ58" s="13"/>
      <c r="BK58" s="13"/>
      <c r="BL58" s="13"/>
      <c r="BM58" s="13"/>
      <c r="BN58" s="13"/>
      <c r="BO58" s="13"/>
      <c r="BP58" s="13"/>
      <c r="BQ58" s="13"/>
      <c r="BR58" s="13"/>
      <c r="BS58" s="13"/>
      <c r="BT58" s="13"/>
      <c r="BU58" s="13"/>
      <c r="BV58" s="13"/>
      <c r="BW58" s="13"/>
      <c r="BX58" s="13"/>
      <c r="BY58" s="13"/>
      <c r="BZ58" s="13"/>
      <c r="CA58" s="13"/>
      <c r="CB58" s="13"/>
      <c r="CC58" s="13"/>
      <c r="CD58" s="13"/>
      <c r="CE58" s="13"/>
      <c r="CF58" s="13"/>
      <c r="CG58" s="13"/>
      <c r="CH58" s="13"/>
      <c r="CI58" s="13"/>
      <c r="CJ58" s="13"/>
      <c r="CK58" s="13"/>
      <c r="CL58" s="13"/>
      <c r="CM58" s="13"/>
      <c r="CN58" s="13"/>
      <c r="CO58" s="13"/>
      <c r="CP58" s="13"/>
      <c r="CQ58" s="13"/>
      <c r="CR58" s="13"/>
      <c r="CS58" s="13"/>
      <c r="CT58" s="13"/>
      <c r="CU58" s="13"/>
      <c r="CV58" s="13"/>
      <c r="CW58" s="13"/>
      <c r="CX58" s="13"/>
      <c r="CY58" s="13"/>
      <c r="CZ58" s="13"/>
      <c r="DA58" s="13"/>
      <c r="DB58" s="13"/>
      <c r="DC58" s="13"/>
      <c r="DD58" s="13"/>
      <c r="DE58" s="13"/>
      <c r="DF58" s="13"/>
      <c r="DG58" s="13"/>
      <c r="DH58" s="13"/>
      <c r="DI58" s="13"/>
      <c r="DJ58" s="13"/>
      <c r="DK58" s="13"/>
      <c r="DL58" s="13"/>
      <c r="DM58" s="13"/>
      <c r="DN58" s="13"/>
      <c r="DO58" s="13"/>
      <c r="DP58" s="13"/>
      <c r="DQ58" s="13"/>
      <c r="DR58" s="13"/>
      <c r="DS58" s="13"/>
      <c r="DT58" s="13"/>
      <c r="DU58" s="13"/>
      <c r="DV58" s="13"/>
      <c r="DW58" s="13"/>
    </row>
    <row r="59" spans="1:127">
      <c r="A59" s="13" t="str">
        <f>Schedule_Data!A60</f>
        <v>SAIL-142</v>
      </c>
      <c r="B59" s="13" t="str">
        <f>Schedule_Data!B60</f>
        <v>5.0</v>
      </c>
      <c r="C59" s="13" t="str">
        <f>Schedule_Data!C60</f>
        <v>Sail-away</v>
      </c>
      <c r="D59" s="23" t="str">
        <f>Schedule_Data!D60</f>
        <v>SAIL</v>
      </c>
      <c r="E59" s="33">
        <f>Schedule_Data!F60</f>
        <v>46083</v>
      </c>
      <c r="F59" s="33">
        <f>Schedule_Data!G60</f>
        <v>46083</v>
      </c>
      <c r="G59" s="13">
        <f>Schedule_Data!H60</f>
        <v>0</v>
      </c>
      <c r="H59" s="13"/>
      <c r="I59" s="13"/>
      <c r="J59" s="13"/>
      <c r="K59" s="13"/>
      <c r="L59" s="13"/>
      <c r="M59" s="13"/>
      <c r="N59" s="13"/>
      <c r="O59" s="13"/>
      <c r="P59" s="13"/>
      <c r="Q59" s="13"/>
      <c r="R59" s="13"/>
      <c r="S59" s="13"/>
      <c r="T59" s="13"/>
      <c r="U59" s="13"/>
      <c r="V59" s="13"/>
      <c r="W59" s="13"/>
      <c r="X59" s="13"/>
      <c r="Y59" s="13"/>
      <c r="Z59" s="13"/>
      <c r="AA59" s="13"/>
      <c r="AB59" s="13"/>
      <c r="AC59" s="13"/>
      <c r="AD59" s="13"/>
      <c r="AE59" s="13"/>
      <c r="AF59" s="13"/>
      <c r="AG59" s="13"/>
      <c r="AH59" s="13"/>
      <c r="AI59" s="13"/>
      <c r="AJ59" s="13"/>
      <c r="AK59" s="13"/>
      <c r="AL59" s="13"/>
      <c r="AM59" s="13"/>
      <c r="AN59" s="13"/>
      <c r="AO59" s="13"/>
      <c r="AP59" s="13"/>
      <c r="AQ59" s="13"/>
      <c r="AR59" s="13"/>
      <c r="AS59" s="13"/>
      <c r="AT59" s="13"/>
      <c r="AU59" s="13"/>
      <c r="AV59" s="13"/>
      <c r="AW59" s="13"/>
      <c r="AX59" s="13"/>
      <c r="AY59" s="13"/>
      <c r="AZ59" s="13"/>
      <c r="BA59" s="13"/>
      <c r="BB59" s="38" t="s">
        <v>270</v>
      </c>
      <c r="BC59" s="13"/>
      <c r="BD59" s="13"/>
      <c r="BE59" s="13"/>
      <c r="BF59" s="13"/>
      <c r="BG59" s="13"/>
      <c r="BH59" s="13"/>
      <c r="BI59" s="13"/>
      <c r="BJ59" s="13"/>
      <c r="BK59" s="13"/>
      <c r="BL59" s="13"/>
      <c r="BM59" s="13"/>
      <c r="BN59" s="13"/>
      <c r="BO59" s="13"/>
      <c r="BP59" s="13"/>
      <c r="BQ59" s="13"/>
      <c r="BR59" s="13"/>
      <c r="BS59" s="13"/>
      <c r="BT59" s="13"/>
      <c r="BU59" s="13"/>
      <c r="BV59" s="13"/>
      <c r="BW59" s="13"/>
      <c r="BX59" s="13"/>
      <c r="BY59" s="13"/>
      <c r="BZ59" s="13"/>
      <c r="CA59" s="13"/>
      <c r="CB59" s="13"/>
      <c r="CC59" s="13"/>
      <c r="CD59" s="13"/>
      <c r="CE59" s="13"/>
      <c r="CF59" s="13"/>
      <c r="CG59" s="13"/>
      <c r="CH59" s="13"/>
      <c r="CI59" s="13"/>
      <c r="CJ59" s="13"/>
      <c r="CK59" s="13"/>
      <c r="CL59" s="13"/>
      <c r="CM59" s="13"/>
      <c r="CN59" s="13"/>
      <c r="CO59" s="13"/>
      <c r="CP59" s="13"/>
      <c r="CQ59" s="13"/>
      <c r="CR59" s="13"/>
      <c r="CS59" s="13"/>
      <c r="CT59" s="13"/>
      <c r="CU59" s="13"/>
      <c r="CV59" s="13"/>
      <c r="CW59" s="13"/>
      <c r="CX59" s="13"/>
      <c r="CY59" s="13"/>
      <c r="CZ59" s="13"/>
      <c r="DA59" s="13"/>
      <c r="DB59" s="13"/>
      <c r="DC59" s="13"/>
      <c r="DD59" s="13"/>
      <c r="DE59" s="13"/>
      <c r="DF59" s="13"/>
      <c r="DG59" s="13"/>
      <c r="DH59" s="13"/>
      <c r="DI59" s="13"/>
      <c r="DJ59" s="13"/>
      <c r="DK59" s="13"/>
      <c r="DL59" s="13"/>
      <c r="DM59" s="13"/>
      <c r="DN59" s="13"/>
      <c r="DO59" s="13"/>
      <c r="DP59" s="13"/>
      <c r="DQ59" s="13"/>
      <c r="DR59" s="13"/>
      <c r="DS59" s="13"/>
      <c r="DT59" s="13"/>
      <c r="DU59" s="13"/>
      <c r="DV59" s="13"/>
      <c r="DW59" s="13"/>
    </row>
    <row r="60" spans="1:127">
      <c r="A60" s="13" t="str">
        <f>Schedule_Data!A61</f>
        <v>ARR-143</v>
      </c>
      <c r="B60" s="13" t="str">
        <f>Schedule_Data!B61</f>
        <v>5.0</v>
      </c>
      <c r="C60" s="13" t="str">
        <f>Schedule_Data!C61</f>
        <v>Arrive/berth AGI</v>
      </c>
      <c r="D60" s="24" t="str">
        <f>Schedule_Data!D61</f>
        <v>AGI_UNLOAD</v>
      </c>
      <c r="E60" s="33">
        <f>Schedule_Data!F61</f>
        <v>46084</v>
      </c>
      <c r="F60" s="33">
        <f>Schedule_Data!G61</f>
        <v>46084</v>
      </c>
      <c r="G60" s="13">
        <f>Schedule_Data!H61</f>
        <v>0</v>
      </c>
      <c r="H60" s="13"/>
      <c r="I60" s="13"/>
      <c r="J60" s="13"/>
      <c r="K60" s="13"/>
      <c r="L60" s="13"/>
      <c r="M60" s="13"/>
      <c r="N60" s="13"/>
      <c r="O60" s="13"/>
      <c r="P60" s="13"/>
      <c r="Q60" s="13"/>
      <c r="R60" s="13"/>
      <c r="S60" s="13"/>
      <c r="T60" s="13"/>
      <c r="U60" s="13"/>
      <c r="V60" s="13"/>
      <c r="W60" s="13"/>
      <c r="X60" s="13"/>
      <c r="Y60" s="13"/>
      <c r="Z60" s="13"/>
      <c r="AA60" s="13"/>
      <c r="AB60" s="13"/>
      <c r="AC60" s="13"/>
      <c r="AD60" s="13"/>
      <c r="AE60" s="13"/>
      <c r="AF60" s="13"/>
      <c r="AG60" s="13"/>
      <c r="AH60" s="13"/>
      <c r="AI60" s="13"/>
      <c r="AJ60" s="13"/>
      <c r="AK60" s="13"/>
      <c r="AL60" s="13"/>
      <c r="AM60" s="13"/>
      <c r="AN60" s="13"/>
      <c r="AO60" s="13"/>
      <c r="AP60" s="13"/>
      <c r="AQ60" s="13"/>
      <c r="AR60" s="13"/>
      <c r="AS60" s="13"/>
      <c r="AT60" s="13"/>
      <c r="AU60" s="13"/>
      <c r="AV60" s="13"/>
      <c r="AW60" s="13"/>
      <c r="AX60" s="13"/>
      <c r="AY60" s="13"/>
      <c r="AZ60" s="13"/>
      <c r="BA60" s="13"/>
      <c r="BB60" s="13"/>
      <c r="BC60" s="39" t="s">
        <v>270</v>
      </c>
      <c r="BD60" s="13"/>
      <c r="BE60" s="13"/>
      <c r="BF60" s="13"/>
      <c r="BG60" s="13"/>
      <c r="BH60" s="13"/>
      <c r="BI60" s="13"/>
      <c r="BJ60" s="13"/>
      <c r="BK60" s="13"/>
      <c r="BL60" s="13"/>
      <c r="BM60" s="13"/>
      <c r="BN60" s="13"/>
      <c r="BO60" s="13"/>
      <c r="BP60" s="13"/>
      <c r="BQ60" s="13"/>
      <c r="BR60" s="13"/>
      <c r="BS60" s="13"/>
      <c r="BT60" s="13"/>
      <c r="BU60" s="13"/>
      <c r="BV60" s="13"/>
      <c r="BW60" s="13"/>
      <c r="BX60" s="13"/>
      <c r="BY60" s="13"/>
      <c r="BZ60" s="13"/>
      <c r="CA60" s="13"/>
      <c r="CB60" s="13"/>
      <c r="CC60" s="13"/>
      <c r="CD60" s="13"/>
      <c r="CE60" s="13"/>
      <c r="CF60" s="13"/>
      <c r="CG60" s="13"/>
      <c r="CH60" s="13"/>
      <c r="CI60" s="13"/>
      <c r="CJ60" s="13"/>
      <c r="CK60" s="13"/>
      <c r="CL60" s="13"/>
      <c r="CM60" s="13"/>
      <c r="CN60" s="13"/>
      <c r="CO60" s="13"/>
      <c r="CP60" s="13"/>
      <c r="CQ60" s="13"/>
      <c r="CR60" s="13"/>
      <c r="CS60" s="13"/>
      <c r="CT60" s="13"/>
      <c r="CU60" s="13"/>
      <c r="CV60" s="13"/>
      <c r="CW60" s="13"/>
      <c r="CX60" s="13"/>
      <c r="CY60" s="13"/>
      <c r="CZ60" s="13"/>
      <c r="DA60" s="13"/>
      <c r="DB60" s="13"/>
      <c r="DC60" s="13"/>
      <c r="DD60" s="13"/>
      <c r="DE60" s="13"/>
      <c r="DF60" s="13"/>
      <c r="DG60" s="13"/>
      <c r="DH60" s="13"/>
      <c r="DI60" s="13"/>
      <c r="DJ60" s="13"/>
      <c r="DK60" s="13"/>
      <c r="DL60" s="13"/>
      <c r="DM60" s="13"/>
      <c r="DN60" s="13"/>
      <c r="DO60" s="13"/>
      <c r="DP60" s="13"/>
      <c r="DQ60" s="13"/>
      <c r="DR60" s="13"/>
      <c r="DS60" s="13"/>
      <c r="DT60" s="13"/>
      <c r="DU60" s="13"/>
      <c r="DV60" s="13"/>
      <c r="DW60" s="13"/>
    </row>
    <row r="61" spans="1:127">
      <c r="A61" s="13" t="str">
        <f>Schedule_Data!A62</f>
        <v>STORE-144</v>
      </c>
      <c r="B61" s="13" t="str">
        <f>Schedule_Data!B62</f>
        <v>5.0</v>
      </c>
      <c r="C61" s="13" t="str">
        <f>Schedule_Data!C62</f>
        <v>Unload &amp; store TR5 laydown</v>
      </c>
      <c r="D61" s="22" t="str">
        <f>Schedule_Data!D62</f>
        <v>BUFFER</v>
      </c>
      <c r="E61" s="33">
        <f>Schedule_Data!F62</f>
        <v>46085</v>
      </c>
      <c r="F61" s="33">
        <f>Schedule_Data!G62</f>
        <v>46085</v>
      </c>
      <c r="G61" s="13">
        <f>Schedule_Data!H62</f>
        <v>0</v>
      </c>
      <c r="H61" s="13"/>
      <c r="I61" s="13"/>
      <c r="J61" s="13"/>
      <c r="K61" s="13"/>
      <c r="L61" s="13"/>
      <c r="M61" s="13"/>
      <c r="N61" s="13"/>
      <c r="O61" s="13"/>
      <c r="P61" s="13"/>
      <c r="Q61" s="13"/>
      <c r="R61" s="13"/>
      <c r="S61" s="13"/>
      <c r="T61" s="13"/>
      <c r="U61" s="13"/>
      <c r="V61" s="13"/>
      <c r="W61" s="13"/>
      <c r="X61" s="13"/>
      <c r="Y61" s="13"/>
      <c r="Z61" s="13"/>
      <c r="AA61" s="13"/>
      <c r="AB61" s="13"/>
      <c r="AC61" s="13"/>
      <c r="AD61" s="13"/>
      <c r="AE61" s="13"/>
      <c r="AF61" s="13"/>
      <c r="AG61" s="13"/>
      <c r="AH61" s="13"/>
      <c r="AI61" s="13"/>
      <c r="AJ61" s="13"/>
      <c r="AK61" s="13"/>
      <c r="AL61" s="13"/>
      <c r="AM61" s="13"/>
      <c r="AN61" s="13"/>
      <c r="AO61" s="13"/>
      <c r="AP61" s="13"/>
      <c r="AQ61" s="13"/>
      <c r="AR61" s="13"/>
      <c r="AS61" s="13"/>
      <c r="AT61" s="13"/>
      <c r="AU61" s="13"/>
      <c r="AV61" s="13"/>
      <c r="AW61" s="13"/>
      <c r="AX61" s="13"/>
      <c r="AY61" s="13"/>
      <c r="AZ61" s="13"/>
      <c r="BA61" s="13"/>
      <c r="BB61" s="13"/>
      <c r="BC61" s="13"/>
      <c r="BD61" s="22"/>
      <c r="BE61" s="13"/>
      <c r="BF61" s="13"/>
      <c r="BG61" s="13"/>
      <c r="BH61" s="13"/>
      <c r="BI61" s="13"/>
      <c r="BJ61" s="13"/>
      <c r="BK61" s="13"/>
      <c r="BL61" s="13"/>
      <c r="BM61" s="13"/>
      <c r="BN61" s="13"/>
      <c r="BO61" s="13"/>
      <c r="BP61" s="13"/>
      <c r="BQ61" s="13"/>
      <c r="BR61" s="13"/>
      <c r="BS61" s="13"/>
      <c r="BT61" s="13"/>
      <c r="BU61" s="13"/>
      <c r="BV61" s="13"/>
      <c r="BW61" s="13"/>
      <c r="BX61" s="13"/>
      <c r="BY61" s="13"/>
      <c r="BZ61" s="13"/>
      <c r="CA61" s="13"/>
      <c r="CB61" s="13"/>
      <c r="CC61" s="13"/>
      <c r="CD61" s="13"/>
      <c r="CE61" s="13"/>
      <c r="CF61" s="13"/>
      <c r="CG61" s="13"/>
      <c r="CH61" s="13"/>
      <c r="CI61" s="13"/>
      <c r="CJ61" s="13"/>
      <c r="CK61" s="13"/>
      <c r="CL61" s="13"/>
      <c r="CM61" s="13"/>
      <c r="CN61" s="13"/>
      <c r="CO61" s="13"/>
      <c r="CP61" s="13"/>
      <c r="CQ61" s="13"/>
      <c r="CR61" s="13"/>
      <c r="CS61" s="13"/>
      <c r="CT61" s="13"/>
      <c r="CU61" s="13"/>
      <c r="CV61" s="13"/>
      <c r="CW61" s="13"/>
      <c r="CX61" s="13"/>
      <c r="CY61" s="13"/>
      <c r="CZ61" s="13"/>
      <c r="DA61" s="13"/>
      <c r="DB61" s="13"/>
      <c r="DC61" s="13"/>
      <c r="DD61" s="13"/>
      <c r="DE61" s="13"/>
      <c r="DF61" s="13"/>
      <c r="DG61" s="13"/>
      <c r="DH61" s="13"/>
      <c r="DI61" s="13"/>
      <c r="DJ61" s="13"/>
      <c r="DK61" s="13"/>
      <c r="DL61" s="13"/>
      <c r="DM61" s="13"/>
      <c r="DN61" s="13"/>
      <c r="DO61" s="13"/>
      <c r="DP61" s="13"/>
      <c r="DQ61" s="13"/>
      <c r="DR61" s="13"/>
      <c r="DS61" s="13"/>
      <c r="DT61" s="13"/>
      <c r="DU61" s="13"/>
      <c r="DV61" s="13"/>
      <c r="DW61" s="13"/>
    </row>
    <row r="62" spans="1:127">
      <c r="A62" s="13" t="str">
        <f>Schedule_Data!A63</f>
        <v>RET-145</v>
      </c>
      <c r="B62" s="13" t="str">
        <f>Schedule_Data!B63</f>
        <v>5.0</v>
      </c>
      <c r="C62" s="13" t="str">
        <f>Schedule_Data!C63</f>
        <v>LCT Return to MZP</v>
      </c>
      <c r="D62" s="25" t="str">
        <f>Schedule_Data!D63</f>
        <v>RETURN</v>
      </c>
      <c r="E62" s="33">
        <f>Schedule_Data!F63</f>
        <v>46086</v>
      </c>
      <c r="F62" s="33">
        <f>Schedule_Data!G63</f>
        <v>46086</v>
      </c>
      <c r="G62" s="13">
        <f>Schedule_Data!H63</f>
        <v>0</v>
      </c>
      <c r="H62" s="13"/>
      <c r="I62" s="13"/>
      <c r="J62" s="13"/>
      <c r="K62" s="13"/>
      <c r="L62" s="13"/>
      <c r="M62" s="13"/>
      <c r="N62" s="13"/>
      <c r="O62" s="13"/>
      <c r="P62" s="13"/>
      <c r="Q62" s="13"/>
      <c r="R62" s="13"/>
      <c r="S62" s="13"/>
      <c r="T62" s="13"/>
      <c r="U62" s="13"/>
      <c r="V62" s="13"/>
      <c r="W62" s="13"/>
      <c r="X62" s="13"/>
      <c r="Y62" s="13"/>
      <c r="Z62" s="13"/>
      <c r="AA62" s="13"/>
      <c r="AB62" s="13"/>
      <c r="AC62" s="13"/>
      <c r="AD62" s="13"/>
      <c r="AE62" s="13"/>
      <c r="AF62" s="13"/>
      <c r="AG62" s="13"/>
      <c r="AH62" s="13"/>
      <c r="AI62" s="13"/>
      <c r="AJ62" s="13"/>
      <c r="AK62" s="13"/>
      <c r="AL62" s="13"/>
      <c r="AM62" s="13"/>
      <c r="AN62" s="13"/>
      <c r="AO62" s="13"/>
      <c r="AP62" s="13"/>
      <c r="AQ62" s="13"/>
      <c r="AR62" s="13"/>
      <c r="AS62" s="13"/>
      <c r="AT62" s="13"/>
      <c r="AU62" s="13"/>
      <c r="AV62" s="13"/>
      <c r="AW62" s="13"/>
      <c r="AX62" s="13"/>
      <c r="AY62" s="13"/>
      <c r="AZ62" s="13"/>
      <c r="BA62" s="13"/>
      <c r="BB62" s="13"/>
      <c r="BC62" s="13"/>
      <c r="BD62" s="13"/>
      <c r="BE62" s="40" t="s">
        <v>270</v>
      </c>
      <c r="BF62" s="13"/>
      <c r="BG62" s="13"/>
      <c r="BH62" s="13"/>
      <c r="BI62" s="13"/>
      <c r="BJ62" s="13"/>
      <c r="BK62" s="13"/>
      <c r="BL62" s="13"/>
      <c r="BM62" s="13"/>
      <c r="BN62" s="13"/>
      <c r="BO62" s="13"/>
      <c r="BP62" s="13"/>
      <c r="BQ62" s="13"/>
      <c r="BR62" s="13"/>
      <c r="BS62" s="13"/>
      <c r="BT62" s="13"/>
      <c r="BU62" s="13"/>
      <c r="BV62" s="13"/>
      <c r="BW62" s="13"/>
      <c r="BX62" s="13"/>
      <c r="BY62" s="13"/>
      <c r="BZ62" s="13"/>
      <c r="CA62" s="13"/>
      <c r="CB62" s="13"/>
      <c r="CC62" s="13"/>
      <c r="CD62" s="13"/>
      <c r="CE62" s="13"/>
      <c r="CF62" s="13"/>
      <c r="CG62" s="13"/>
      <c r="CH62" s="13"/>
      <c r="CI62" s="13"/>
      <c r="CJ62" s="13"/>
      <c r="CK62" s="13"/>
      <c r="CL62" s="13"/>
      <c r="CM62" s="13"/>
      <c r="CN62" s="13"/>
      <c r="CO62" s="13"/>
      <c r="CP62" s="13"/>
      <c r="CQ62" s="13"/>
      <c r="CR62" s="13"/>
      <c r="CS62" s="13"/>
      <c r="CT62" s="13"/>
      <c r="CU62" s="13"/>
      <c r="CV62" s="13"/>
      <c r="CW62" s="13"/>
      <c r="CX62" s="13"/>
      <c r="CY62" s="13"/>
      <c r="CZ62" s="13"/>
      <c r="DA62" s="13"/>
      <c r="DB62" s="13"/>
      <c r="DC62" s="13"/>
      <c r="DD62" s="13"/>
      <c r="DE62" s="13"/>
      <c r="DF62" s="13"/>
      <c r="DG62" s="13"/>
      <c r="DH62" s="13"/>
      <c r="DI62" s="13"/>
      <c r="DJ62" s="13"/>
      <c r="DK62" s="13"/>
      <c r="DL62" s="13"/>
      <c r="DM62" s="13"/>
      <c r="DN62" s="13"/>
      <c r="DO62" s="13"/>
      <c r="DP62" s="13"/>
      <c r="DQ62" s="13"/>
      <c r="DR62" s="13"/>
      <c r="DS62" s="13"/>
      <c r="DT62" s="13"/>
      <c r="DU62" s="13"/>
      <c r="DV62" s="13"/>
      <c r="DW62" s="13"/>
    </row>
    <row r="63" spans="1:127">
      <c r="A63" s="13" t="str">
        <f>Schedule_Data!A64</f>
        <v>BUF-146</v>
      </c>
      <c r="B63" s="13" t="str">
        <f>Schedule_Data!B64</f>
        <v>5.0</v>
      </c>
      <c r="C63" s="13" t="str">
        <f>Schedule_Data!C64</f>
        <v>Buffer</v>
      </c>
      <c r="D63" s="22" t="str">
        <f>Schedule_Data!D64</f>
        <v>BUFFER</v>
      </c>
      <c r="E63" s="33">
        <f>Schedule_Data!F64</f>
        <v>46087</v>
      </c>
      <c r="F63" s="33">
        <f>Schedule_Data!G64</f>
        <v>46087</v>
      </c>
      <c r="G63" s="13">
        <f>Schedule_Data!H64</f>
        <v>0</v>
      </c>
      <c r="H63" s="13"/>
      <c r="I63" s="13"/>
      <c r="J63" s="13"/>
      <c r="K63" s="13"/>
      <c r="L63" s="13"/>
      <c r="M63" s="13"/>
      <c r="N63" s="13"/>
      <c r="O63" s="13"/>
      <c r="P63" s="13"/>
      <c r="Q63" s="13"/>
      <c r="R63" s="13"/>
      <c r="S63" s="13"/>
      <c r="T63" s="13"/>
      <c r="U63" s="13"/>
      <c r="V63" s="13"/>
      <c r="W63" s="13"/>
      <c r="X63" s="13"/>
      <c r="Y63" s="13"/>
      <c r="Z63" s="13"/>
      <c r="AA63" s="13"/>
      <c r="AB63" s="13"/>
      <c r="AC63" s="13"/>
      <c r="AD63" s="13"/>
      <c r="AE63" s="13"/>
      <c r="AF63" s="13"/>
      <c r="AG63" s="13"/>
      <c r="AH63" s="13"/>
      <c r="AI63" s="13"/>
      <c r="AJ63" s="13"/>
      <c r="AK63" s="13"/>
      <c r="AL63" s="13"/>
      <c r="AM63" s="13"/>
      <c r="AN63" s="13"/>
      <c r="AO63" s="13"/>
      <c r="AP63" s="13"/>
      <c r="AQ63" s="13"/>
      <c r="AR63" s="13"/>
      <c r="AS63" s="13"/>
      <c r="AT63" s="13"/>
      <c r="AU63" s="13"/>
      <c r="AV63" s="13"/>
      <c r="AW63" s="13"/>
      <c r="AX63" s="13"/>
      <c r="AY63" s="13"/>
      <c r="AZ63" s="13"/>
      <c r="BA63" s="13"/>
      <c r="BB63" s="13"/>
      <c r="BC63" s="13"/>
      <c r="BD63" s="13"/>
      <c r="BE63" s="13"/>
      <c r="BF63" s="22"/>
      <c r="BG63" s="13"/>
      <c r="BH63" s="13"/>
      <c r="BI63" s="13"/>
      <c r="BJ63" s="13"/>
      <c r="BK63" s="13"/>
      <c r="BL63" s="13"/>
      <c r="BM63" s="13"/>
      <c r="BN63" s="13"/>
      <c r="BO63" s="13"/>
      <c r="BP63" s="13"/>
      <c r="BQ63" s="13"/>
      <c r="BR63" s="13"/>
      <c r="BS63" s="13"/>
      <c r="BT63" s="13"/>
      <c r="BU63" s="13"/>
      <c r="BV63" s="13"/>
      <c r="BW63" s="13"/>
      <c r="BX63" s="13"/>
      <c r="BY63" s="13"/>
      <c r="BZ63" s="13"/>
      <c r="CA63" s="13"/>
      <c r="CB63" s="13"/>
      <c r="CC63" s="13"/>
      <c r="CD63" s="13"/>
      <c r="CE63" s="13"/>
      <c r="CF63" s="13"/>
      <c r="CG63" s="13"/>
      <c r="CH63" s="13"/>
      <c r="CI63" s="13"/>
      <c r="CJ63" s="13"/>
      <c r="CK63" s="13"/>
      <c r="CL63" s="13"/>
      <c r="CM63" s="13"/>
      <c r="CN63" s="13"/>
      <c r="CO63" s="13"/>
      <c r="CP63" s="13"/>
      <c r="CQ63" s="13"/>
      <c r="CR63" s="13"/>
      <c r="CS63" s="13"/>
      <c r="CT63" s="13"/>
      <c r="CU63" s="13"/>
      <c r="CV63" s="13"/>
      <c r="CW63" s="13"/>
      <c r="CX63" s="13"/>
      <c r="CY63" s="13"/>
      <c r="CZ63" s="13"/>
      <c r="DA63" s="13"/>
      <c r="DB63" s="13"/>
      <c r="DC63" s="13"/>
      <c r="DD63" s="13"/>
      <c r="DE63" s="13"/>
      <c r="DF63" s="13"/>
      <c r="DG63" s="13"/>
      <c r="DH63" s="13"/>
      <c r="DI63" s="13"/>
      <c r="DJ63" s="13"/>
      <c r="DK63" s="13"/>
      <c r="DL63" s="13"/>
      <c r="DM63" s="13"/>
      <c r="DN63" s="13"/>
      <c r="DO63" s="13"/>
      <c r="DP63" s="13"/>
      <c r="DQ63" s="13"/>
      <c r="DR63" s="13"/>
      <c r="DS63" s="13"/>
      <c r="DT63" s="13"/>
      <c r="DU63" s="13"/>
      <c r="DV63" s="13"/>
      <c r="DW63" s="13"/>
    </row>
    <row r="64" spans="1:127">
      <c r="A64" s="13" t="str">
        <f>Schedule_Data!A65</f>
        <v>V6</v>
      </c>
      <c r="B64" s="13" t="str">
        <f>Schedule_Data!B65</f>
        <v>6.0</v>
      </c>
      <c r="C64" s="13" t="str">
        <f>Schedule_Data!C65</f>
        <v>VOYAGE 6: TR6 Transport + JD-3</v>
      </c>
      <c r="D64" s="34" t="str">
        <f>Schedule_Data!D65</f>
        <v>MILESTONE</v>
      </c>
      <c r="E64" s="33">
        <f>Schedule_Data!F65</f>
        <v>46090</v>
      </c>
      <c r="F64" s="33">
        <f>Schedule_Data!G65</f>
        <v>46090</v>
      </c>
      <c r="G64" s="13">
        <f>Schedule_Data!H65</f>
        <v>0</v>
      </c>
      <c r="H64" s="13"/>
      <c r="I64" s="13"/>
      <c r="J64" s="13"/>
      <c r="K64" s="13"/>
      <c r="L64" s="13"/>
      <c r="M64" s="13"/>
      <c r="N64" s="13"/>
      <c r="O64" s="13"/>
      <c r="P64" s="13"/>
      <c r="Q64" s="13"/>
      <c r="R64" s="13"/>
      <c r="S64" s="13"/>
      <c r="T64" s="13"/>
      <c r="U64" s="13"/>
      <c r="V64" s="13"/>
      <c r="W64" s="13"/>
      <c r="X64" s="13"/>
      <c r="Y64" s="13"/>
      <c r="Z64" s="13"/>
      <c r="AA64" s="13"/>
      <c r="AB64" s="13"/>
      <c r="AC64" s="13"/>
      <c r="AD64" s="13"/>
      <c r="AE64" s="13"/>
      <c r="AF64" s="13"/>
      <c r="AG64" s="13"/>
      <c r="AH64" s="13"/>
      <c r="AI64" s="13"/>
      <c r="AJ64" s="13"/>
      <c r="AK64" s="13"/>
      <c r="AL64" s="13"/>
      <c r="AM64" s="13"/>
      <c r="AN64" s="13"/>
      <c r="AO64" s="13"/>
      <c r="AP64" s="13"/>
      <c r="AQ64" s="13"/>
      <c r="AR64" s="13"/>
      <c r="AS64" s="13"/>
      <c r="AT64" s="13"/>
      <c r="AU64" s="13"/>
      <c r="AV64" s="13"/>
      <c r="AW64" s="13"/>
      <c r="AX64" s="13"/>
      <c r="AY64" s="13"/>
      <c r="AZ64" s="13"/>
      <c r="BA64" s="13"/>
      <c r="BB64" s="13"/>
      <c r="BC64" s="13"/>
      <c r="BD64" s="13"/>
      <c r="BE64" s="13"/>
      <c r="BF64" s="13"/>
      <c r="BG64" s="13"/>
      <c r="BH64" s="13"/>
      <c r="BI64" s="35" t="s">
        <v>270</v>
      </c>
      <c r="BJ64" s="13"/>
      <c r="BK64" s="13"/>
      <c r="BL64" s="13"/>
      <c r="BM64" s="13"/>
      <c r="BN64" s="13"/>
      <c r="BO64" s="13"/>
      <c r="BP64" s="13"/>
      <c r="BQ64" s="13"/>
      <c r="BR64" s="13"/>
      <c r="BS64" s="13"/>
      <c r="BT64" s="13"/>
      <c r="BU64" s="13"/>
      <c r="BV64" s="13"/>
      <c r="BW64" s="13"/>
      <c r="BX64" s="13"/>
      <c r="BY64" s="13"/>
      <c r="BZ64" s="13"/>
      <c r="CA64" s="13"/>
      <c r="CB64" s="13"/>
      <c r="CC64" s="13"/>
      <c r="CD64" s="13"/>
      <c r="CE64" s="13"/>
      <c r="CF64" s="13"/>
      <c r="CG64" s="13"/>
      <c r="CH64" s="13"/>
      <c r="CI64" s="13"/>
      <c r="CJ64" s="13"/>
      <c r="CK64" s="13"/>
      <c r="CL64" s="13"/>
      <c r="CM64" s="13"/>
      <c r="CN64" s="13"/>
      <c r="CO64" s="13"/>
      <c r="CP64" s="13"/>
      <c r="CQ64" s="13"/>
      <c r="CR64" s="13"/>
      <c r="CS64" s="13"/>
      <c r="CT64" s="13"/>
      <c r="CU64" s="13"/>
      <c r="CV64" s="13"/>
      <c r="CW64" s="13"/>
      <c r="CX64" s="13"/>
      <c r="CY64" s="13"/>
      <c r="CZ64" s="13"/>
      <c r="DA64" s="13"/>
      <c r="DB64" s="13"/>
      <c r="DC64" s="13"/>
      <c r="DD64" s="13"/>
      <c r="DE64" s="13"/>
      <c r="DF64" s="13"/>
      <c r="DG64" s="13"/>
      <c r="DH64" s="13"/>
      <c r="DI64" s="13"/>
      <c r="DJ64" s="13"/>
      <c r="DK64" s="13"/>
      <c r="DL64" s="13"/>
      <c r="DM64" s="13"/>
      <c r="DN64" s="13"/>
      <c r="DO64" s="13"/>
      <c r="DP64" s="13"/>
      <c r="DQ64" s="13"/>
      <c r="DR64" s="13"/>
      <c r="DS64" s="13"/>
      <c r="DT64" s="13"/>
      <c r="DU64" s="13"/>
      <c r="DV64" s="13"/>
      <c r="DW64" s="13"/>
    </row>
    <row r="65" spans="1:127">
      <c r="A65" s="13" t="str">
        <f>Schedule_Data!A66</f>
        <v>LO-147</v>
      </c>
      <c r="B65" s="13" t="str">
        <f>Schedule_Data!B66</f>
        <v>6.0</v>
      </c>
      <c r="C65" s="13" t="str">
        <f>Schedule_Data!C66</f>
        <v>Loadout TR6</v>
      </c>
      <c r="D65" s="20" t="str">
        <f>Schedule_Data!D66</f>
        <v>LOADOUT</v>
      </c>
      <c r="E65" s="33">
        <f>Schedule_Data!F66</f>
        <v>46090</v>
      </c>
      <c r="F65" s="33">
        <f>Schedule_Data!G66</f>
        <v>46090</v>
      </c>
      <c r="G65" s="13">
        <f>Schedule_Data!H66</f>
        <v>0</v>
      </c>
      <c r="H65" s="13"/>
      <c r="I65" s="13"/>
      <c r="J65" s="13"/>
      <c r="K65" s="13"/>
      <c r="L65" s="13"/>
      <c r="M65" s="13"/>
      <c r="N65" s="13"/>
      <c r="O65" s="13"/>
      <c r="P65" s="13"/>
      <c r="Q65" s="13"/>
      <c r="R65" s="13"/>
      <c r="S65" s="13"/>
      <c r="T65" s="13"/>
      <c r="U65" s="13"/>
      <c r="V65" s="13"/>
      <c r="W65" s="13"/>
      <c r="X65" s="13"/>
      <c r="Y65" s="13"/>
      <c r="Z65" s="13"/>
      <c r="AA65" s="13"/>
      <c r="AB65" s="13"/>
      <c r="AC65" s="13"/>
      <c r="AD65" s="13"/>
      <c r="AE65" s="13"/>
      <c r="AF65" s="13"/>
      <c r="AG65" s="13"/>
      <c r="AH65" s="13"/>
      <c r="AI65" s="13"/>
      <c r="AJ65" s="13"/>
      <c r="AK65" s="13"/>
      <c r="AL65" s="13"/>
      <c r="AM65" s="13"/>
      <c r="AN65" s="13"/>
      <c r="AO65" s="13"/>
      <c r="AP65" s="13"/>
      <c r="AQ65" s="13"/>
      <c r="AR65" s="13"/>
      <c r="AS65" s="13"/>
      <c r="AT65" s="13"/>
      <c r="AU65" s="13"/>
      <c r="AV65" s="13"/>
      <c r="AW65" s="13"/>
      <c r="AX65" s="13"/>
      <c r="AY65" s="13"/>
      <c r="AZ65" s="13"/>
      <c r="BA65" s="13"/>
      <c r="BB65" s="13"/>
      <c r="BC65" s="13"/>
      <c r="BD65" s="13"/>
      <c r="BE65" s="13"/>
      <c r="BF65" s="13"/>
      <c r="BG65" s="13"/>
      <c r="BH65" s="13"/>
      <c r="BI65" s="20"/>
      <c r="BJ65" s="13"/>
      <c r="BK65" s="13"/>
      <c r="BL65" s="13"/>
      <c r="BM65" s="13"/>
      <c r="BN65" s="13"/>
      <c r="BO65" s="13"/>
      <c r="BP65" s="13"/>
      <c r="BQ65" s="13"/>
      <c r="BR65" s="13"/>
      <c r="BS65" s="13"/>
      <c r="BT65" s="13"/>
      <c r="BU65" s="13"/>
      <c r="BV65" s="13"/>
      <c r="BW65" s="13"/>
      <c r="BX65" s="13"/>
      <c r="BY65" s="13"/>
      <c r="BZ65" s="13"/>
      <c r="CA65" s="13"/>
      <c r="CB65" s="13"/>
      <c r="CC65" s="13"/>
      <c r="CD65" s="13"/>
      <c r="CE65" s="13"/>
      <c r="CF65" s="13"/>
      <c r="CG65" s="13"/>
      <c r="CH65" s="13"/>
      <c r="CI65" s="13"/>
      <c r="CJ65" s="13"/>
      <c r="CK65" s="13"/>
      <c r="CL65" s="13"/>
      <c r="CM65" s="13"/>
      <c r="CN65" s="13"/>
      <c r="CO65" s="13"/>
      <c r="CP65" s="13"/>
      <c r="CQ65" s="13"/>
      <c r="CR65" s="13"/>
      <c r="CS65" s="13"/>
      <c r="CT65" s="13"/>
      <c r="CU65" s="13"/>
      <c r="CV65" s="13"/>
      <c r="CW65" s="13"/>
      <c r="CX65" s="13"/>
      <c r="CY65" s="13"/>
      <c r="CZ65" s="13"/>
      <c r="DA65" s="13"/>
      <c r="DB65" s="13"/>
      <c r="DC65" s="13"/>
      <c r="DD65" s="13"/>
      <c r="DE65" s="13"/>
      <c r="DF65" s="13"/>
      <c r="DG65" s="13"/>
      <c r="DH65" s="13"/>
      <c r="DI65" s="13"/>
      <c r="DJ65" s="13"/>
      <c r="DK65" s="13"/>
      <c r="DL65" s="13"/>
      <c r="DM65" s="13"/>
      <c r="DN65" s="13"/>
      <c r="DO65" s="13"/>
      <c r="DP65" s="13"/>
      <c r="DQ65" s="13"/>
      <c r="DR65" s="13"/>
      <c r="DS65" s="13"/>
      <c r="DT65" s="13"/>
      <c r="DU65" s="13"/>
      <c r="DV65" s="13"/>
      <c r="DW65" s="13"/>
    </row>
    <row r="66" spans="1:127">
      <c r="A66" s="13" t="str">
        <f>Schedule_Data!A67</f>
        <v>SF-148</v>
      </c>
      <c r="B66" s="13" t="str">
        <f>Schedule_Data!B67</f>
        <v>6.0</v>
      </c>
      <c r="C66" s="13" t="str">
        <f>Schedule_Data!C67</f>
        <v>Sea fastening TR6</v>
      </c>
      <c r="D66" s="21" t="str">
        <f>Schedule_Data!D67</f>
        <v>SEAFAST</v>
      </c>
      <c r="E66" s="33">
        <f>Schedule_Data!F67</f>
        <v>46090</v>
      </c>
      <c r="F66" s="33">
        <f>Schedule_Data!G67</f>
        <v>46090</v>
      </c>
      <c r="G66" s="13">
        <f>Schedule_Data!H67</f>
        <v>0</v>
      </c>
      <c r="H66" s="13"/>
      <c r="I66" s="13"/>
      <c r="J66" s="13"/>
      <c r="K66" s="13"/>
      <c r="L66" s="13"/>
      <c r="M66" s="13"/>
      <c r="N66" s="13"/>
      <c r="O66" s="13"/>
      <c r="P66" s="13"/>
      <c r="Q66" s="13"/>
      <c r="R66" s="13"/>
      <c r="S66" s="13"/>
      <c r="T66" s="13"/>
      <c r="U66" s="13"/>
      <c r="V66" s="13"/>
      <c r="W66" s="13"/>
      <c r="X66" s="13"/>
      <c r="Y66" s="13"/>
      <c r="Z66" s="13"/>
      <c r="AA66" s="13"/>
      <c r="AB66" s="13"/>
      <c r="AC66" s="13"/>
      <c r="AD66" s="13"/>
      <c r="AE66" s="13"/>
      <c r="AF66" s="13"/>
      <c r="AG66" s="13"/>
      <c r="AH66" s="13"/>
      <c r="AI66" s="13"/>
      <c r="AJ66" s="13"/>
      <c r="AK66" s="13"/>
      <c r="AL66" s="13"/>
      <c r="AM66" s="13"/>
      <c r="AN66" s="13"/>
      <c r="AO66" s="13"/>
      <c r="AP66" s="13"/>
      <c r="AQ66" s="13"/>
      <c r="AR66" s="13"/>
      <c r="AS66" s="13"/>
      <c r="AT66" s="13"/>
      <c r="AU66" s="13"/>
      <c r="AV66" s="13"/>
      <c r="AW66" s="13"/>
      <c r="AX66" s="13"/>
      <c r="AY66" s="13"/>
      <c r="AZ66" s="13"/>
      <c r="BA66" s="13"/>
      <c r="BB66" s="13"/>
      <c r="BC66" s="13"/>
      <c r="BD66" s="13"/>
      <c r="BE66" s="13"/>
      <c r="BF66" s="13"/>
      <c r="BG66" s="13"/>
      <c r="BH66" s="13"/>
      <c r="BI66" s="36" t="s">
        <v>270</v>
      </c>
      <c r="BJ66" s="13"/>
      <c r="BK66" s="13"/>
      <c r="BL66" s="13"/>
      <c r="BM66" s="13"/>
      <c r="BN66" s="13"/>
      <c r="BO66" s="13"/>
      <c r="BP66" s="13"/>
      <c r="BQ66" s="13"/>
      <c r="BR66" s="13"/>
      <c r="BS66" s="13"/>
      <c r="BT66" s="13"/>
      <c r="BU66" s="13"/>
      <c r="BV66" s="13"/>
      <c r="BW66" s="13"/>
      <c r="BX66" s="13"/>
      <c r="BY66" s="13"/>
      <c r="BZ66" s="13"/>
      <c r="CA66" s="13"/>
      <c r="CB66" s="13"/>
      <c r="CC66" s="13"/>
      <c r="CD66" s="13"/>
      <c r="CE66" s="13"/>
      <c r="CF66" s="13"/>
      <c r="CG66" s="13"/>
      <c r="CH66" s="13"/>
      <c r="CI66" s="13"/>
      <c r="CJ66" s="13"/>
      <c r="CK66" s="13"/>
      <c r="CL66" s="13"/>
      <c r="CM66" s="13"/>
      <c r="CN66" s="13"/>
      <c r="CO66" s="13"/>
      <c r="CP66" s="13"/>
      <c r="CQ66" s="13"/>
      <c r="CR66" s="13"/>
      <c r="CS66" s="13"/>
      <c r="CT66" s="13"/>
      <c r="CU66" s="13"/>
      <c r="CV66" s="13"/>
      <c r="CW66" s="13"/>
      <c r="CX66" s="13"/>
      <c r="CY66" s="13"/>
      <c r="CZ66" s="13"/>
      <c r="DA66" s="13"/>
      <c r="DB66" s="13"/>
      <c r="DC66" s="13"/>
      <c r="DD66" s="13"/>
      <c r="DE66" s="13"/>
      <c r="DF66" s="13"/>
      <c r="DG66" s="13"/>
      <c r="DH66" s="13"/>
      <c r="DI66" s="13"/>
      <c r="DJ66" s="13"/>
      <c r="DK66" s="13"/>
      <c r="DL66" s="13"/>
      <c r="DM66" s="13"/>
      <c r="DN66" s="13"/>
      <c r="DO66" s="13"/>
      <c r="DP66" s="13"/>
      <c r="DQ66" s="13"/>
      <c r="DR66" s="13"/>
      <c r="DS66" s="13"/>
      <c r="DT66" s="13"/>
      <c r="DU66" s="13"/>
      <c r="DV66" s="13"/>
      <c r="DW66" s="13"/>
    </row>
    <row r="67" spans="1:127">
      <c r="A67" s="13" t="str">
        <f>Schedule_Data!A68</f>
        <v>MWS-148A</v>
      </c>
      <c r="B67" s="13" t="str">
        <f>Schedule_Data!B68</f>
        <v>6.0</v>
      </c>
      <c r="C67" s="13" t="str">
        <f>Schedule_Data!C68</f>
        <v>MWS Survey + Final checks</v>
      </c>
      <c r="D67" s="22" t="str">
        <f>Schedule_Data!D68</f>
        <v>BUFFER</v>
      </c>
      <c r="E67" s="33">
        <f>Schedule_Data!F68</f>
        <v>46090</v>
      </c>
      <c r="F67" s="33">
        <f>Schedule_Data!G68</f>
        <v>46090</v>
      </c>
      <c r="G67" s="13">
        <f>Schedule_Data!H68</f>
        <v>0</v>
      </c>
      <c r="H67" s="13"/>
      <c r="I67" s="13"/>
      <c r="J67" s="13"/>
      <c r="K67" s="13"/>
      <c r="L67" s="13"/>
      <c r="M67" s="13"/>
      <c r="N67" s="13"/>
      <c r="O67" s="13"/>
      <c r="P67" s="13"/>
      <c r="Q67" s="13"/>
      <c r="R67" s="13"/>
      <c r="S67" s="13"/>
      <c r="T67" s="13"/>
      <c r="U67" s="13"/>
      <c r="V67" s="13"/>
      <c r="W67" s="13"/>
      <c r="X67" s="13"/>
      <c r="Y67" s="13"/>
      <c r="Z67" s="13"/>
      <c r="AA67" s="13"/>
      <c r="AB67" s="13"/>
      <c r="AC67" s="13"/>
      <c r="AD67" s="13"/>
      <c r="AE67" s="13"/>
      <c r="AF67" s="13"/>
      <c r="AG67" s="13"/>
      <c r="AH67" s="13"/>
      <c r="AI67" s="13"/>
      <c r="AJ67" s="13"/>
      <c r="AK67" s="13"/>
      <c r="AL67" s="13"/>
      <c r="AM67" s="13"/>
      <c r="AN67" s="13"/>
      <c r="AO67" s="13"/>
      <c r="AP67" s="13"/>
      <c r="AQ67" s="13"/>
      <c r="AR67" s="13"/>
      <c r="AS67" s="13"/>
      <c r="AT67" s="13"/>
      <c r="AU67" s="13"/>
      <c r="AV67" s="13"/>
      <c r="AW67" s="13"/>
      <c r="AX67" s="13"/>
      <c r="AY67" s="13"/>
      <c r="AZ67" s="13"/>
      <c r="BA67" s="13"/>
      <c r="BB67" s="13"/>
      <c r="BC67" s="13"/>
      <c r="BD67" s="13"/>
      <c r="BE67" s="13"/>
      <c r="BF67" s="13"/>
      <c r="BG67" s="13"/>
      <c r="BH67" s="13"/>
      <c r="BI67" s="37" t="s">
        <v>270</v>
      </c>
      <c r="BJ67" s="13"/>
      <c r="BK67" s="13"/>
      <c r="BL67" s="13"/>
      <c r="BM67" s="13"/>
      <c r="BN67" s="13"/>
      <c r="BO67" s="13"/>
      <c r="BP67" s="13"/>
      <c r="BQ67" s="13"/>
      <c r="BR67" s="13"/>
      <c r="BS67" s="13"/>
      <c r="BT67" s="13"/>
      <c r="BU67" s="13"/>
      <c r="BV67" s="13"/>
      <c r="BW67" s="13"/>
      <c r="BX67" s="13"/>
      <c r="BY67" s="13"/>
      <c r="BZ67" s="13"/>
      <c r="CA67" s="13"/>
      <c r="CB67" s="13"/>
      <c r="CC67" s="13"/>
      <c r="CD67" s="13"/>
      <c r="CE67" s="13"/>
      <c r="CF67" s="13"/>
      <c r="CG67" s="13"/>
      <c r="CH67" s="13"/>
      <c r="CI67" s="13"/>
      <c r="CJ67" s="13"/>
      <c r="CK67" s="13"/>
      <c r="CL67" s="13"/>
      <c r="CM67" s="13"/>
      <c r="CN67" s="13"/>
      <c r="CO67" s="13"/>
      <c r="CP67" s="13"/>
      <c r="CQ67" s="13"/>
      <c r="CR67" s="13"/>
      <c r="CS67" s="13"/>
      <c r="CT67" s="13"/>
      <c r="CU67" s="13"/>
      <c r="CV67" s="13"/>
      <c r="CW67" s="13"/>
      <c r="CX67" s="13"/>
      <c r="CY67" s="13"/>
      <c r="CZ67" s="13"/>
      <c r="DA67" s="13"/>
      <c r="DB67" s="13"/>
      <c r="DC67" s="13"/>
      <c r="DD67" s="13"/>
      <c r="DE67" s="13"/>
      <c r="DF67" s="13"/>
      <c r="DG67" s="13"/>
      <c r="DH67" s="13"/>
      <c r="DI67" s="13"/>
      <c r="DJ67" s="13"/>
      <c r="DK67" s="13"/>
      <c r="DL67" s="13"/>
      <c r="DM67" s="13"/>
      <c r="DN67" s="13"/>
      <c r="DO67" s="13"/>
      <c r="DP67" s="13"/>
      <c r="DQ67" s="13"/>
      <c r="DR67" s="13"/>
      <c r="DS67" s="13"/>
      <c r="DT67" s="13"/>
      <c r="DU67" s="13"/>
      <c r="DV67" s="13"/>
      <c r="DW67" s="13"/>
    </row>
    <row r="68" spans="1:127">
      <c r="A68" s="13" t="str">
        <f>Schedule_Data!A69</f>
        <v>SAIL-149</v>
      </c>
      <c r="B68" s="13" t="str">
        <f>Schedule_Data!B69</f>
        <v>6.0</v>
      </c>
      <c r="C68" s="13" t="str">
        <f>Schedule_Data!C69</f>
        <v>Sail-away</v>
      </c>
      <c r="D68" s="23" t="str">
        <f>Schedule_Data!D69</f>
        <v>SAIL</v>
      </c>
      <c r="E68" s="33">
        <f>Schedule_Data!F69</f>
        <v>46090</v>
      </c>
      <c r="F68" s="33">
        <f>Schedule_Data!G69</f>
        <v>46090</v>
      </c>
      <c r="G68" s="13">
        <f>Schedule_Data!H69</f>
        <v>0</v>
      </c>
      <c r="H68" s="13"/>
      <c r="I68" s="13"/>
      <c r="J68" s="13"/>
      <c r="K68" s="13"/>
      <c r="L68" s="13"/>
      <c r="M68" s="13"/>
      <c r="N68" s="13"/>
      <c r="O68" s="13"/>
      <c r="P68" s="13"/>
      <c r="Q68" s="13"/>
      <c r="R68" s="13"/>
      <c r="S68" s="13"/>
      <c r="T68" s="13"/>
      <c r="U68" s="13"/>
      <c r="V68" s="13"/>
      <c r="W68" s="13"/>
      <c r="X68" s="13"/>
      <c r="Y68" s="13"/>
      <c r="Z68" s="13"/>
      <c r="AA68" s="13"/>
      <c r="AB68" s="13"/>
      <c r="AC68" s="13"/>
      <c r="AD68" s="13"/>
      <c r="AE68" s="13"/>
      <c r="AF68" s="13"/>
      <c r="AG68" s="13"/>
      <c r="AH68" s="13"/>
      <c r="AI68" s="13"/>
      <c r="AJ68" s="13"/>
      <c r="AK68" s="13"/>
      <c r="AL68" s="13"/>
      <c r="AM68" s="13"/>
      <c r="AN68" s="13"/>
      <c r="AO68" s="13"/>
      <c r="AP68" s="13"/>
      <c r="AQ68" s="13"/>
      <c r="AR68" s="13"/>
      <c r="AS68" s="13"/>
      <c r="AT68" s="13"/>
      <c r="AU68" s="13"/>
      <c r="AV68" s="13"/>
      <c r="AW68" s="13"/>
      <c r="AX68" s="13"/>
      <c r="AY68" s="13"/>
      <c r="AZ68" s="13"/>
      <c r="BA68" s="13"/>
      <c r="BB68" s="13"/>
      <c r="BC68" s="13"/>
      <c r="BD68" s="13"/>
      <c r="BE68" s="13"/>
      <c r="BF68" s="13"/>
      <c r="BG68" s="13"/>
      <c r="BH68" s="13"/>
      <c r="BI68" s="38" t="s">
        <v>270</v>
      </c>
      <c r="BJ68" s="13"/>
      <c r="BK68" s="13"/>
      <c r="BL68" s="13"/>
      <c r="BM68" s="13"/>
      <c r="BN68" s="13"/>
      <c r="BO68" s="13"/>
      <c r="BP68" s="13"/>
      <c r="BQ68" s="13"/>
      <c r="BR68" s="13"/>
      <c r="BS68" s="13"/>
      <c r="BT68" s="13"/>
      <c r="BU68" s="13"/>
      <c r="BV68" s="13"/>
      <c r="BW68" s="13"/>
      <c r="BX68" s="13"/>
      <c r="BY68" s="13"/>
      <c r="BZ68" s="13"/>
      <c r="CA68" s="13"/>
      <c r="CB68" s="13"/>
      <c r="CC68" s="13"/>
      <c r="CD68" s="13"/>
      <c r="CE68" s="13"/>
      <c r="CF68" s="13"/>
      <c r="CG68" s="13"/>
      <c r="CH68" s="13"/>
      <c r="CI68" s="13"/>
      <c r="CJ68" s="13"/>
      <c r="CK68" s="13"/>
      <c r="CL68" s="13"/>
      <c r="CM68" s="13"/>
      <c r="CN68" s="13"/>
      <c r="CO68" s="13"/>
      <c r="CP68" s="13"/>
      <c r="CQ68" s="13"/>
      <c r="CR68" s="13"/>
      <c r="CS68" s="13"/>
      <c r="CT68" s="13"/>
      <c r="CU68" s="13"/>
      <c r="CV68" s="13"/>
      <c r="CW68" s="13"/>
      <c r="CX68" s="13"/>
      <c r="CY68" s="13"/>
      <c r="CZ68" s="13"/>
      <c r="DA68" s="13"/>
      <c r="DB68" s="13"/>
      <c r="DC68" s="13"/>
      <c r="DD68" s="13"/>
      <c r="DE68" s="13"/>
      <c r="DF68" s="13"/>
      <c r="DG68" s="13"/>
      <c r="DH68" s="13"/>
      <c r="DI68" s="13"/>
      <c r="DJ68" s="13"/>
      <c r="DK68" s="13"/>
      <c r="DL68" s="13"/>
      <c r="DM68" s="13"/>
      <c r="DN68" s="13"/>
      <c r="DO68" s="13"/>
      <c r="DP68" s="13"/>
      <c r="DQ68" s="13"/>
      <c r="DR68" s="13"/>
      <c r="DS68" s="13"/>
      <c r="DT68" s="13"/>
      <c r="DU68" s="13"/>
      <c r="DV68" s="13"/>
      <c r="DW68" s="13"/>
    </row>
    <row r="69" spans="1:127">
      <c r="A69" s="13" t="str">
        <f>Schedule_Data!A70</f>
        <v>ARR-150</v>
      </c>
      <c r="B69" s="13" t="str">
        <f>Schedule_Data!B70</f>
        <v>6.0</v>
      </c>
      <c r="C69" s="13" t="str">
        <f>Schedule_Data!C70</f>
        <v>Arrive/berth AGI</v>
      </c>
      <c r="D69" s="24" t="str">
        <f>Schedule_Data!D70</f>
        <v>AGI_UNLOAD</v>
      </c>
      <c r="E69" s="33">
        <f>Schedule_Data!F70</f>
        <v>46091</v>
      </c>
      <c r="F69" s="33">
        <f>Schedule_Data!G70</f>
        <v>46091</v>
      </c>
      <c r="G69" s="13">
        <f>Schedule_Data!H70</f>
        <v>0</v>
      </c>
      <c r="H69" s="13"/>
      <c r="I69" s="13"/>
      <c r="J69" s="13"/>
      <c r="K69" s="13"/>
      <c r="L69" s="13"/>
      <c r="M69" s="13"/>
      <c r="N69" s="13"/>
      <c r="O69" s="13"/>
      <c r="P69" s="13"/>
      <c r="Q69" s="13"/>
      <c r="R69" s="13"/>
      <c r="S69" s="13"/>
      <c r="T69" s="13"/>
      <c r="U69" s="13"/>
      <c r="V69" s="13"/>
      <c r="W69" s="13"/>
      <c r="X69" s="13"/>
      <c r="Y69" s="13"/>
      <c r="Z69" s="13"/>
      <c r="AA69" s="13"/>
      <c r="AB69" s="13"/>
      <c r="AC69" s="13"/>
      <c r="AD69" s="13"/>
      <c r="AE69" s="13"/>
      <c r="AF69" s="13"/>
      <c r="AG69" s="13"/>
      <c r="AH69" s="13"/>
      <c r="AI69" s="13"/>
      <c r="AJ69" s="13"/>
      <c r="AK69" s="13"/>
      <c r="AL69" s="13"/>
      <c r="AM69" s="13"/>
      <c r="AN69" s="13"/>
      <c r="AO69" s="13"/>
      <c r="AP69" s="13"/>
      <c r="AQ69" s="13"/>
      <c r="AR69" s="13"/>
      <c r="AS69" s="13"/>
      <c r="AT69" s="13"/>
      <c r="AU69" s="13"/>
      <c r="AV69" s="13"/>
      <c r="AW69" s="13"/>
      <c r="AX69" s="13"/>
      <c r="AY69" s="13"/>
      <c r="AZ69" s="13"/>
      <c r="BA69" s="13"/>
      <c r="BB69" s="13"/>
      <c r="BC69" s="13"/>
      <c r="BD69" s="13"/>
      <c r="BE69" s="13"/>
      <c r="BF69" s="13"/>
      <c r="BG69" s="13"/>
      <c r="BH69" s="13"/>
      <c r="BI69" s="13"/>
      <c r="BJ69" s="39" t="s">
        <v>270</v>
      </c>
      <c r="BK69" s="13"/>
      <c r="BL69" s="13"/>
      <c r="BM69" s="13"/>
      <c r="BN69" s="13"/>
      <c r="BO69" s="13"/>
      <c r="BP69" s="13"/>
      <c r="BQ69" s="13"/>
      <c r="BR69" s="13"/>
      <c r="BS69" s="13"/>
      <c r="BT69" s="13"/>
      <c r="BU69" s="13"/>
      <c r="BV69" s="13"/>
      <c r="BW69" s="13"/>
      <c r="BX69" s="13"/>
      <c r="BY69" s="13"/>
      <c r="BZ69" s="13"/>
      <c r="CA69" s="13"/>
      <c r="CB69" s="13"/>
      <c r="CC69" s="13"/>
      <c r="CD69" s="13"/>
      <c r="CE69" s="13"/>
      <c r="CF69" s="13"/>
      <c r="CG69" s="13"/>
      <c r="CH69" s="13"/>
      <c r="CI69" s="13"/>
      <c r="CJ69" s="13"/>
      <c r="CK69" s="13"/>
      <c r="CL69" s="13"/>
      <c r="CM69" s="13"/>
      <c r="CN69" s="13"/>
      <c r="CO69" s="13"/>
      <c r="CP69" s="13"/>
      <c r="CQ69" s="13"/>
      <c r="CR69" s="13"/>
      <c r="CS69" s="13"/>
      <c r="CT69" s="13"/>
      <c r="CU69" s="13"/>
      <c r="CV69" s="13"/>
      <c r="CW69" s="13"/>
      <c r="CX69" s="13"/>
      <c r="CY69" s="13"/>
      <c r="CZ69" s="13"/>
      <c r="DA69" s="13"/>
      <c r="DB69" s="13"/>
      <c r="DC69" s="13"/>
      <c r="DD69" s="13"/>
      <c r="DE69" s="13"/>
      <c r="DF69" s="13"/>
      <c r="DG69" s="13"/>
      <c r="DH69" s="13"/>
      <c r="DI69" s="13"/>
      <c r="DJ69" s="13"/>
      <c r="DK69" s="13"/>
      <c r="DL69" s="13"/>
      <c r="DM69" s="13"/>
      <c r="DN69" s="13"/>
      <c r="DO69" s="13"/>
      <c r="DP69" s="13"/>
      <c r="DQ69" s="13"/>
      <c r="DR69" s="13"/>
      <c r="DS69" s="13"/>
      <c r="DT69" s="13"/>
      <c r="DU69" s="13"/>
      <c r="DV69" s="13"/>
      <c r="DW69" s="13"/>
    </row>
    <row r="70" spans="1:127">
      <c r="A70" s="13" t="str">
        <f>Schedule_Data!A71</f>
        <v>TRN-151</v>
      </c>
      <c r="B70" s="13" t="str">
        <f>Schedule_Data!B71</f>
        <v>6.0</v>
      </c>
      <c r="C70" s="13" t="str">
        <f>Schedule_Data!C71</f>
        <v>Inland transport TR5 to Bay-5</v>
      </c>
      <c r="D70" s="26" t="str">
        <f>Schedule_Data!D71</f>
        <v>TURNING</v>
      </c>
      <c r="E70" s="33">
        <f>Schedule_Data!F71</f>
        <v>46092</v>
      </c>
      <c r="F70" s="33">
        <f>Schedule_Data!G71</f>
        <v>46092</v>
      </c>
      <c r="G70" s="13">
        <f>Schedule_Data!H71</f>
        <v>0</v>
      </c>
      <c r="H70" s="13"/>
      <c r="I70" s="13"/>
      <c r="J70" s="13"/>
      <c r="K70" s="13"/>
      <c r="L70" s="13"/>
      <c r="M70" s="13"/>
      <c r="N70" s="13"/>
      <c r="O70" s="13"/>
      <c r="P70" s="13"/>
      <c r="Q70" s="13"/>
      <c r="R70" s="13"/>
      <c r="S70" s="13"/>
      <c r="T70" s="13"/>
      <c r="U70" s="13"/>
      <c r="V70" s="13"/>
      <c r="W70" s="13"/>
      <c r="X70" s="13"/>
      <c r="Y70" s="13"/>
      <c r="Z70" s="13"/>
      <c r="AA70" s="13"/>
      <c r="AB70" s="13"/>
      <c r="AC70" s="13"/>
      <c r="AD70" s="13"/>
      <c r="AE70" s="13"/>
      <c r="AF70" s="13"/>
      <c r="AG70" s="13"/>
      <c r="AH70" s="13"/>
      <c r="AI70" s="13"/>
      <c r="AJ70" s="13"/>
      <c r="AK70" s="13"/>
      <c r="AL70" s="13"/>
      <c r="AM70" s="13"/>
      <c r="AN70" s="13"/>
      <c r="AO70" s="13"/>
      <c r="AP70" s="13"/>
      <c r="AQ70" s="13"/>
      <c r="AR70" s="13"/>
      <c r="AS70" s="13"/>
      <c r="AT70" s="13"/>
      <c r="AU70" s="13"/>
      <c r="AV70" s="13"/>
      <c r="AW70" s="13"/>
      <c r="AX70" s="13"/>
      <c r="AY70" s="13"/>
      <c r="AZ70" s="13"/>
      <c r="BA70" s="13"/>
      <c r="BB70" s="13"/>
      <c r="BC70" s="13"/>
      <c r="BD70" s="13"/>
      <c r="BE70" s="13"/>
      <c r="BF70" s="13"/>
      <c r="BG70" s="13"/>
      <c r="BH70" s="13"/>
      <c r="BI70" s="13"/>
      <c r="BJ70" s="13"/>
      <c r="BK70" s="26"/>
      <c r="BL70" s="13"/>
      <c r="BM70" s="13"/>
      <c r="BN70" s="13"/>
      <c r="BO70" s="13"/>
      <c r="BP70" s="13"/>
      <c r="BQ70" s="13"/>
      <c r="BR70" s="13"/>
      <c r="BS70" s="13"/>
      <c r="BT70" s="13"/>
      <c r="BU70" s="13"/>
      <c r="BV70" s="13"/>
      <c r="BW70" s="13"/>
      <c r="BX70" s="13"/>
      <c r="BY70" s="13"/>
      <c r="BZ70" s="13"/>
      <c r="CA70" s="13"/>
      <c r="CB70" s="13"/>
      <c r="CC70" s="13"/>
      <c r="CD70" s="13"/>
      <c r="CE70" s="13"/>
      <c r="CF70" s="13"/>
      <c r="CG70" s="13"/>
      <c r="CH70" s="13"/>
      <c r="CI70" s="13"/>
      <c r="CJ70" s="13"/>
      <c r="CK70" s="13"/>
      <c r="CL70" s="13"/>
      <c r="CM70" s="13"/>
      <c r="CN70" s="13"/>
      <c r="CO70" s="13"/>
      <c r="CP70" s="13"/>
      <c r="CQ70" s="13"/>
      <c r="CR70" s="13"/>
      <c r="CS70" s="13"/>
      <c r="CT70" s="13"/>
      <c r="CU70" s="13"/>
      <c r="CV70" s="13"/>
      <c r="CW70" s="13"/>
      <c r="CX70" s="13"/>
      <c r="CY70" s="13"/>
      <c r="CZ70" s="13"/>
      <c r="DA70" s="13"/>
      <c r="DB70" s="13"/>
      <c r="DC70" s="13"/>
      <c r="DD70" s="13"/>
      <c r="DE70" s="13"/>
      <c r="DF70" s="13"/>
      <c r="DG70" s="13"/>
      <c r="DH70" s="13"/>
      <c r="DI70" s="13"/>
      <c r="DJ70" s="13"/>
      <c r="DK70" s="13"/>
      <c r="DL70" s="13"/>
      <c r="DM70" s="13"/>
      <c r="DN70" s="13"/>
      <c r="DO70" s="13"/>
      <c r="DP70" s="13"/>
      <c r="DQ70" s="13"/>
      <c r="DR70" s="13"/>
      <c r="DS70" s="13"/>
      <c r="DT70" s="13"/>
      <c r="DU70" s="13"/>
      <c r="DV70" s="13"/>
      <c r="DW70" s="13"/>
    </row>
    <row r="71" spans="1:127">
      <c r="A71" s="13" t="str">
        <f>Schedule_Data!A72</f>
        <v>TURN-152</v>
      </c>
      <c r="B71" s="13" t="str">
        <f>Schedule_Data!B72</f>
        <v>6.0</v>
      </c>
      <c r="C71" s="13" t="str">
        <f>Schedule_Data!C72</f>
        <v>Turn TR5 orientation (Bay-5)</v>
      </c>
      <c r="D71" s="26" t="str">
        <f>Schedule_Data!D72</f>
        <v>TURNING</v>
      </c>
      <c r="E71" s="33">
        <f>Schedule_Data!F72</f>
        <v>46093</v>
      </c>
      <c r="F71" s="33">
        <f>Schedule_Data!G72</f>
        <v>46093</v>
      </c>
      <c r="G71" s="13">
        <f>Schedule_Data!H72</f>
        <v>0</v>
      </c>
      <c r="H71" s="13"/>
      <c r="I71" s="13"/>
      <c r="J71" s="13"/>
      <c r="K71" s="13"/>
      <c r="L71" s="13"/>
      <c r="M71" s="13"/>
      <c r="N71" s="13"/>
      <c r="O71" s="13"/>
      <c r="P71" s="13"/>
      <c r="Q71" s="13"/>
      <c r="R71" s="13"/>
      <c r="S71" s="13"/>
      <c r="T71" s="13"/>
      <c r="U71" s="13"/>
      <c r="V71" s="13"/>
      <c r="W71" s="13"/>
      <c r="X71" s="13"/>
      <c r="Y71" s="13"/>
      <c r="Z71" s="13"/>
      <c r="AA71" s="13"/>
      <c r="AB71" s="13"/>
      <c r="AC71" s="13"/>
      <c r="AD71" s="13"/>
      <c r="AE71" s="13"/>
      <c r="AF71" s="13"/>
      <c r="AG71" s="13"/>
      <c r="AH71" s="13"/>
      <c r="AI71" s="13"/>
      <c r="AJ71" s="13"/>
      <c r="AK71" s="13"/>
      <c r="AL71" s="13"/>
      <c r="AM71" s="13"/>
      <c r="AN71" s="13"/>
      <c r="AO71" s="13"/>
      <c r="AP71" s="13"/>
      <c r="AQ71" s="13"/>
      <c r="AR71" s="13"/>
      <c r="AS71" s="13"/>
      <c r="AT71" s="13"/>
      <c r="AU71" s="13"/>
      <c r="AV71" s="13"/>
      <c r="AW71" s="13"/>
      <c r="AX71" s="13"/>
      <c r="AY71" s="13"/>
      <c r="AZ71" s="13"/>
      <c r="BA71" s="13"/>
      <c r="BB71" s="13"/>
      <c r="BC71" s="13"/>
      <c r="BD71" s="13"/>
      <c r="BE71" s="13"/>
      <c r="BF71" s="13"/>
      <c r="BG71" s="13"/>
      <c r="BH71" s="13"/>
      <c r="BI71" s="13"/>
      <c r="BJ71" s="13"/>
      <c r="BK71" s="13"/>
      <c r="BL71" s="41" t="s">
        <v>270</v>
      </c>
      <c r="BM71" s="13"/>
      <c r="BN71" s="13"/>
      <c r="BO71" s="13"/>
      <c r="BP71" s="13"/>
      <c r="BQ71" s="13"/>
      <c r="BR71" s="13"/>
      <c r="BS71" s="13"/>
      <c r="BT71" s="13"/>
      <c r="BU71" s="13"/>
      <c r="BV71" s="13"/>
      <c r="BW71" s="13"/>
      <c r="BX71" s="13"/>
      <c r="BY71" s="13"/>
      <c r="BZ71" s="13"/>
      <c r="CA71" s="13"/>
      <c r="CB71" s="13"/>
      <c r="CC71" s="13"/>
      <c r="CD71" s="13"/>
      <c r="CE71" s="13"/>
      <c r="CF71" s="13"/>
      <c r="CG71" s="13"/>
      <c r="CH71" s="13"/>
      <c r="CI71" s="13"/>
      <c r="CJ71" s="13"/>
      <c r="CK71" s="13"/>
      <c r="CL71" s="13"/>
      <c r="CM71" s="13"/>
      <c r="CN71" s="13"/>
      <c r="CO71" s="13"/>
      <c r="CP71" s="13"/>
      <c r="CQ71" s="13"/>
      <c r="CR71" s="13"/>
      <c r="CS71" s="13"/>
      <c r="CT71" s="13"/>
      <c r="CU71" s="13"/>
      <c r="CV71" s="13"/>
      <c r="CW71" s="13"/>
      <c r="CX71" s="13"/>
      <c r="CY71" s="13"/>
      <c r="CZ71" s="13"/>
      <c r="DA71" s="13"/>
      <c r="DB71" s="13"/>
      <c r="DC71" s="13"/>
      <c r="DD71" s="13"/>
      <c r="DE71" s="13"/>
      <c r="DF71" s="13"/>
      <c r="DG71" s="13"/>
      <c r="DH71" s="13"/>
      <c r="DI71" s="13"/>
      <c r="DJ71" s="13"/>
      <c r="DK71" s="13"/>
      <c r="DL71" s="13"/>
      <c r="DM71" s="13"/>
      <c r="DN71" s="13"/>
      <c r="DO71" s="13"/>
      <c r="DP71" s="13"/>
      <c r="DQ71" s="13"/>
      <c r="DR71" s="13"/>
      <c r="DS71" s="13"/>
      <c r="DT71" s="13"/>
      <c r="DU71" s="13"/>
      <c r="DV71" s="13"/>
      <c r="DW71" s="13"/>
    </row>
    <row r="72" spans="1:127">
      <c r="A72" s="13" t="str">
        <f>Schedule_Data!A73</f>
        <v>TRN-154</v>
      </c>
      <c r="B72" s="13" t="str">
        <f>Schedule_Data!B73</f>
        <v>6.0</v>
      </c>
      <c r="C72" s="13" t="str">
        <f>Schedule_Data!C73</f>
        <v>Inland transport TR6 to Bay-6</v>
      </c>
      <c r="D72" s="26" t="str">
        <f>Schedule_Data!D73</f>
        <v>TURNING</v>
      </c>
      <c r="E72" s="33">
        <f>Schedule_Data!F73</f>
        <v>46097</v>
      </c>
      <c r="F72" s="33">
        <f>Schedule_Data!G73</f>
        <v>46097</v>
      </c>
      <c r="G72" s="13">
        <f>Schedule_Data!H73</f>
        <v>0</v>
      </c>
      <c r="H72" s="13"/>
      <c r="I72" s="13"/>
      <c r="J72" s="13"/>
      <c r="K72" s="13"/>
      <c r="L72" s="13"/>
      <c r="M72" s="13"/>
      <c r="N72" s="13"/>
      <c r="O72" s="13"/>
      <c r="P72" s="13"/>
      <c r="Q72" s="13"/>
      <c r="R72" s="13"/>
      <c r="S72" s="13"/>
      <c r="T72" s="13"/>
      <c r="U72" s="13"/>
      <c r="V72" s="13"/>
      <c r="W72" s="13"/>
      <c r="X72" s="13"/>
      <c r="Y72" s="13"/>
      <c r="Z72" s="13"/>
      <c r="AA72" s="13"/>
      <c r="AB72" s="13"/>
      <c r="AC72" s="13"/>
      <c r="AD72" s="13"/>
      <c r="AE72" s="13"/>
      <c r="AF72" s="13"/>
      <c r="AG72" s="13"/>
      <c r="AH72" s="13"/>
      <c r="AI72" s="13"/>
      <c r="AJ72" s="13"/>
      <c r="AK72" s="13"/>
      <c r="AL72" s="13"/>
      <c r="AM72" s="13"/>
      <c r="AN72" s="13"/>
      <c r="AO72" s="13"/>
      <c r="AP72" s="13"/>
      <c r="AQ72" s="13"/>
      <c r="AR72" s="13"/>
      <c r="AS72" s="13"/>
      <c r="AT72" s="13"/>
      <c r="AU72" s="13"/>
      <c r="AV72" s="13"/>
      <c r="AW72" s="13"/>
      <c r="AX72" s="13"/>
      <c r="AY72" s="13"/>
      <c r="AZ72" s="13"/>
      <c r="BA72" s="13"/>
      <c r="BB72" s="13"/>
      <c r="BC72" s="13"/>
      <c r="BD72" s="13"/>
      <c r="BE72" s="13"/>
      <c r="BF72" s="13"/>
      <c r="BG72" s="13"/>
      <c r="BH72" s="13"/>
      <c r="BI72" s="13"/>
      <c r="BJ72" s="13"/>
      <c r="BK72" s="13"/>
      <c r="BL72" s="13"/>
      <c r="BM72" s="13"/>
      <c r="BN72" s="13"/>
      <c r="BO72" s="13"/>
      <c r="BP72" s="26"/>
      <c r="BQ72" s="13"/>
      <c r="BR72" s="13"/>
      <c r="BS72" s="13"/>
      <c r="BT72" s="13"/>
      <c r="BU72" s="13"/>
      <c r="BV72" s="13"/>
      <c r="BW72" s="13"/>
      <c r="BX72" s="13"/>
      <c r="BY72" s="13"/>
      <c r="BZ72" s="13"/>
      <c r="CA72" s="13"/>
      <c r="CB72" s="13"/>
      <c r="CC72" s="13"/>
      <c r="CD72" s="13"/>
      <c r="CE72" s="13"/>
      <c r="CF72" s="13"/>
      <c r="CG72" s="13"/>
      <c r="CH72" s="13"/>
      <c r="CI72" s="13"/>
      <c r="CJ72" s="13"/>
      <c r="CK72" s="13"/>
      <c r="CL72" s="13"/>
      <c r="CM72" s="13"/>
      <c r="CN72" s="13"/>
      <c r="CO72" s="13"/>
      <c r="CP72" s="13"/>
      <c r="CQ72" s="13"/>
      <c r="CR72" s="13"/>
      <c r="CS72" s="13"/>
      <c r="CT72" s="13"/>
      <c r="CU72" s="13"/>
      <c r="CV72" s="13"/>
      <c r="CW72" s="13"/>
      <c r="CX72" s="13"/>
      <c r="CY72" s="13"/>
      <c r="CZ72" s="13"/>
      <c r="DA72" s="13"/>
      <c r="DB72" s="13"/>
      <c r="DC72" s="13"/>
      <c r="DD72" s="13"/>
      <c r="DE72" s="13"/>
      <c r="DF72" s="13"/>
      <c r="DG72" s="13"/>
      <c r="DH72" s="13"/>
      <c r="DI72" s="13"/>
      <c r="DJ72" s="13"/>
      <c r="DK72" s="13"/>
      <c r="DL72" s="13"/>
      <c r="DM72" s="13"/>
      <c r="DN72" s="13"/>
      <c r="DO72" s="13"/>
      <c r="DP72" s="13"/>
      <c r="DQ72" s="13"/>
      <c r="DR72" s="13"/>
      <c r="DS72" s="13"/>
      <c r="DT72" s="13"/>
      <c r="DU72" s="13"/>
      <c r="DV72" s="13"/>
      <c r="DW72" s="13"/>
    </row>
    <row r="73" spans="1:127">
      <c r="A73" s="13" t="str">
        <f>Schedule_Data!A74</f>
        <v>TURN-155</v>
      </c>
      <c r="B73" s="13" t="str">
        <f>Schedule_Data!B74</f>
        <v>6.0</v>
      </c>
      <c r="C73" s="13" t="str">
        <f>Schedule_Data!C74</f>
        <v>Turn TR6 orientation (Bay-6)</v>
      </c>
      <c r="D73" s="26" t="str">
        <f>Schedule_Data!D74</f>
        <v>TURNING</v>
      </c>
      <c r="E73" s="33">
        <f>Schedule_Data!F74</f>
        <v>46098</v>
      </c>
      <c r="F73" s="33">
        <f>Schedule_Data!G74</f>
        <v>46098</v>
      </c>
      <c r="G73" s="13">
        <f>Schedule_Data!H74</f>
        <v>0</v>
      </c>
      <c r="H73" s="13"/>
      <c r="I73" s="13"/>
      <c r="J73" s="13"/>
      <c r="K73" s="13"/>
      <c r="L73" s="13"/>
      <c r="M73" s="13"/>
      <c r="N73" s="13"/>
      <c r="O73" s="13"/>
      <c r="P73" s="13"/>
      <c r="Q73" s="13"/>
      <c r="R73" s="13"/>
      <c r="S73" s="13"/>
      <c r="T73" s="13"/>
      <c r="U73" s="13"/>
      <c r="V73" s="13"/>
      <c r="W73" s="13"/>
      <c r="X73" s="13"/>
      <c r="Y73" s="13"/>
      <c r="Z73" s="13"/>
      <c r="AA73" s="13"/>
      <c r="AB73" s="13"/>
      <c r="AC73" s="13"/>
      <c r="AD73" s="13"/>
      <c r="AE73" s="13"/>
      <c r="AF73" s="13"/>
      <c r="AG73" s="13"/>
      <c r="AH73" s="13"/>
      <c r="AI73" s="13"/>
      <c r="AJ73" s="13"/>
      <c r="AK73" s="13"/>
      <c r="AL73" s="13"/>
      <c r="AM73" s="13"/>
      <c r="AN73" s="13"/>
      <c r="AO73" s="13"/>
      <c r="AP73" s="13"/>
      <c r="AQ73" s="13"/>
      <c r="AR73" s="13"/>
      <c r="AS73" s="13"/>
      <c r="AT73" s="13"/>
      <c r="AU73" s="13"/>
      <c r="AV73" s="13"/>
      <c r="AW73" s="13"/>
      <c r="AX73" s="13"/>
      <c r="AY73" s="13"/>
      <c r="AZ73" s="13"/>
      <c r="BA73" s="13"/>
      <c r="BB73" s="13"/>
      <c r="BC73" s="13"/>
      <c r="BD73" s="13"/>
      <c r="BE73" s="13"/>
      <c r="BF73" s="13"/>
      <c r="BG73" s="13"/>
      <c r="BH73" s="13"/>
      <c r="BI73" s="13"/>
      <c r="BJ73" s="13"/>
      <c r="BK73" s="13"/>
      <c r="BL73" s="13"/>
      <c r="BM73" s="13"/>
      <c r="BN73" s="13"/>
      <c r="BO73" s="13"/>
      <c r="BP73" s="13"/>
      <c r="BQ73" s="41" t="s">
        <v>270</v>
      </c>
      <c r="BR73" s="13"/>
      <c r="BS73" s="13"/>
      <c r="BT73" s="13"/>
      <c r="BU73" s="13"/>
      <c r="BV73" s="13"/>
      <c r="BW73" s="13"/>
      <c r="BX73" s="13"/>
      <c r="BY73" s="13"/>
      <c r="BZ73" s="13"/>
      <c r="CA73" s="13"/>
      <c r="CB73" s="13"/>
      <c r="CC73" s="13"/>
      <c r="CD73" s="13"/>
      <c r="CE73" s="13"/>
      <c r="CF73" s="13"/>
      <c r="CG73" s="13"/>
      <c r="CH73" s="13"/>
      <c r="CI73" s="13"/>
      <c r="CJ73" s="13"/>
      <c r="CK73" s="13"/>
      <c r="CL73" s="13"/>
      <c r="CM73" s="13"/>
      <c r="CN73" s="13"/>
      <c r="CO73" s="13"/>
      <c r="CP73" s="13"/>
      <c r="CQ73" s="13"/>
      <c r="CR73" s="13"/>
      <c r="CS73" s="13"/>
      <c r="CT73" s="13"/>
      <c r="CU73" s="13"/>
      <c r="CV73" s="13"/>
      <c r="CW73" s="13"/>
      <c r="CX73" s="13"/>
      <c r="CY73" s="13"/>
      <c r="CZ73" s="13"/>
      <c r="DA73" s="13"/>
      <c r="DB73" s="13"/>
      <c r="DC73" s="13"/>
      <c r="DD73" s="13"/>
      <c r="DE73" s="13"/>
      <c r="DF73" s="13"/>
      <c r="DG73" s="13"/>
      <c r="DH73" s="13"/>
      <c r="DI73" s="13"/>
      <c r="DJ73" s="13"/>
      <c r="DK73" s="13"/>
      <c r="DL73" s="13"/>
      <c r="DM73" s="13"/>
      <c r="DN73" s="13"/>
      <c r="DO73" s="13"/>
      <c r="DP73" s="13"/>
      <c r="DQ73" s="13"/>
      <c r="DR73" s="13"/>
      <c r="DS73" s="13"/>
      <c r="DT73" s="13"/>
      <c r="DU73" s="13"/>
      <c r="DV73" s="13"/>
      <c r="DW73" s="13"/>
    </row>
    <row r="74" spans="1:127">
      <c r="A74" s="13" t="str">
        <f>Schedule_Data!A75</f>
        <v>BUF-156</v>
      </c>
      <c r="B74" s="13" t="str">
        <f>Schedule_Data!B75</f>
        <v>6.0</v>
      </c>
      <c r="C74" s="13" t="str">
        <f>Schedule_Data!C75</f>
        <v>TR6 Laydown buffer</v>
      </c>
      <c r="D74" s="22" t="str">
        <f>Schedule_Data!D75</f>
        <v>BUFFER</v>
      </c>
      <c r="E74" s="33">
        <f>Schedule_Data!F75</f>
        <v>46098</v>
      </c>
      <c r="F74" s="33">
        <f>Schedule_Data!G75</f>
        <v>46098</v>
      </c>
      <c r="G74" s="13">
        <f>Schedule_Data!H75</f>
        <v>0</v>
      </c>
      <c r="H74" s="13"/>
      <c r="I74" s="13"/>
      <c r="J74" s="13"/>
      <c r="K74" s="13"/>
      <c r="L74" s="13"/>
      <c r="M74" s="13"/>
      <c r="N74" s="13"/>
      <c r="O74" s="13"/>
      <c r="P74" s="13"/>
      <c r="Q74" s="13"/>
      <c r="R74" s="13"/>
      <c r="S74" s="13"/>
      <c r="T74" s="13"/>
      <c r="U74" s="13"/>
      <c r="V74" s="13"/>
      <c r="W74" s="13"/>
      <c r="X74" s="13"/>
      <c r="Y74" s="13"/>
      <c r="Z74" s="13"/>
      <c r="AA74" s="13"/>
      <c r="AB74" s="13"/>
      <c r="AC74" s="13"/>
      <c r="AD74" s="13"/>
      <c r="AE74" s="13"/>
      <c r="AF74" s="13"/>
      <c r="AG74" s="13"/>
      <c r="AH74" s="13"/>
      <c r="AI74" s="13"/>
      <c r="AJ74" s="13"/>
      <c r="AK74" s="13"/>
      <c r="AL74" s="13"/>
      <c r="AM74" s="13"/>
      <c r="AN74" s="13"/>
      <c r="AO74" s="13"/>
      <c r="AP74" s="13"/>
      <c r="AQ74" s="13"/>
      <c r="AR74" s="13"/>
      <c r="AS74" s="13"/>
      <c r="AT74" s="13"/>
      <c r="AU74" s="13"/>
      <c r="AV74" s="13"/>
      <c r="AW74" s="13"/>
      <c r="AX74" s="13"/>
      <c r="AY74" s="13"/>
      <c r="AZ74" s="13"/>
      <c r="BA74" s="13"/>
      <c r="BB74" s="13"/>
      <c r="BC74" s="13"/>
      <c r="BD74" s="13"/>
      <c r="BE74" s="13"/>
      <c r="BF74" s="13"/>
      <c r="BG74" s="13"/>
      <c r="BH74" s="13"/>
      <c r="BI74" s="13"/>
      <c r="BJ74" s="13"/>
      <c r="BK74" s="13"/>
      <c r="BL74" s="13"/>
      <c r="BM74" s="13"/>
      <c r="BN74" s="13"/>
      <c r="BO74" s="13"/>
      <c r="BP74" s="13"/>
      <c r="BQ74" s="22"/>
      <c r="BR74" s="13"/>
      <c r="BS74" s="13"/>
      <c r="BT74" s="13"/>
      <c r="BU74" s="13"/>
      <c r="BV74" s="13"/>
      <c r="BW74" s="13"/>
      <c r="BX74" s="13"/>
      <c r="BY74" s="13"/>
      <c r="BZ74" s="13"/>
      <c r="CA74" s="13"/>
      <c r="CB74" s="13"/>
      <c r="CC74" s="13"/>
      <c r="CD74" s="13"/>
      <c r="CE74" s="13"/>
      <c r="CF74" s="13"/>
      <c r="CG74" s="13"/>
      <c r="CH74" s="13"/>
      <c r="CI74" s="13"/>
      <c r="CJ74" s="13"/>
      <c r="CK74" s="13"/>
      <c r="CL74" s="13"/>
      <c r="CM74" s="13"/>
      <c r="CN74" s="13"/>
      <c r="CO74" s="13"/>
      <c r="CP74" s="13"/>
      <c r="CQ74" s="13"/>
      <c r="CR74" s="13"/>
      <c r="CS74" s="13"/>
      <c r="CT74" s="13"/>
      <c r="CU74" s="13"/>
      <c r="CV74" s="13"/>
      <c r="CW74" s="13"/>
      <c r="CX74" s="13"/>
      <c r="CY74" s="13"/>
      <c r="CZ74" s="13"/>
      <c r="DA74" s="13"/>
      <c r="DB74" s="13"/>
      <c r="DC74" s="13"/>
      <c r="DD74" s="13"/>
      <c r="DE74" s="13"/>
      <c r="DF74" s="13"/>
      <c r="DG74" s="13"/>
      <c r="DH74" s="13"/>
      <c r="DI74" s="13"/>
      <c r="DJ74" s="13"/>
      <c r="DK74" s="13"/>
      <c r="DL74" s="13"/>
      <c r="DM74" s="13"/>
      <c r="DN74" s="13"/>
      <c r="DO74" s="13"/>
      <c r="DP74" s="13"/>
      <c r="DQ74" s="13"/>
      <c r="DR74" s="13"/>
      <c r="DS74" s="13"/>
      <c r="DT74" s="13"/>
      <c r="DU74" s="13"/>
      <c r="DV74" s="13"/>
      <c r="DW74" s="13"/>
    </row>
    <row r="75" spans="1:127">
      <c r="A75" s="13" t="str">
        <f>Schedule_Data!A76</f>
        <v>JD-157</v>
      </c>
      <c r="B75" s="13" t="str">
        <f>Schedule_Data!B76</f>
        <v>6.0</v>
      </c>
      <c r="C75" s="13" t="str">
        <f>Schedule_Data!C76</f>
        <v>JACKDOWN-3: TR5+TR6</v>
      </c>
      <c r="D75" s="42" t="str">
        <f>Schedule_Data!D76</f>
        <v>JACKDOWN</v>
      </c>
      <c r="E75" s="33">
        <f>Schedule_Data!F76</f>
        <v>46100</v>
      </c>
      <c r="F75" s="33">
        <f>Schedule_Data!G76</f>
        <v>46100</v>
      </c>
      <c r="G75" s="13">
        <f>Schedule_Data!H76</f>
        <v>0</v>
      </c>
      <c r="H75" s="13"/>
      <c r="I75" s="13"/>
      <c r="J75" s="13"/>
      <c r="K75" s="13"/>
      <c r="L75" s="13"/>
      <c r="M75" s="13"/>
      <c r="N75" s="13"/>
      <c r="O75" s="13"/>
      <c r="P75" s="13"/>
      <c r="Q75" s="13"/>
      <c r="R75" s="13"/>
      <c r="S75" s="13"/>
      <c r="T75" s="13"/>
      <c r="U75" s="13"/>
      <c r="V75" s="13"/>
      <c r="W75" s="13"/>
      <c r="X75" s="13"/>
      <c r="Y75" s="13"/>
      <c r="Z75" s="13"/>
      <c r="AA75" s="13"/>
      <c r="AB75" s="13"/>
      <c r="AC75" s="13"/>
      <c r="AD75" s="13"/>
      <c r="AE75" s="13"/>
      <c r="AF75" s="13"/>
      <c r="AG75" s="13"/>
      <c r="AH75" s="13"/>
      <c r="AI75" s="13"/>
      <c r="AJ75" s="13"/>
      <c r="AK75" s="13"/>
      <c r="AL75" s="13"/>
      <c r="AM75" s="13"/>
      <c r="AN75" s="13"/>
      <c r="AO75" s="13"/>
      <c r="AP75" s="13"/>
      <c r="AQ75" s="13"/>
      <c r="AR75" s="13"/>
      <c r="AS75" s="13"/>
      <c r="AT75" s="13"/>
      <c r="AU75" s="13"/>
      <c r="AV75" s="13"/>
      <c r="AW75" s="13"/>
      <c r="AX75" s="13"/>
      <c r="AY75" s="13"/>
      <c r="AZ75" s="13"/>
      <c r="BA75" s="13"/>
      <c r="BB75" s="13"/>
      <c r="BC75" s="13"/>
      <c r="BD75" s="13"/>
      <c r="BE75" s="13"/>
      <c r="BF75" s="13"/>
      <c r="BG75" s="13"/>
      <c r="BH75" s="13"/>
      <c r="BI75" s="13"/>
      <c r="BJ75" s="13"/>
      <c r="BK75" s="13"/>
      <c r="BL75" s="13"/>
      <c r="BM75" s="13"/>
      <c r="BN75" s="13"/>
      <c r="BO75" s="13"/>
      <c r="BP75" s="13"/>
      <c r="BQ75" s="13"/>
      <c r="BR75" s="13"/>
      <c r="BS75" s="43" t="s">
        <v>270</v>
      </c>
      <c r="BT75" s="13"/>
      <c r="BU75" s="13"/>
      <c r="BV75" s="13"/>
      <c r="BW75" s="13"/>
      <c r="BX75" s="13"/>
      <c r="BY75" s="13"/>
      <c r="BZ75" s="13"/>
      <c r="CA75" s="13"/>
      <c r="CB75" s="13"/>
      <c r="CC75" s="13"/>
      <c r="CD75" s="13"/>
      <c r="CE75" s="13"/>
      <c r="CF75" s="13"/>
      <c r="CG75" s="13"/>
      <c r="CH75" s="13"/>
      <c r="CI75" s="13"/>
      <c r="CJ75" s="13"/>
      <c r="CK75" s="13"/>
      <c r="CL75" s="13"/>
      <c r="CM75" s="13"/>
      <c r="CN75" s="13"/>
      <c r="CO75" s="13"/>
      <c r="CP75" s="13"/>
      <c r="CQ75" s="13"/>
      <c r="CR75" s="13"/>
      <c r="CS75" s="13"/>
      <c r="CT75" s="13"/>
      <c r="CU75" s="13"/>
      <c r="CV75" s="13"/>
      <c r="CW75" s="13"/>
      <c r="CX75" s="13"/>
      <c r="CY75" s="13"/>
      <c r="CZ75" s="13"/>
      <c r="DA75" s="13"/>
      <c r="DB75" s="13"/>
      <c r="DC75" s="13"/>
      <c r="DD75" s="13"/>
      <c r="DE75" s="13"/>
      <c r="DF75" s="13"/>
      <c r="DG75" s="13"/>
      <c r="DH75" s="13"/>
      <c r="DI75" s="13"/>
      <c r="DJ75" s="13"/>
      <c r="DK75" s="13"/>
      <c r="DL75" s="13"/>
      <c r="DM75" s="13"/>
      <c r="DN75" s="13"/>
      <c r="DO75" s="13"/>
      <c r="DP75" s="13"/>
      <c r="DQ75" s="13"/>
      <c r="DR75" s="13"/>
      <c r="DS75" s="13"/>
      <c r="DT75" s="13"/>
      <c r="DU75" s="13"/>
      <c r="DV75" s="13"/>
      <c r="DW75" s="13"/>
    </row>
    <row r="76" spans="1:127">
      <c r="A76" s="13" t="str">
        <f>Schedule_Data!A77</f>
        <v>RET-158</v>
      </c>
      <c r="B76" s="13" t="str">
        <f>Schedule_Data!B77</f>
        <v>6.0</v>
      </c>
      <c r="C76" s="13" t="str">
        <f>Schedule_Data!C77</f>
        <v>LCT Return after JD-3</v>
      </c>
      <c r="D76" s="25" t="str">
        <f>Schedule_Data!D77</f>
        <v>RETURN</v>
      </c>
      <c r="E76" s="33">
        <f>Schedule_Data!F77</f>
        <v>46101</v>
      </c>
      <c r="F76" s="33">
        <f>Schedule_Data!G77</f>
        <v>46101</v>
      </c>
      <c r="G76" s="13">
        <f>Schedule_Data!H77</f>
        <v>0</v>
      </c>
      <c r="H76" s="13"/>
      <c r="I76" s="13"/>
      <c r="J76" s="13"/>
      <c r="K76" s="13"/>
      <c r="L76" s="13"/>
      <c r="M76" s="13"/>
      <c r="N76" s="13"/>
      <c r="O76" s="13"/>
      <c r="P76" s="13"/>
      <c r="Q76" s="13"/>
      <c r="R76" s="13"/>
      <c r="S76" s="13"/>
      <c r="T76" s="13"/>
      <c r="U76" s="13"/>
      <c r="V76" s="13"/>
      <c r="W76" s="13"/>
      <c r="X76" s="13"/>
      <c r="Y76" s="13"/>
      <c r="Z76" s="13"/>
      <c r="AA76" s="13"/>
      <c r="AB76" s="13"/>
      <c r="AC76" s="13"/>
      <c r="AD76" s="13"/>
      <c r="AE76" s="13"/>
      <c r="AF76" s="13"/>
      <c r="AG76" s="13"/>
      <c r="AH76" s="13"/>
      <c r="AI76" s="13"/>
      <c r="AJ76" s="13"/>
      <c r="AK76" s="13"/>
      <c r="AL76" s="13"/>
      <c r="AM76" s="13"/>
      <c r="AN76" s="13"/>
      <c r="AO76" s="13"/>
      <c r="AP76" s="13"/>
      <c r="AQ76" s="13"/>
      <c r="AR76" s="13"/>
      <c r="AS76" s="13"/>
      <c r="AT76" s="13"/>
      <c r="AU76" s="13"/>
      <c r="AV76" s="13"/>
      <c r="AW76" s="13"/>
      <c r="AX76" s="13"/>
      <c r="AY76" s="13"/>
      <c r="AZ76" s="13"/>
      <c r="BA76" s="13"/>
      <c r="BB76" s="13"/>
      <c r="BC76" s="13"/>
      <c r="BD76" s="13"/>
      <c r="BE76" s="13"/>
      <c r="BF76" s="13"/>
      <c r="BG76" s="13"/>
      <c r="BH76" s="13"/>
      <c r="BI76" s="13"/>
      <c r="BJ76" s="13"/>
      <c r="BK76" s="13"/>
      <c r="BL76" s="13"/>
      <c r="BM76" s="13"/>
      <c r="BN76" s="13"/>
      <c r="BO76" s="13"/>
      <c r="BP76" s="13"/>
      <c r="BQ76" s="13"/>
      <c r="BR76" s="13"/>
      <c r="BS76" s="13"/>
      <c r="BT76" s="40" t="s">
        <v>270</v>
      </c>
      <c r="BU76" s="13"/>
      <c r="BV76" s="13"/>
      <c r="BW76" s="13"/>
      <c r="BX76" s="13"/>
      <c r="BY76" s="13"/>
      <c r="BZ76" s="13"/>
      <c r="CA76" s="13"/>
      <c r="CB76" s="13"/>
      <c r="CC76" s="13"/>
      <c r="CD76" s="13"/>
      <c r="CE76" s="13"/>
      <c r="CF76" s="13"/>
      <c r="CG76" s="13"/>
      <c r="CH76" s="13"/>
      <c r="CI76" s="13"/>
      <c r="CJ76" s="13"/>
      <c r="CK76" s="13"/>
      <c r="CL76" s="13"/>
      <c r="CM76" s="13"/>
      <c r="CN76" s="13"/>
      <c r="CO76" s="13"/>
      <c r="CP76" s="13"/>
      <c r="CQ76" s="13"/>
      <c r="CR76" s="13"/>
      <c r="CS76" s="13"/>
      <c r="CT76" s="13"/>
      <c r="CU76" s="13"/>
      <c r="CV76" s="13"/>
      <c r="CW76" s="13"/>
      <c r="CX76" s="13"/>
      <c r="CY76" s="13"/>
      <c r="CZ76" s="13"/>
      <c r="DA76" s="13"/>
      <c r="DB76" s="13"/>
      <c r="DC76" s="13"/>
      <c r="DD76" s="13"/>
      <c r="DE76" s="13"/>
      <c r="DF76" s="13"/>
      <c r="DG76" s="13"/>
      <c r="DH76" s="13"/>
      <c r="DI76" s="13"/>
      <c r="DJ76" s="13"/>
      <c r="DK76" s="13"/>
      <c r="DL76" s="13"/>
      <c r="DM76" s="13"/>
      <c r="DN76" s="13"/>
      <c r="DO76" s="13"/>
      <c r="DP76" s="13"/>
      <c r="DQ76" s="13"/>
      <c r="DR76" s="13"/>
      <c r="DS76" s="13"/>
      <c r="DT76" s="13"/>
      <c r="DU76" s="13"/>
      <c r="DV76" s="13"/>
      <c r="DW76" s="13"/>
    </row>
    <row r="77" spans="1:127">
      <c r="A77" s="13" t="str">
        <f>Schedule_Data!A78</f>
        <v>BUF-159</v>
      </c>
      <c r="B77" s="13" t="str">
        <f>Schedule_Data!B78</f>
        <v>6.0</v>
      </c>
      <c r="C77" s="13" t="str">
        <f>Schedule_Data!C78</f>
        <v>Buffer</v>
      </c>
      <c r="D77" s="22" t="str">
        <f>Schedule_Data!D78</f>
        <v>BUFFER</v>
      </c>
      <c r="E77" s="33">
        <f>Schedule_Data!F78</f>
        <v>46102</v>
      </c>
      <c r="F77" s="33">
        <f>Schedule_Data!G78</f>
        <v>46102</v>
      </c>
      <c r="G77" s="13">
        <f>Schedule_Data!H78</f>
        <v>0</v>
      </c>
      <c r="H77" s="13"/>
      <c r="I77" s="13"/>
      <c r="J77" s="13"/>
      <c r="K77" s="13"/>
      <c r="L77" s="13"/>
      <c r="M77" s="13"/>
      <c r="N77" s="13"/>
      <c r="O77" s="13"/>
      <c r="P77" s="13"/>
      <c r="Q77" s="13"/>
      <c r="R77" s="13"/>
      <c r="S77" s="13"/>
      <c r="T77" s="13"/>
      <c r="U77" s="13"/>
      <c r="V77" s="13"/>
      <c r="W77" s="13"/>
      <c r="X77" s="13"/>
      <c r="Y77" s="13"/>
      <c r="Z77" s="13"/>
      <c r="AA77" s="13"/>
      <c r="AB77" s="13"/>
      <c r="AC77" s="13"/>
      <c r="AD77" s="13"/>
      <c r="AE77" s="13"/>
      <c r="AF77" s="13"/>
      <c r="AG77" s="13"/>
      <c r="AH77" s="13"/>
      <c r="AI77" s="13"/>
      <c r="AJ77" s="13"/>
      <c r="AK77" s="13"/>
      <c r="AL77" s="13"/>
      <c r="AM77" s="13"/>
      <c r="AN77" s="13"/>
      <c r="AO77" s="13"/>
      <c r="AP77" s="13"/>
      <c r="AQ77" s="13"/>
      <c r="AR77" s="13"/>
      <c r="AS77" s="13"/>
      <c r="AT77" s="13"/>
      <c r="AU77" s="13"/>
      <c r="AV77" s="13"/>
      <c r="AW77" s="13"/>
      <c r="AX77" s="13"/>
      <c r="AY77" s="13"/>
      <c r="AZ77" s="13"/>
      <c r="BA77" s="13"/>
      <c r="BB77" s="13"/>
      <c r="BC77" s="13"/>
      <c r="BD77" s="13"/>
      <c r="BE77" s="13"/>
      <c r="BF77" s="13"/>
      <c r="BG77" s="13"/>
      <c r="BH77" s="13"/>
      <c r="BI77" s="13"/>
      <c r="BJ77" s="13"/>
      <c r="BK77" s="13"/>
      <c r="BL77" s="13"/>
      <c r="BM77" s="13"/>
      <c r="BN77" s="13"/>
      <c r="BO77" s="13"/>
      <c r="BP77" s="13"/>
      <c r="BQ77" s="13"/>
      <c r="BR77" s="13"/>
      <c r="BS77" s="13"/>
      <c r="BT77" s="13"/>
      <c r="BU77" s="22"/>
      <c r="BV77" s="13"/>
      <c r="BW77" s="13"/>
      <c r="BX77" s="13"/>
      <c r="BY77" s="13"/>
      <c r="BZ77" s="13"/>
      <c r="CA77" s="13"/>
      <c r="CB77" s="13"/>
      <c r="CC77" s="13"/>
      <c r="CD77" s="13"/>
      <c r="CE77" s="13"/>
      <c r="CF77" s="13"/>
      <c r="CG77" s="13"/>
      <c r="CH77" s="13"/>
      <c r="CI77" s="13"/>
      <c r="CJ77" s="13"/>
      <c r="CK77" s="13"/>
      <c r="CL77" s="13"/>
      <c r="CM77" s="13"/>
      <c r="CN77" s="13"/>
      <c r="CO77" s="13"/>
      <c r="CP77" s="13"/>
      <c r="CQ77" s="13"/>
      <c r="CR77" s="13"/>
      <c r="CS77" s="13"/>
      <c r="CT77" s="13"/>
      <c r="CU77" s="13"/>
      <c r="CV77" s="13"/>
      <c r="CW77" s="13"/>
      <c r="CX77" s="13"/>
      <c r="CY77" s="13"/>
      <c r="CZ77" s="13"/>
      <c r="DA77" s="13"/>
      <c r="DB77" s="13"/>
      <c r="DC77" s="13"/>
      <c r="DD77" s="13"/>
      <c r="DE77" s="13"/>
      <c r="DF77" s="13"/>
      <c r="DG77" s="13"/>
      <c r="DH77" s="13"/>
      <c r="DI77" s="13"/>
      <c r="DJ77" s="13"/>
      <c r="DK77" s="13"/>
      <c r="DL77" s="13"/>
      <c r="DM77" s="13"/>
      <c r="DN77" s="13"/>
      <c r="DO77" s="13"/>
      <c r="DP77" s="13"/>
      <c r="DQ77" s="13"/>
      <c r="DR77" s="13"/>
      <c r="DS77" s="13"/>
      <c r="DT77" s="13"/>
      <c r="DU77" s="13"/>
      <c r="DV77" s="13"/>
      <c r="DW77" s="13"/>
    </row>
    <row r="78" spans="1:127">
      <c r="A78" s="13" t="str">
        <f>Schedule_Data!A79</f>
        <v>V7</v>
      </c>
      <c r="B78" s="13" t="str">
        <f>Schedule_Data!B79</f>
        <v>7.0</v>
      </c>
      <c r="C78" s="13" t="str">
        <f>Schedule_Data!C79</f>
        <v>VOYAGE 7: TR7 Transport + JD-4</v>
      </c>
      <c r="D78" s="34" t="str">
        <f>Schedule_Data!D79</f>
        <v>MILESTONE</v>
      </c>
      <c r="E78" s="33">
        <f>Schedule_Data!F79</f>
        <v>46105</v>
      </c>
      <c r="F78" s="33">
        <f>Schedule_Data!G79</f>
        <v>46105</v>
      </c>
      <c r="G78" s="13">
        <f>Schedule_Data!H79</f>
        <v>0</v>
      </c>
      <c r="H78" s="13"/>
      <c r="I78" s="13"/>
      <c r="J78" s="13"/>
      <c r="K78" s="13"/>
      <c r="L78" s="13"/>
      <c r="M78" s="13"/>
      <c r="N78" s="13"/>
      <c r="O78" s="13"/>
      <c r="P78" s="13"/>
      <c r="Q78" s="13"/>
      <c r="R78" s="13"/>
      <c r="S78" s="13"/>
      <c r="T78" s="13"/>
      <c r="U78" s="13"/>
      <c r="V78" s="13"/>
      <c r="W78" s="13"/>
      <c r="X78" s="13"/>
      <c r="Y78" s="13"/>
      <c r="Z78" s="13"/>
      <c r="AA78" s="13"/>
      <c r="AB78" s="13"/>
      <c r="AC78" s="13"/>
      <c r="AD78" s="13"/>
      <c r="AE78" s="13"/>
      <c r="AF78" s="13"/>
      <c r="AG78" s="13"/>
      <c r="AH78" s="13"/>
      <c r="AI78" s="13"/>
      <c r="AJ78" s="13"/>
      <c r="AK78" s="13"/>
      <c r="AL78" s="13"/>
      <c r="AM78" s="13"/>
      <c r="AN78" s="13"/>
      <c r="AO78" s="13"/>
      <c r="AP78" s="13"/>
      <c r="AQ78" s="13"/>
      <c r="AR78" s="13"/>
      <c r="AS78" s="13"/>
      <c r="AT78" s="13"/>
      <c r="AU78" s="13"/>
      <c r="AV78" s="13"/>
      <c r="AW78" s="13"/>
      <c r="AX78" s="13"/>
      <c r="AY78" s="13"/>
      <c r="AZ78" s="13"/>
      <c r="BA78" s="13"/>
      <c r="BB78" s="13"/>
      <c r="BC78" s="13"/>
      <c r="BD78" s="13"/>
      <c r="BE78" s="13"/>
      <c r="BF78" s="13"/>
      <c r="BG78" s="13"/>
      <c r="BH78" s="13"/>
      <c r="BI78" s="13"/>
      <c r="BJ78" s="13"/>
      <c r="BK78" s="13"/>
      <c r="BL78" s="13"/>
      <c r="BM78" s="13"/>
      <c r="BN78" s="13"/>
      <c r="BO78" s="13"/>
      <c r="BP78" s="13"/>
      <c r="BQ78" s="13"/>
      <c r="BR78" s="13"/>
      <c r="BS78" s="13"/>
      <c r="BT78" s="13"/>
      <c r="BU78" s="13"/>
      <c r="BV78" s="13"/>
      <c r="BW78" s="13"/>
      <c r="BX78" s="35" t="s">
        <v>270</v>
      </c>
      <c r="BY78" s="13"/>
      <c r="BZ78" s="13"/>
      <c r="CA78" s="13"/>
      <c r="CB78" s="13"/>
      <c r="CC78" s="13"/>
      <c r="CD78" s="13"/>
      <c r="CE78" s="13"/>
      <c r="CF78" s="13"/>
      <c r="CG78" s="13"/>
      <c r="CH78" s="13"/>
      <c r="CI78" s="13"/>
      <c r="CJ78" s="13"/>
      <c r="CK78" s="13"/>
      <c r="CL78" s="13"/>
      <c r="CM78" s="13"/>
      <c r="CN78" s="13"/>
      <c r="CO78" s="13"/>
      <c r="CP78" s="13"/>
      <c r="CQ78" s="13"/>
      <c r="CR78" s="13"/>
      <c r="CS78" s="13"/>
      <c r="CT78" s="13"/>
      <c r="CU78" s="13"/>
      <c r="CV78" s="13"/>
      <c r="CW78" s="13"/>
      <c r="CX78" s="13"/>
      <c r="CY78" s="13"/>
      <c r="CZ78" s="13"/>
      <c r="DA78" s="13"/>
      <c r="DB78" s="13"/>
      <c r="DC78" s="13"/>
      <c r="DD78" s="13"/>
      <c r="DE78" s="13"/>
      <c r="DF78" s="13"/>
      <c r="DG78" s="13"/>
      <c r="DH78" s="13"/>
      <c r="DI78" s="13"/>
      <c r="DJ78" s="13"/>
      <c r="DK78" s="13"/>
      <c r="DL78" s="13"/>
      <c r="DM78" s="13"/>
      <c r="DN78" s="13"/>
      <c r="DO78" s="13"/>
      <c r="DP78" s="13"/>
      <c r="DQ78" s="13"/>
      <c r="DR78" s="13"/>
      <c r="DS78" s="13"/>
      <c r="DT78" s="13"/>
      <c r="DU78" s="13"/>
      <c r="DV78" s="13"/>
      <c r="DW78" s="13"/>
    </row>
    <row r="79" spans="1:127">
      <c r="A79" s="13" t="str">
        <f>Schedule_Data!A80</f>
        <v>LO-201</v>
      </c>
      <c r="B79" s="13" t="str">
        <f>Schedule_Data!B80</f>
        <v>7.0</v>
      </c>
      <c r="C79" s="13" t="str">
        <f>Schedule_Data!C80</f>
        <v>Loadout TR7</v>
      </c>
      <c r="D79" s="20" t="str">
        <f>Schedule_Data!D80</f>
        <v>LOADOUT</v>
      </c>
      <c r="E79" s="33">
        <f>Schedule_Data!F80</f>
        <v>46105</v>
      </c>
      <c r="F79" s="33">
        <f>Schedule_Data!G80</f>
        <v>46105</v>
      </c>
      <c r="G79" s="13">
        <f>Schedule_Data!H80</f>
        <v>0</v>
      </c>
      <c r="H79" s="13"/>
      <c r="I79" s="13"/>
      <c r="J79" s="13"/>
      <c r="K79" s="13"/>
      <c r="L79" s="13"/>
      <c r="M79" s="13"/>
      <c r="N79" s="13"/>
      <c r="O79" s="13"/>
      <c r="P79" s="13"/>
      <c r="Q79" s="13"/>
      <c r="R79" s="13"/>
      <c r="S79" s="13"/>
      <c r="T79" s="13"/>
      <c r="U79" s="13"/>
      <c r="V79" s="13"/>
      <c r="W79" s="13"/>
      <c r="X79" s="13"/>
      <c r="Y79" s="13"/>
      <c r="Z79" s="13"/>
      <c r="AA79" s="13"/>
      <c r="AB79" s="13"/>
      <c r="AC79" s="13"/>
      <c r="AD79" s="13"/>
      <c r="AE79" s="13"/>
      <c r="AF79" s="13"/>
      <c r="AG79" s="13"/>
      <c r="AH79" s="13"/>
      <c r="AI79" s="13"/>
      <c r="AJ79" s="13"/>
      <c r="AK79" s="13"/>
      <c r="AL79" s="13"/>
      <c r="AM79" s="13"/>
      <c r="AN79" s="13"/>
      <c r="AO79" s="13"/>
      <c r="AP79" s="13"/>
      <c r="AQ79" s="13"/>
      <c r="AR79" s="13"/>
      <c r="AS79" s="13"/>
      <c r="AT79" s="13"/>
      <c r="AU79" s="13"/>
      <c r="AV79" s="13"/>
      <c r="AW79" s="13"/>
      <c r="AX79" s="13"/>
      <c r="AY79" s="13"/>
      <c r="AZ79" s="13"/>
      <c r="BA79" s="13"/>
      <c r="BB79" s="13"/>
      <c r="BC79" s="13"/>
      <c r="BD79" s="13"/>
      <c r="BE79" s="13"/>
      <c r="BF79" s="13"/>
      <c r="BG79" s="13"/>
      <c r="BH79" s="13"/>
      <c r="BI79" s="13"/>
      <c r="BJ79" s="13"/>
      <c r="BK79" s="13"/>
      <c r="BL79" s="13"/>
      <c r="BM79" s="13"/>
      <c r="BN79" s="13"/>
      <c r="BO79" s="13"/>
      <c r="BP79" s="13"/>
      <c r="BQ79" s="13"/>
      <c r="BR79" s="13"/>
      <c r="BS79" s="13"/>
      <c r="BT79" s="13"/>
      <c r="BU79" s="13"/>
      <c r="BV79" s="13"/>
      <c r="BW79" s="13"/>
      <c r="BX79" s="20"/>
      <c r="BY79" s="13"/>
      <c r="BZ79" s="13"/>
      <c r="CA79" s="13"/>
      <c r="CB79" s="13"/>
      <c r="CC79" s="13"/>
      <c r="CD79" s="13"/>
      <c r="CE79" s="13"/>
      <c r="CF79" s="13"/>
      <c r="CG79" s="13"/>
      <c r="CH79" s="13"/>
      <c r="CI79" s="13"/>
      <c r="CJ79" s="13"/>
      <c r="CK79" s="13"/>
      <c r="CL79" s="13"/>
      <c r="CM79" s="13"/>
      <c r="CN79" s="13"/>
      <c r="CO79" s="13"/>
      <c r="CP79" s="13"/>
      <c r="CQ79" s="13"/>
      <c r="CR79" s="13"/>
      <c r="CS79" s="13"/>
      <c r="CT79" s="13"/>
      <c r="CU79" s="13"/>
      <c r="CV79" s="13"/>
      <c r="CW79" s="13"/>
      <c r="CX79" s="13"/>
      <c r="CY79" s="13"/>
      <c r="CZ79" s="13"/>
      <c r="DA79" s="13"/>
      <c r="DB79" s="13"/>
      <c r="DC79" s="13"/>
      <c r="DD79" s="13"/>
      <c r="DE79" s="13"/>
      <c r="DF79" s="13"/>
      <c r="DG79" s="13"/>
      <c r="DH79" s="13"/>
      <c r="DI79" s="13"/>
      <c r="DJ79" s="13"/>
      <c r="DK79" s="13"/>
      <c r="DL79" s="13"/>
      <c r="DM79" s="13"/>
      <c r="DN79" s="13"/>
      <c r="DO79" s="13"/>
      <c r="DP79" s="13"/>
      <c r="DQ79" s="13"/>
      <c r="DR79" s="13"/>
      <c r="DS79" s="13"/>
      <c r="DT79" s="13"/>
      <c r="DU79" s="13"/>
      <c r="DV79" s="13"/>
      <c r="DW79" s="13"/>
    </row>
    <row r="80" spans="1:127">
      <c r="A80" s="13" t="str">
        <f>Schedule_Data!A81</f>
        <v>SF-202</v>
      </c>
      <c r="B80" s="13" t="str">
        <f>Schedule_Data!B81</f>
        <v>7.0</v>
      </c>
      <c r="C80" s="13" t="str">
        <f>Schedule_Data!C81</f>
        <v>Sea fastening TR7</v>
      </c>
      <c r="D80" s="21" t="str">
        <f>Schedule_Data!D81</f>
        <v>SEAFAST</v>
      </c>
      <c r="E80" s="33">
        <f>Schedule_Data!F81</f>
        <v>46105</v>
      </c>
      <c r="F80" s="33">
        <f>Schedule_Data!G81</f>
        <v>46105</v>
      </c>
      <c r="G80" s="13">
        <f>Schedule_Data!H81</f>
        <v>0</v>
      </c>
      <c r="H80" s="13"/>
      <c r="I80" s="13"/>
      <c r="J80" s="13"/>
      <c r="K80" s="13"/>
      <c r="L80" s="13"/>
      <c r="M80" s="13"/>
      <c r="N80" s="13"/>
      <c r="O80" s="13"/>
      <c r="P80" s="13"/>
      <c r="Q80" s="13"/>
      <c r="R80" s="13"/>
      <c r="S80" s="13"/>
      <c r="T80" s="13"/>
      <c r="U80" s="13"/>
      <c r="V80" s="13"/>
      <c r="W80" s="13"/>
      <c r="X80" s="13"/>
      <c r="Y80" s="13"/>
      <c r="Z80" s="13"/>
      <c r="AA80" s="13"/>
      <c r="AB80" s="13"/>
      <c r="AC80" s="13"/>
      <c r="AD80" s="13"/>
      <c r="AE80" s="13"/>
      <c r="AF80" s="13"/>
      <c r="AG80" s="13"/>
      <c r="AH80" s="13"/>
      <c r="AI80" s="13"/>
      <c r="AJ80" s="13"/>
      <c r="AK80" s="13"/>
      <c r="AL80" s="13"/>
      <c r="AM80" s="13"/>
      <c r="AN80" s="13"/>
      <c r="AO80" s="13"/>
      <c r="AP80" s="13"/>
      <c r="AQ80" s="13"/>
      <c r="AR80" s="13"/>
      <c r="AS80" s="13"/>
      <c r="AT80" s="13"/>
      <c r="AU80" s="13"/>
      <c r="AV80" s="13"/>
      <c r="AW80" s="13"/>
      <c r="AX80" s="13"/>
      <c r="AY80" s="13"/>
      <c r="AZ80" s="13"/>
      <c r="BA80" s="13"/>
      <c r="BB80" s="13"/>
      <c r="BC80" s="13"/>
      <c r="BD80" s="13"/>
      <c r="BE80" s="13"/>
      <c r="BF80" s="13"/>
      <c r="BG80" s="13"/>
      <c r="BH80" s="13"/>
      <c r="BI80" s="13"/>
      <c r="BJ80" s="13"/>
      <c r="BK80" s="13"/>
      <c r="BL80" s="13"/>
      <c r="BM80" s="13"/>
      <c r="BN80" s="13"/>
      <c r="BO80" s="13"/>
      <c r="BP80" s="13"/>
      <c r="BQ80" s="13"/>
      <c r="BR80" s="13"/>
      <c r="BS80" s="13"/>
      <c r="BT80" s="13"/>
      <c r="BU80" s="13"/>
      <c r="BV80" s="13"/>
      <c r="BW80" s="13"/>
      <c r="BX80" s="36" t="s">
        <v>270</v>
      </c>
      <c r="BY80" s="13"/>
      <c r="BZ80" s="13"/>
      <c r="CA80" s="13"/>
      <c r="CB80" s="13"/>
      <c r="CC80" s="13"/>
      <c r="CD80" s="13"/>
      <c r="CE80" s="13"/>
      <c r="CF80" s="13"/>
      <c r="CG80" s="13"/>
      <c r="CH80" s="13"/>
      <c r="CI80" s="13"/>
      <c r="CJ80" s="13"/>
      <c r="CK80" s="13"/>
      <c r="CL80" s="13"/>
      <c r="CM80" s="13"/>
      <c r="CN80" s="13"/>
      <c r="CO80" s="13"/>
      <c r="CP80" s="13"/>
      <c r="CQ80" s="13"/>
      <c r="CR80" s="13"/>
      <c r="CS80" s="13"/>
      <c r="CT80" s="13"/>
      <c r="CU80" s="13"/>
      <c r="CV80" s="13"/>
      <c r="CW80" s="13"/>
      <c r="CX80" s="13"/>
      <c r="CY80" s="13"/>
      <c r="CZ80" s="13"/>
      <c r="DA80" s="13"/>
      <c r="DB80" s="13"/>
      <c r="DC80" s="13"/>
      <c r="DD80" s="13"/>
      <c r="DE80" s="13"/>
      <c r="DF80" s="13"/>
      <c r="DG80" s="13"/>
      <c r="DH80" s="13"/>
      <c r="DI80" s="13"/>
      <c r="DJ80" s="13"/>
      <c r="DK80" s="13"/>
      <c r="DL80" s="13"/>
      <c r="DM80" s="13"/>
      <c r="DN80" s="13"/>
      <c r="DO80" s="13"/>
      <c r="DP80" s="13"/>
      <c r="DQ80" s="13"/>
      <c r="DR80" s="13"/>
      <c r="DS80" s="13"/>
      <c r="DT80" s="13"/>
      <c r="DU80" s="13"/>
      <c r="DV80" s="13"/>
      <c r="DW80" s="13"/>
    </row>
    <row r="81" spans="1:127">
      <c r="A81" s="13" t="str">
        <f>Schedule_Data!A82</f>
        <v>MWS-202A</v>
      </c>
      <c r="B81" s="13" t="str">
        <f>Schedule_Data!B82</f>
        <v>7.0</v>
      </c>
      <c r="C81" s="13" t="str">
        <f>Schedule_Data!C82</f>
        <v>MWS Survey + Final checks</v>
      </c>
      <c r="D81" s="22" t="str">
        <f>Schedule_Data!D82</f>
        <v>BUFFER</v>
      </c>
      <c r="E81" s="33">
        <f>Schedule_Data!F82</f>
        <v>46105</v>
      </c>
      <c r="F81" s="33">
        <f>Schedule_Data!G82</f>
        <v>46105</v>
      </c>
      <c r="G81" s="13">
        <f>Schedule_Data!H82</f>
        <v>0</v>
      </c>
      <c r="H81" s="13"/>
      <c r="I81" s="13"/>
      <c r="J81" s="13"/>
      <c r="K81" s="13"/>
      <c r="L81" s="13"/>
      <c r="M81" s="13"/>
      <c r="N81" s="13"/>
      <c r="O81" s="13"/>
      <c r="P81" s="13"/>
      <c r="Q81" s="13"/>
      <c r="R81" s="13"/>
      <c r="S81" s="13"/>
      <c r="T81" s="13"/>
      <c r="U81" s="13"/>
      <c r="V81" s="13"/>
      <c r="W81" s="13"/>
      <c r="X81" s="13"/>
      <c r="Y81" s="13"/>
      <c r="Z81" s="13"/>
      <c r="AA81" s="13"/>
      <c r="AB81" s="13"/>
      <c r="AC81" s="13"/>
      <c r="AD81" s="13"/>
      <c r="AE81" s="13"/>
      <c r="AF81" s="13"/>
      <c r="AG81" s="13"/>
      <c r="AH81" s="13"/>
      <c r="AI81" s="13"/>
      <c r="AJ81" s="13"/>
      <c r="AK81" s="13"/>
      <c r="AL81" s="13"/>
      <c r="AM81" s="13"/>
      <c r="AN81" s="13"/>
      <c r="AO81" s="13"/>
      <c r="AP81" s="13"/>
      <c r="AQ81" s="13"/>
      <c r="AR81" s="13"/>
      <c r="AS81" s="13"/>
      <c r="AT81" s="13"/>
      <c r="AU81" s="13"/>
      <c r="AV81" s="13"/>
      <c r="AW81" s="13"/>
      <c r="AX81" s="13"/>
      <c r="AY81" s="13"/>
      <c r="AZ81" s="13"/>
      <c r="BA81" s="13"/>
      <c r="BB81" s="13"/>
      <c r="BC81" s="13"/>
      <c r="BD81" s="13"/>
      <c r="BE81" s="13"/>
      <c r="BF81" s="13"/>
      <c r="BG81" s="13"/>
      <c r="BH81" s="13"/>
      <c r="BI81" s="13"/>
      <c r="BJ81" s="13"/>
      <c r="BK81" s="13"/>
      <c r="BL81" s="13"/>
      <c r="BM81" s="13"/>
      <c r="BN81" s="13"/>
      <c r="BO81" s="13"/>
      <c r="BP81" s="13"/>
      <c r="BQ81" s="13"/>
      <c r="BR81" s="13"/>
      <c r="BS81" s="13"/>
      <c r="BT81" s="13"/>
      <c r="BU81" s="13"/>
      <c r="BV81" s="13"/>
      <c r="BW81" s="13"/>
      <c r="BX81" s="37" t="s">
        <v>270</v>
      </c>
      <c r="BY81" s="13"/>
      <c r="BZ81" s="13"/>
      <c r="CA81" s="13"/>
      <c r="CB81" s="13"/>
      <c r="CC81" s="13"/>
      <c r="CD81" s="13"/>
      <c r="CE81" s="13"/>
      <c r="CF81" s="13"/>
      <c r="CG81" s="13"/>
      <c r="CH81" s="13"/>
      <c r="CI81" s="13"/>
      <c r="CJ81" s="13"/>
      <c r="CK81" s="13"/>
      <c r="CL81" s="13"/>
      <c r="CM81" s="13"/>
      <c r="CN81" s="13"/>
      <c r="CO81" s="13"/>
      <c r="CP81" s="13"/>
      <c r="CQ81" s="13"/>
      <c r="CR81" s="13"/>
      <c r="CS81" s="13"/>
      <c r="CT81" s="13"/>
      <c r="CU81" s="13"/>
      <c r="CV81" s="13"/>
      <c r="CW81" s="13"/>
      <c r="CX81" s="13"/>
      <c r="CY81" s="13"/>
      <c r="CZ81" s="13"/>
      <c r="DA81" s="13"/>
      <c r="DB81" s="13"/>
      <c r="DC81" s="13"/>
      <c r="DD81" s="13"/>
      <c r="DE81" s="13"/>
      <c r="DF81" s="13"/>
      <c r="DG81" s="13"/>
      <c r="DH81" s="13"/>
      <c r="DI81" s="13"/>
      <c r="DJ81" s="13"/>
      <c r="DK81" s="13"/>
      <c r="DL81" s="13"/>
      <c r="DM81" s="13"/>
      <c r="DN81" s="13"/>
      <c r="DO81" s="13"/>
      <c r="DP81" s="13"/>
      <c r="DQ81" s="13"/>
      <c r="DR81" s="13"/>
      <c r="DS81" s="13"/>
      <c r="DT81" s="13"/>
      <c r="DU81" s="13"/>
      <c r="DV81" s="13"/>
      <c r="DW81" s="13"/>
    </row>
    <row r="82" spans="1:127">
      <c r="A82" s="13" t="str">
        <f>Schedule_Data!A83</f>
        <v>SAIL-203</v>
      </c>
      <c r="B82" s="13" t="str">
        <f>Schedule_Data!B83</f>
        <v>7.0</v>
      </c>
      <c r="C82" s="13" t="str">
        <f>Schedule_Data!C83</f>
        <v>Sail-away</v>
      </c>
      <c r="D82" s="23" t="str">
        <f>Schedule_Data!D83</f>
        <v>SAIL</v>
      </c>
      <c r="E82" s="33">
        <f>Schedule_Data!F83</f>
        <v>46105</v>
      </c>
      <c r="F82" s="33">
        <f>Schedule_Data!G83</f>
        <v>46105</v>
      </c>
      <c r="G82" s="13">
        <f>Schedule_Data!H83</f>
        <v>0</v>
      </c>
      <c r="H82" s="13"/>
      <c r="I82" s="13"/>
      <c r="J82" s="13"/>
      <c r="K82" s="13"/>
      <c r="L82" s="13"/>
      <c r="M82" s="13"/>
      <c r="N82" s="13"/>
      <c r="O82" s="13"/>
      <c r="P82" s="13"/>
      <c r="Q82" s="13"/>
      <c r="R82" s="13"/>
      <c r="S82" s="13"/>
      <c r="T82" s="13"/>
      <c r="U82" s="13"/>
      <c r="V82" s="13"/>
      <c r="W82" s="13"/>
      <c r="X82" s="13"/>
      <c r="Y82" s="13"/>
      <c r="Z82" s="13"/>
      <c r="AA82" s="13"/>
      <c r="AB82" s="13"/>
      <c r="AC82" s="13"/>
      <c r="AD82" s="13"/>
      <c r="AE82" s="13"/>
      <c r="AF82" s="13"/>
      <c r="AG82" s="13"/>
      <c r="AH82" s="13"/>
      <c r="AI82" s="13"/>
      <c r="AJ82" s="13"/>
      <c r="AK82" s="13"/>
      <c r="AL82" s="13"/>
      <c r="AM82" s="13"/>
      <c r="AN82" s="13"/>
      <c r="AO82" s="13"/>
      <c r="AP82" s="13"/>
      <c r="AQ82" s="13"/>
      <c r="AR82" s="13"/>
      <c r="AS82" s="13"/>
      <c r="AT82" s="13"/>
      <c r="AU82" s="13"/>
      <c r="AV82" s="13"/>
      <c r="AW82" s="13"/>
      <c r="AX82" s="13"/>
      <c r="AY82" s="13"/>
      <c r="AZ82" s="13"/>
      <c r="BA82" s="13"/>
      <c r="BB82" s="13"/>
      <c r="BC82" s="13"/>
      <c r="BD82" s="13"/>
      <c r="BE82" s="13"/>
      <c r="BF82" s="13"/>
      <c r="BG82" s="13"/>
      <c r="BH82" s="13"/>
      <c r="BI82" s="13"/>
      <c r="BJ82" s="13"/>
      <c r="BK82" s="13"/>
      <c r="BL82" s="13"/>
      <c r="BM82" s="13"/>
      <c r="BN82" s="13"/>
      <c r="BO82" s="13"/>
      <c r="BP82" s="13"/>
      <c r="BQ82" s="13"/>
      <c r="BR82" s="13"/>
      <c r="BS82" s="13"/>
      <c r="BT82" s="13"/>
      <c r="BU82" s="13"/>
      <c r="BV82" s="13"/>
      <c r="BW82" s="13"/>
      <c r="BX82" s="38" t="s">
        <v>270</v>
      </c>
      <c r="BY82" s="13"/>
      <c r="BZ82" s="13"/>
      <c r="CA82" s="13"/>
      <c r="CB82" s="13"/>
      <c r="CC82" s="13"/>
      <c r="CD82" s="13"/>
      <c r="CE82" s="13"/>
      <c r="CF82" s="13"/>
      <c r="CG82" s="13"/>
      <c r="CH82" s="13"/>
      <c r="CI82" s="13"/>
      <c r="CJ82" s="13"/>
      <c r="CK82" s="13"/>
      <c r="CL82" s="13"/>
      <c r="CM82" s="13"/>
      <c r="CN82" s="13"/>
      <c r="CO82" s="13"/>
      <c r="CP82" s="13"/>
      <c r="CQ82" s="13"/>
      <c r="CR82" s="13"/>
      <c r="CS82" s="13"/>
      <c r="CT82" s="13"/>
      <c r="CU82" s="13"/>
      <c r="CV82" s="13"/>
      <c r="CW82" s="13"/>
      <c r="CX82" s="13"/>
      <c r="CY82" s="13"/>
      <c r="CZ82" s="13"/>
      <c r="DA82" s="13"/>
      <c r="DB82" s="13"/>
      <c r="DC82" s="13"/>
      <c r="DD82" s="13"/>
      <c r="DE82" s="13"/>
      <c r="DF82" s="13"/>
      <c r="DG82" s="13"/>
      <c r="DH82" s="13"/>
      <c r="DI82" s="13"/>
      <c r="DJ82" s="13"/>
      <c r="DK82" s="13"/>
      <c r="DL82" s="13"/>
      <c r="DM82" s="13"/>
      <c r="DN82" s="13"/>
      <c r="DO82" s="13"/>
      <c r="DP82" s="13"/>
      <c r="DQ82" s="13"/>
      <c r="DR82" s="13"/>
      <c r="DS82" s="13"/>
      <c r="DT82" s="13"/>
      <c r="DU82" s="13"/>
      <c r="DV82" s="13"/>
      <c r="DW82" s="13"/>
    </row>
    <row r="83" spans="1:127">
      <c r="A83" s="13" t="str">
        <f>Schedule_Data!A84</f>
        <v>ARR-204</v>
      </c>
      <c r="B83" s="13" t="str">
        <f>Schedule_Data!B84</f>
        <v>7.0</v>
      </c>
      <c r="C83" s="13" t="str">
        <f>Schedule_Data!C84</f>
        <v>Arrive/berth AGI</v>
      </c>
      <c r="D83" s="24" t="str">
        <f>Schedule_Data!D84</f>
        <v>AGI_UNLOAD</v>
      </c>
      <c r="E83" s="33">
        <f>Schedule_Data!F84</f>
        <v>46106</v>
      </c>
      <c r="F83" s="33">
        <f>Schedule_Data!G84</f>
        <v>46106</v>
      </c>
      <c r="G83" s="13">
        <f>Schedule_Data!H84</f>
        <v>0</v>
      </c>
      <c r="H83" s="13"/>
      <c r="I83" s="13"/>
      <c r="J83" s="13"/>
      <c r="K83" s="13"/>
      <c r="L83" s="13"/>
      <c r="M83" s="13"/>
      <c r="N83" s="13"/>
      <c r="O83" s="13"/>
      <c r="P83" s="13"/>
      <c r="Q83" s="13"/>
      <c r="R83" s="13"/>
      <c r="S83" s="13"/>
      <c r="T83" s="13"/>
      <c r="U83" s="13"/>
      <c r="V83" s="13"/>
      <c r="W83" s="13"/>
      <c r="X83" s="13"/>
      <c r="Y83" s="13"/>
      <c r="Z83" s="13"/>
      <c r="AA83" s="13"/>
      <c r="AB83" s="13"/>
      <c r="AC83" s="13"/>
      <c r="AD83" s="13"/>
      <c r="AE83" s="13"/>
      <c r="AF83" s="13"/>
      <c r="AG83" s="13"/>
      <c r="AH83" s="13"/>
      <c r="AI83" s="13"/>
      <c r="AJ83" s="13"/>
      <c r="AK83" s="13"/>
      <c r="AL83" s="13"/>
      <c r="AM83" s="13"/>
      <c r="AN83" s="13"/>
      <c r="AO83" s="13"/>
      <c r="AP83" s="13"/>
      <c r="AQ83" s="13"/>
      <c r="AR83" s="13"/>
      <c r="AS83" s="13"/>
      <c r="AT83" s="13"/>
      <c r="AU83" s="13"/>
      <c r="AV83" s="13"/>
      <c r="AW83" s="13"/>
      <c r="AX83" s="13"/>
      <c r="AY83" s="13"/>
      <c r="AZ83" s="13"/>
      <c r="BA83" s="13"/>
      <c r="BB83" s="13"/>
      <c r="BC83" s="13"/>
      <c r="BD83" s="13"/>
      <c r="BE83" s="13"/>
      <c r="BF83" s="13"/>
      <c r="BG83" s="13"/>
      <c r="BH83" s="13"/>
      <c r="BI83" s="13"/>
      <c r="BJ83" s="13"/>
      <c r="BK83" s="13"/>
      <c r="BL83" s="13"/>
      <c r="BM83" s="13"/>
      <c r="BN83" s="13"/>
      <c r="BO83" s="13"/>
      <c r="BP83" s="13"/>
      <c r="BQ83" s="13"/>
      <c r="BR83" s="13"/>
      <c r="BS83" s="13"/>
      <c r="BT83" s="13"/>
      <c r="BU83" s="13"/>
      <c r="BV83" s="13"/>
      <c r="BW83" s="13"/>
      <c r="BX83" s="13"/>
      <c r="BY83" s="39" t="s">
        <v>270</v>
      </c>
      <c r="BZ83" s="13"/>
      <c r="CA83" s="13"/>
      <c r="CB83" s="13"/>
      <c r="CC83" s="13"/>
      <c r="CD83" s="13"/>
      <c r="CE83" s="13"/>
      <c r="CF83" s="13"/>
      <c r="CG83" s="13"/>
      <c r="CH83" s="13"/>
      <c r="CI83" s="13"/>
      <c r="CJ83" s="13"/>
      <c r="CK83" s="13"/>
      <c r="CL83" s="13"/>
      <c r="CM83" s="13"/>
      <c r="CN83" s="13"/>
      <c r="CO83" s="13"/>
      <c r="CP83" s="13"/>
      <c r="CQ83" s="13"/>
      <c r="CR83" s="13"/>
      <c r="CS83" s="13"/>
      <c r="CT83" s="13"/>
      <c r="CU83" s="13"/>
      <c r="CV83" s="13"/>
      <c r="CW83" s="13"/>
      <c r="CX83" s="13"/>
      <c r="CY83" s="13"/>
      <c r="CZ83" s="13"/>
      <c r="DA83" s="13"/>
      <c r="DB83" s="13"/>
      <c r="DC83" s="13"/>
      <c r="DD83" s="13"/>
      <c r="DE83" s="13"/>
      <c r="DF83" s="13"/>
      <c r="DG83" s="13"/>
      <c r="DH83" s="13"/>
      <c r="DI83" s="13"/>
      <c r="DJ83" s="13"/>
      <c r="DK83" s="13"/>
      <c r="DL83" s="13"/>
      <c r="DM83" s="13"/>
      <c r="DN83" s="13"/>
      <c r="DO83" s="13"/>
      <c r="DP83" s="13"/>
      <c r="DQ83" s="13"/>
      <c r="DR83" s="13"/>
      <c r="DS83" s="13"/>
      <c r="DT83" s="13"/>
      <c r="DU83" s="13"/>
      <c r="DV83" s="13"/>
      <c r="DW83" s="13"/>
    </row>
    <row r="84" spans="1:127">
      <c r="A84" s="13" t="str">
        <f>Schedule_Data!A85</f>
        <v>TRN-205</v>
      </c>
      <c r="B84" s="13" t="str">
        <f>Schedule_Data!B85</f>
        <v>7.0</v>
      </c>
      <c r="C84" s="13" t="str">
        <f>Schedule_Data!C85</f>
        <v>Inland transport TR7 to Bay-7</v>
      </c>
      <c r="D84" s="26" t="str">
        <f>Schedule_Data!D85</f>
        <v>TURNING</v>
      </c>
      <c r="E84" s="33">
        <f>Schedule_Data!F85</f>
        <v>46107</v>
      </c>
      <c r="F84" s="33">
        <f>Schedule_Data!G85</f>
        <v>46107</v>
      </c>
      <c r="G84" s="13">
        <f>Schedule_Data!H85</f>
        <v>0</v>
      </c>
      <c r="H84" s="13"/>
      <c r="I84" s="13"/>
      <c r="J84" s="13"/>
      <c r="K84" s="13"/>
      <c r="L84" s="13"/>
      <c r="M84" s="13"/>
      <c r="N84" s="13"/>
      <c r="O84" s="13"/>
      <c r="P84" s="13"/>
      <c r="Q84" s="13"/>
      <c r="R84" s="13"/>
      <c r="S84" s="13"/>
      <c r="T84" s="13"/>
      <c r="U84" s="13"/>
      <c r="V84" s="13"/>
      <c r="W84" s="13"/>
      <c r="X84" s="13"/>
      <c r="Y84" s="13"/>
      <c r="Z84" s="13"/>
      <c r="AA84" s="13"/>
      <c r="AB84" s="13"/>
      <c r="AC84" s="13"/>
      <c r="AD84" s="13"/>
      <c r="AE84" s="13"/>
      <c r="AF84" s="13"/>
      <c r="AG84" s="13"/>
      <c r="AH84" s="13"/>
      <c r="AI84" s="13"/>
      <c r="AJ84" s="13"/>
      <c r="AK84" s="13"/>
      <c r="AL84" s="13"/>
      <c r="AM84" s="13"/>
      <c r="AN84" s="13"/>
      <c r="AO84" s="13"/>
      <c r="AP84" s="13"/>
      <c r="AQ84" s="13"/>
      <c r="AR84" s="13"/>
      <c r="AS84" s="13"/>
      <c r="AT84" s="13"/>
      <c r="AU84" s="13"/>
      <c r="AV84" s="13"/>
      <c r="AW84" s="13"/>
      <c r="AX84" s="13"/>
      <c r="AY84" s="13"/>
      <c r="AZ84" s="13"/>
      <c r="BA84" s="13"/>
      <c r="BB84" s="13"/>
      <c r="BC84" s="13"/>
      <c r="BD84" s="13"/>
      <c r="BE84" s="13"/>
      <c r="BF84" s="13"/>
      <c r="BG84" s="13"/>
      <c r="BH84" s="13"/>
      <c r="BI84" s="13"/>
      <c r="BJ84" s="13"/>
      <c r="BK84" s="13"/>
      <c r="BL84" s="13"/>
      <c r="BM84" s="13"/>
      <c r="BN84" s="13"/>
      <c r="BO84" s="13"/>
      <c r="BP84" s="13"/>
      <c r="BQ84" s="13"/>
      <c r="BR84" s="13"/>
      <c r="BS84" s="13"/>
      <c r="BT84" s="13"/>
      <c r="BU84" s="13"/>
      <c r="BV84" s="13"/>
      <c r="BW84" s="13"/>
      <c r="BX84" s="13"/>
      <c r="BY84" s="13"/>
      <c r="BZ84" s="26"/>
      <c r="CA84" s="13"/>
      <c r="CB84" s="13"/>
      <c r="CC84" s="13"/>
      <c r="CD84" s="13"/>
      <c r="CE84" s="13"/>
      <c r="CF84" s="13"/>
      <c r="CG84" s="13"/>
      <c r="CH84" s="13"/>
      <c r="CI84" s="13"/>
      <c r="CJ84" s="13"/>
      <c r="CK84" s="13"/>
      <c r="CL84" s="13"/>
      <c r="CM84" s="13"/>
      <c r="CN84" s="13"/>
      <c r="CO84" s="13"/>
      <c r="CP84" s="13"/>
      <c r="CQ84" s="13"/>
      <c r="CR84" s="13"/>
      <c r="CS84" s="13"/>
      <c r="CT84" s="13"/>
      <c r="CU84" s="13"/>
      <c r="CV84" s="13"/>
      <c r="CW84" s="13"/>
      <c r="CX84" s="13"/>
      <c r="CY84" s="13"/>
      <c r="CZ84" s="13"/>
      <c r="DA84" s="13"/>
      <c r="DB84" s="13"/>
      <c r="DC84" s="13"/>
      <c r="DD84" s="13"/>
      <c r="DE84" s="13"/>
      <c r="DF84" s="13"/>
      <c r="DG84" s="13"/>
      <c r="DH84" s="13"/>
      <c r="DI84" s="13"/>
      <c r="DJ84" s="13"/>
      <c r="DK84" s="13"/>
      <c r="DL84" s="13"/>
      <c r="DM84" s="13"/>
      <c r="DN84" s="13"/>
      <c r="DO84" s="13"/>
      <c r="DP84" s="13"/>
      <c r="DQ84" s="13"/>
      <c r="DR84" s="13"/>
      <c r="DS84" s="13"/>
      <c r="DT84" s="13"/>
      <c r="DU84" s="13"/>
      <c r="DV84" s="13"/>
      <c r="DW84" s="13"/>
    </row>
    <row r="85" spans="1:127">
      <c r="A85" s="13" t="str">
        <f>Schedule_Data!A86</f>
        <v>TURN-206</v>
      </c>
      <c r="B85" s="13" t="str">
        <f>Schedule_Data!B86</f>
        <v>7.0</v>
      </c>
      <c r="C85" s="13" t="str">
        <f>Schedule_Data!C86</f>
        <v>Turn TR7 orientation (Bay-7)</v>
      </c>
      <c r="D85" s="26" t="str">
        <f>Schedule_Data!D86</f>
        <v>TURNING</v>
      </c>
      <c r="E85" s="33">
        <f>Schedule_Data!F86</f>
        <v>46108</v>
      </c>
      <c r="F85" s="33">
        <f>Schedule_Data!G86</f>
        <v>46108</v>
      </c>
      <c r="G85" s="13">
        <f>Schedule_Data!H86</f>
        <v>0</v>
      </c>
      <c r="H85" s="13"/>
      <c r="I85" s="13"/>
      <c r="J85" s="13"/>
      <c r="K85" s="13"/>
      <c r="L85" s="13"/>
      <c r="M85" s="13"/>
      <c r="N85" s="13"/>
      <c r="O85" s="13"/>
      <c r="P85" s="13"/>
      <c r="Q85" s="13"/>
      <c r="R85" s="13"/>
      <c r="S85" s="13"/>
      <c r="T85" s="13"/>
      <c r="U85" s="13"/>
      <c r="V85" s="13"/>
      <c r="W85" s="13"/>
      <c r="X85" s="13"/>
      <c r="Y85" s="13"/>
      <c r="Z85" s="13"/>
      <c r="AA85" s="13"/>
      <c r="AB85" s="13"/>
      <c r="AC85" s="13"/>
      <c r="AD85" s="13"/>
      <c r="AE85" s="13"/>
      <c r="AF85" s="13"/>
      <c r="AG85" s="13"/>
      <c r="AH85" s="13"/>
      <c r="AI85" s="13"/>
      <c r="AJ85" s="13"/>
      <c r="AK85" s="13"/>
      <c r="AL85" s="13"/>
      <c r="AM85" s="13"/>
      <c r="AN85" s="13"/>
      <c r="AO85" s="13"/>
      <c r="AP85" s="13"/>
      <c r="AQ85" s="13"/>
      <c r="AR85" s="13"/>
      <c r="AS85" s="13"/>
      <c r="AT85" s="13"/>
      <c r="AU85" s="13"/>
      <c r="AV85" s="13"/>
      <c r="AW85" s="13"/>
      <c r="AX85" s="13"/>
      <c r="AY85" s="13"/>
      <c r="AZ85" s="13"/>
      <c r="BA85" s="13"/>
      <c r="BB85" s="13"/>
      <c r="BC85" s="13"/>
      <c r="BD85" s="13"/>
      <c r="BE85" s="13"/>
      <c r="BF85" s="13"/>
      <c r="BG85" s="13"/>
      <c r="BH85" s="13"/>
      <c r="BI85" s="13"/>
      <c r="BJ85" s="13"/>
      <c r="BK85" s="13"/>
      <c r="BL85" s="13"/>
      <c r="BM85" s="13"/>
      <c r="BN85" s="13"/>
      <c r="BO85" s="13"/>
      <c r="BP85" s="13"/>
      <c r="BQ85" s="13"/>
      <c r="BR85" s="13"/>
      <c r="BS85" s="13"/>
      <c r="BT85" s="13"/>
      <c r="BU85" s="13"/>
      <c r="BV85" s="13"/>
      <c r="BW85" s="13"/>
      <c r="BX85" s="13"/>
      <c r="BY85" s="13"/>
      <c r="BZ85" s="13"/>
      <c r="CA85" s="41" t="s">
        <v>270</v>
      </c>
      <c r="CB85" s="13"/>
      <c r="CC85" s="13"/>
      <c r="CD85" s="13"/>
      <c r="CE85" s="13"/>
      <c r="CF85" s="13"/>
      <c r="CG85" s="13"/>
      <c r="CH85" s="13"/>
      <c r="CI85" s="13"/>
      <c r="CJ85" s="13"/>
      <c r="CK85" s="13"/>
      <c r="CL85" s="13"/>
      <c r="CM85" s="13"/>
      <c r="CN85" s="13"/>
      <c r="CO85" s="13"/>
      <c r="CP85" s="13"/>
      <c r="CQ85" s="13"/>
      <c r="CR85" s="13"/>
      <c r="CS85" s="13"/>
      <c r="CT85" s="13"/>
      <c r="CU85" s="13"/>
      <c r="CV85" s="13"/>
      <c r="CW85" s="13"/>
      <c r="CX85" s="13"/>
      <c r="CY85" s="13"/>
      <c r="CZ85" s="13"/>
      <c r="DA85" s="13"/>
      <c r="DB85" s="13"/>
      <c r="DC85" s="13"/>
      <c r="DD85" s="13"/>
      <c r="DE85" s="13"/>
      <c r="DF85" s="13"/>
      <c r="DG85" s="13"/>
      <c r="DH85" s="13"/>
      <c r="DI85" s="13"/>
      <c r="DJ85" s="13"/>
      <c r="DK85" s="13"/>
      <c r="DL85" s="13"/>
      <c r="DM85" s="13"/>
      <c r="DN85" s="13"/>
      <c r="DO85" s="13"/>
      <c r="DP85" s="13"/>
      <c r="DQ85" s="13"/>
      <c r="DR85" s="13"/>
      <c r="DS85" s="13"/>
      <c r="DT85" s="13"/>
      <c r="DU85" s="13"/>
      <c r="DV85" s="13"/>
      <c r="DW85" s="13"/>
    </row>
    <row r="86" spans="1:127">
      <c r="A86" s="13" t="str">
        <f>Schedule_Data!A87</f>
        <v>JD-207</v>
      </c>
      <c r="B86" s="13" t="str">
        <f>Schedule_Data!B87</f>
        <v>7.0</v>
      </c>
      <c r="C86" s="13" t="str">
        <f>Schedule_Data!C87</f>
        <v>JACKDOWN-4: TR7</v>
      </c>
      <c r="D86" s="42" t="str">
        <f>Schedule_Data!D87</f>
        <v>JACKDOWN</v>
      </c>
      <c r="E86" s="33">
        <f>Schedule_Data!F87</f>
        <v>46112</v>
      </c>
      <c r="F86" s="33">
        <f>Schedule_Data!G87</f>
        <v>46112</v>
      </c>
      <c r="G86" s="13">
        <f>Schedule_Data!H87</f>
        <v>0</v>
      </c>
      <c r="H86" s="13"/>
      <c r="I86" s="13"/>
      <c r="J86" s="13"/>
      <c r="K86" s="13"/>
      <c r="L86" s="13"/>
      <c r="M86" s="13"/>
      <c r="N86" s="13"/>
      <c r="O86" s="13"/>
      <c r="P86" s="13"/>
      <c r="Q86" s="13"/>
      <c r="R86" s="13"/>
      <c r="S86" s="13"/>
      <c r="T86" s="13"/>
      <c r="U86" s="13"/>
      <c r="V86" s="13"/>
      <c r="W86" s="13"/>
      <c r="X86" s="13"/>
      <c r="Y86" s="13"/>
      <c r="Z86" s="13"/>
      <c r="AA86" s="13"/>
      <c r="AB86" s="13"/>
      <c r="AC86" s="13"/>
      <c r="AD86" s="13"/>
      <c r="AE86" s="13"/>
      <c r="AF86" s="13"/>
      <c r="AG86" s="13"/>
      <c r="AH86" s="13"/>
      <c r="AI86" s="13"/>
      <c r="AJ86" s="13"/>
      <c r="AK86" s="13"/>
      <c r="AL86" s="13"/>
      <c r="AM86" s="13"/>
      <c r="AN86" s="13"/>
      <c r="AO86" s="13"/>
      <c r="AP86" s="13"/>
      <c r="AQ86" s="13"/>
      <c r="AR86" s="13"/>
      <c r="AS86" s="13"/>
      <c r="AT86" s="13"/>
      <c r="AU86" s="13"/>
      <c r="AV86" s="13"/>
      <c r="AW86" s="13"/>
      <c r="AX86" s="13"/>
      <c r="AY86" s="13"/>
      <c r="AZ86" s="13"/>
      <c r="BA86" s="13"/>
      <c r="BB86" s="13"/>
      <c r="BC86" s="13"/>
      <c r="BD86" s="13"/>
      <c r="BE86" s="13"/>
      <c r="BF86" s="13"/>
      <c r="BG86" s="13"/>
      <c r="BH86" s="13"/>
      <c r="BI86" s="13"/>
      <c r="BJ86" s="13"/>
      <c r="BK86" s="13"/>
      <c r="BL86" s="13"/>
      <c r="BM86" s="13"/>
      <c r="BN86" s="13"/>
      <c r="BO86" s="13"/>
      <c r="BP86" s="13"/>
      <c r="BQ86" s="13"/>
      <c r="BR86" s="13"/>
      <c r="BS86" s="13"/>
      <c r="BT86" s="13"/>
      <c r="BU86" s="13"/>
      <c r="BV86" s="13"/>
      <c r="BW86" s="13"/>
      <c r="BX86" s="13"/>
      <c r="BY86" s="13"/>
      <c r="BZ86" s="13"/>
      <c r="CA86" s="13"/>
      <c r="CB86" s="13"/>
      <c r="CC86" s="13"/>
      <c r="CD86" s="13"/>
      <c r="CE86" s="43" t="s">
        <v>270</v>
      </c>
      <c r="CF86" s="13"/>
      <c r="CG86" s="13"/>
      <c r="CH86" s="13"/>
      <c r="CI86" s="13"/>
      <c r="CJ86" s="13"/>
      <c r="CK86" s="13"/>
      <c r="CL86" s="13"/>
      <c r="CM86" s="13"/>
      <c r="CN86" s="13"/>
      <c r="CO86" s="13"/>
      <c r="CP86" s="13"/>
      <c r="CQ86" s="13"/>
      <c r="CR86" s="13"/>
      <c r="CS86" s="13"/>
      <c r="CT86" s="13"/>
      <c r="CU86" s="13"/>
      <c r="CV86" s="13"/>
      <c r="CW86" s="13"/>
      <c r="CX86" s="13"/>
      <c r="CY86" s="13"/>
      <c r="CZ86" s="13"/>
      <c r="DA86" s="13"/>
      <c r="DB86" s="13"/>
      <c r="DC86" s="13"/>
      <c r="DD86" s="13"/>
      <c r="DE86" s="13"/>
      <c r="DF86" s="13"/>
      <c r="DG86" s="13"/>
      <c r="DH86" s="13"/>
      <c r="DI86" s="13"/>
      <c r="DJ86" s="13"/>
      <c r="DK86" s="13"/>
      <c r="DL86" s="13"/>
      <c r="DM86" s="13"/>
      <c r="DN86" s="13"/>
      <c r="DO86" s="13"/>
      <c r="DP86" s="13"/>
      <c r="DQ86" s="13"/>
      <c r="DR86" s="13"/>
      <c r="DS86" s="13"/>
      <c r="DT86" s="13"/>
      <c r="DU86" s="13"/>
      <c r="DV86" s="13"/>
      <c r="DW86" s="13"/>
    </row>
    <row r="87" spans="1:127">
      <c r="A87" s="13" t="str">
        <f>Schedule_Data!A88</f>
        <v>RET-208</v>
      </c>
      <c r="B87" s="13" t="str">
        <f>Schedule_Data!B88</f>
        <v>7.0</v>
      </c>
      <c r="C87" s="13" t="str">
        <f>Schedule_Data!C88</f>
        <v>LCT Final return</v>
      </c>
      <c r="D87" s="25" t="str">
        <f>Schedule_Data!D88</f>
        <v>RETURN</v>
      </c>
      <c r="E87" s="33">
        <f>Schedule_Data!F88</f>
        <v>46113</v>
      </c>
      <c r="F87" s="33">
        <f>Schedule_Data!G88</f>
        <v>46113</v>
      </c>
      <c r="G87" s="13">
        <f>Schedule_Data!H88</f>
        <v>0</v>
      </c>
      <c r="H87" s="13"/>
      <c r="I87" s="13"/>
      <c r="J87" s="13"/>
      <c r="K87" s="13"/>
      <c r="L87" s="13"/>
      <c r="M87" s="13"/>
      <c r="N87" s="13"/>
      <c r="O87" s="13"/>
      <c r="P87" s="13"/>
      <c r="Q87" s="13"/>
      <c r="R87" s="13"/>
      <c r="S87" s="13"/>
      <c r="T87" s="13"/>
      <c r="U87" s="13"/>
      <c r="V87" s="13"/>
      <c r="W87" s="13"/>
      <c r="X87" s="13"/>
      <c r="Y87" s="13"/>
      <c r="Z87" s="13"/>
      <c r="AA87" s="13"/>
      <c r="AB87" s="13"/>
      <c r="AC87" s="13"/>
      <c r="AD87" s="13"/>
      <c r="AE87" s="13"/>
      <c r="AF87" s="13"/>
      <c r="AG87" s="13"/>
      <c r="AH87" s="13"/>
      <c r="AI87" s="13"/>
      <c r="AJ87" s="13"/>
      <c r="AK87" s="13"/>
      <c r="AL87" s="13"/>
      <c r="AM87" s="13"/>
      <c r="AN87" s="13"/>
      <c r="AO87" s="13"/>
      <c r="AP87" s="13"/>
      <c r="AQ87" s="13"/>
      <c r="AR87" s="13"/>
      <c r="AS87" s="13"/>
      <c r="AT87" s="13"/>
      <c r="AU87" s="13"/>
      <c r="AV87" s="13"/>
      <c r="AW87" s="13"/>
      <c r="AX87" s="13"/>
      <c r="AY87" s="13"/>
      <c r="AZ87" s="13"/>
      <c r="BA87" s="13"/>
      <c r="BB87" s="13"/>
      <c r="BC87" s="13"/>
      <c r="BD87" s="13"/>
      <c r="BE87" s="13"/>
      <c r="BF87" s="13"/>
      <c r="BG87" s="13"/>
      <c r="BH87" s="13"/>
      <c r="BI87" s="13"/>
      <c r="BJ87" s="13"/>
      <c r="BK87" s="13"/>
      <c r="BL87" s="13"/>
      <c r="BM87" s="13"/>
      <c r="BN87" s="13"/>
      <c r="BO87" s="13"/>
      <c r="BP87" s="13"/>
      <c r="BQ87" s="13"/>
      <c r="BR87" s="13"/>
      <c r="BS87" s="13"/>
      <c r="BT87" s="13"/>
      <c r="BU87" s="13"/>
      <c r="BV87" s="13"/>
      <c r="BW87" s="13"/>
      <c r="BX87" s="13"/>
      <c r="BY87" s="13"/>
      <c r="BZ87" s="13"/>
      <c r="CA87" s="13"/>
      <c r="CB87" s="13"/>
      <c r="CC87" s="13"/>
      <c r="CD87" s="13"/>
      <c r="CE87" s="13"/>
      <c r="CF87" s="40" t="s">
        <v>270</v>
      </c>
      <c r="CG87" s="13"/>
      <c r="CH87" s="13"/>
      <c r="CI87" s="13"/>
      <c r="CJ87" s="13"/>
      <c r="CK87" s="13"/>
      <c r="CL87" s="13"/>
      <c r="CM87" s="13"/>
      <c r="CN87" s="13"/>
      <c r="CO87" s="13"/>
      <c r="CP87" s="13"/>
      <c r="CQ87" s="13"/>
      <c r="CR87" s="13"/>
      <c r="CS87" s="13"/>
      <c r="CT87" s="13"/>
      <c r="CU87" s="13"/>
      <c r="CV87" s="13"/>
      <c r="CW87" s="13"/>
      <c r="CX87" s="13"/>
      <c r="CY87" s="13"/>
      <c r="CZ87" s="13"/>
      <c r="DA87" s="13"/>
      <c r="DB87" s="13"/>
      <c r="DC87" s="13"/>
      <c r="DD87" s="13"/>
      <c r="DE87" s="13"/>
      <c r="DF87" s="13"/>
      <c r="DG87" s="13"/>
      <c r="DH87" s="13"/>
      <c r="DI87" s="13"/>
      <c r="DJ87" s="13"/>
      <c r="DK87" s="13"/>
      <c r="DL87" s="13"/>
      <c r="DM87" s="13"/>
      <c r="DN87" s="13"/>
      <c r="DO87" s="13"/>
      <c r="DP87" s="13"/>
      <c r="DQ87" s="13"/>
      <c r="DR87" s="13"/>
      <c r="DS87" s="13"/>
      <c r="DT87" s="13"/>
      <c r="DU87" s="13"/>
      <c r="DV87" s="13"/>
      <c r="DW87" s="13"/>
    </row>
    <row r="88" spans="1:127">
      <c r="A88" s="13" t="str">
        <f>Schedule_Data!A89</f>
        <v>DEMOB-999</v>
      </c>
      <c r="B88" s="13" t="str">
        <f>Schedule_Data!B89</f>
        <v>9.0</v>
      </c>
      <c r="C88" s="13" t="str">
        <f>Schedule_Data!C89</f>
        <v>Demobilization &amp; closeout</v>
      </c>
      <c r="D88" s="14" t="str">
        <f>Schedule_Data!D89</f>
        <v>MOBILIZATION</v>
      </c>
      <c r="E88" s="33">
        <f>Schedule_Data!F89</f>
        <v>46114</v>
      </c>
      <c r="F88" s="33">
        <f>Schedule_Data!G89</f>
        <v>46114</v>
      </c>
      <c r="G88" s="13">
        <f>Schedule_Data!H89</f>
        <v>0</v>
      </c>
      <c r="H88" s="13"/>
      <c r="I88" s="13"/>
      <c r="J88" s="13"/>
      <c r="K88" s="13"/>
      <c r="L88" s="13"/>
      <c r="M88" s="13"/>
      <c r="N88" s="13"/>
      <c r="O88" s="13"/>
      <c r="P88" s="13"/>
      <c r="Q88" s="13"/>
      <c r="R88" s="13"/>
      <c r="S88" s="13"/>
      <c r="T88" s="13"/>
      <c r="U88" s="13"/>
      <c r="V88" s="13"/>
      <c r="W88" s="13"/>
      <c r="X88" s="13"/>
      <c r="Y88" s="13"/>
      <c r="Z88" s="13"/>
      <c r="AA88" s="13"/>
      <c r="AB88" s="13"/>
      <c r="AC88" s="13"/>
      <c r="AD88" s="13"/>
      <c r="AE88" s="13"/>
      <c r="AF88" s="13"/>
      <c r="AG88" s="13"/>
      <c r="AH88" s="13"/>
      <c r="AI88" s="13"/>
      <c r="AJ88" s="13"/>
      <c r="AK88" s="13"/>
      <c r="AL88" s="13"/>
      <c r="AM88" s="13"/>
      <c r="AN88" s="13"/>
      <c r="AO88" s="13"/>
      <c r="AP88" s="13"/>
      <c r="AQ88" s="13"/>
      <c r="AR88" s="13"/>
      <c r="AS88" s="13"/>
      <c r="AT88" s="13"/>
      <c r="AU88" s="13"/>
      <c r="AV88" s="13"/>
      <c r="AW88" s="13"/>
      <c r="AX88" s="13"/>
      <c r="AY88" s="13"/>
      <c r="AZ88" s="13"/>
      <c r="BA88" s="13"/>
      <c r="BB88" s="13"/>
      <c r="BC88" s="13"/>
      <c r="BD88" s="13"/>
      <c r="BE88" s="13"/>
      <c r="BF88" s="13"/>
      <c r="BG88" s="13"/>
      <c r="BH88" s="13"/>
      <c r="BI88" s="13"/>
      <c r="BJ88" s="13"/>
      <c r="BK88" s="13"/>
      <c r="BL88" s="13"/>
      <c r="BM88" s="13"/>
      <c r="BN88" s="13"/>
      <c r="BO88" s="13"/>
      <c r="BP88" s="13"/>
      <c r="BQ88" s="13"/>
      <c r="BR88" s="13"/>
      <c r="BS88" s="13"/>
      <c r="BT88" s="13"/>
      <c r="BU88" s="13"/>
      <c r="BV88" s="13"/>
      <c r="BW88" s="13"/>
      <c r="BX88" s="13"/>
      <c r="BY88" s="13"/>
      <c r="BZ88" s="13"/>
      <c r="CA88" s="13"/>
      <c r="CB88" s="13"/>
      <c r="CC88" s="13"/>
      <c r="CD88" s="13"/>
      <c r="CE88" s="13"/>
      <c r="CF88" s="13"/>
      <c r="CG88" s="14"/>
      <c r="CH88" s="13"/>
      <c r="CI88" s="13"/>
      <c r="CJ88" s="13"/>
      <c r="CK88" s="13"/>
      <c r="CL88" s="13"/>
      <c r="CM88" s="13"/>
      <c r="CN88" s="13"/>
      <c r="CO88" s="13"/>
      <c r="CP88" s="13"/>
      <c r="CQ88" s="13"/>
      <c r="CR88" s="13"/>
      <c r="CS88" s="13"/>
      <c r="CT88" s="13"/>
      <c r="CU88" s="13"/>
      <c r="CV88" s="13"/>
      <c r="CW88" s="13"/>
      <c r="CX88" s="13"/>
      <c r="CY88" s="13"/>
      <c r="CZ88" s="13"/>
      <c r="DA88" s="13"/>
      <c r="DB88" s="13"/>
      <c r="DC88" s="13"/>
      <c r="DD88" s="13"/>
      <c r="DE88" s="13"/>
      <c r="DF88" s="13"/>
      <c r="DG88" s="13"/>
      <c r="DH88" s="13"/>
      <c r="DI88" s="13"/>
      <c r="DJ88" s="13"/>
      <c r="DK88" s="13"/>
      <c r="DL88" s="13"/>
      <c r="DM88" s="13"/>
      <c r="DN88" s="13"/>
      <c r="DO88" s="13"/>
      <c r="DP88" s="13"/>
      <c r="DQ88" s="13"/>
      <c r="DR88" s="13"/>
      <c r="DS88" s="13"/>
      <c r="DT88" s="13"/>
      <c r="DU88" s="13"/>
      <c r="DV88" s="13"/>
      <c r="DW88" s="13"/>
    </row>
    <row r="89" spans="1:127">
      <c r="A89" s="13" t="str">
        <f>Schedule_Data!A90</f>
        <v>END-000</v>
      </c>
      <c r="B89" s="13" t="str">
        <f>Schedule_Data!B90</f>
        <v>9.0</v>
      </c>
      <c r="C89" s="13" t="str">
        <f>Schedule_Data!C90</f>
        <v>PROJECT END / Handover</v>
      </c>
      <c r="D89" s="34" t="str">
        <f>Schedule_Data!D90</f>
        <v>MILESTONE</v>
      </c>
      <c r="E89" s="33">
        <f>Schedule_Data!F90</f>
        <v>46115</v>
      </c>
      <c r="F89" s="33">
        <f>Schedule_Data!G90</f>
        <v>46115</v>
      </c>
      <c r="G89" s="13">
        <f>Schedule_Data!H90</f>
        <v>0</v>
      </c>
      <c r="H89" s="13"/>
      <c r="I89" s="13"/>
      <c r="J89" s="13"/>
      <c r="K89" s="13"/>
      <c r="L89" s="13"/>
      <c r="M89" s="13"/>
      <c r="N89" s="13"/>
      <c r="O89" s="13"/>
      <c r="P89" s="13"/>
      <c r="Q89" s="13"/>
      <c r="R89" s="13"/>
      <c r="S89" s="13"/>
      <c r="T89" s="13"/>
      <c r="U89" s="13"/>
      <c r="V89" s="13"/>
      <c r="W89" s="13"/>
      <c r="X89" s="13"/>
      <c r="Y89" s="13"/>
      <c r="Z89" s="13"/>
      <c r="AA89" s="13"/>
      <c r="AB89" s="13"/>
      <c r="AC89" s="13"/>
      <c r="AD89" s="13"/>
      <c r="AE89" s="13"/>
      <c r="AF89" s="13"/>
      <c r="AG89" s="13"/>
      <c r="AH89" s="13"/>
      <c r="AI89" s="13"/>
      <c r="AJ89" s="13"/>
      <c r="AK89" s="13"/>
      <c r="AL89" s="13"/>
      <c r="AM89" s="13"/>
      <c r="AN89" s="13"/>
      <c r="AO89" s="13"/>
      <c r="AP89" s="13"/>
      <c r="AQ89" s="13"/>
      <c r="AR89" s="13"/>
      <c r="AS89" s="13"/>
      <c r="AT89" s="13"/>
      <c r="AU89" s="13"/>
      <c r="AV89" s="13"/>
      <c r="AW89" s="13"/>
      <c r="AX89" s="13"/>
      <c r="AY89" s="13"/>
      <c r="AZ89" s="13"/>
      <c r="BA89" s="13"/>
      <c r="BB89" s="13"/>
      <c r="BC89" s="13"/>
      <c r="BD89" s="13"/>
      <c r="BE89" s="13"/>
      <c r="BF89" s="13"/>
      <c r="BG89" s="13"/>
      <c r="BH89" s="13"/>
      <c r="BI89" s="13"/>
      <c r="BJ89" s="13"/>
      <c r="BK89" s="13"/>
      <c r="BL89" s="13"/>
      <c r="BM89" s="13"/>
      <c r="BN89" s="13"/>
      <c r="BO89" s="13"/>
      <c r="BP89" s="13"/>
      <c r="BQ89" s="13"/>
      <c r="BR89" s="13"/>
      <c r="BS89" s="13"/>
      <c r="BT89" s="13"/>
      <c r="BU89" s="13"/>
      <c r="BV89" s="13"/>
      <c r="BW89" s="13"/>
      <c r="BX89" s="13"/>
      <c r="BY89" s="13"/>
      <c r="BZ89" s="13"/>
      <c r="CA89" s="13"/>
      <c r="CB89" s="13"/>
      <c r="CC89" s="13"/>
      <c r="CD89" s="13"/>
      <c r="CE89" s="13"/>
      <c r="CF89" s="13"/>
      <c r="CG89" s="13"/>
      <c r="CH89" s="35" t="s">
        <v>270</v>
      </c>
      <c r="CI89" s="13"/>
      <c r="CJ89" s="13"/>
      <c r="CK89" s="13"/>
      <c r="CL89" s="13"/>
      <c r="CM89" s="13"/>
      <c r="CN89" s="13"/>
      <c r="CO89" s="13"/>
      <c r="CP89" s="13"/>
      <c r="CQ89" s="13"/>
      <c r="CR89" s="13"/>
      <c r="CS89" s="13"/>
      <c r="CT89" s="13"/>
      <c r="CU89" s="13"/>
      <c r="CV89" s="13"/>
      <c r="CW89" s="13"/>
      <c r="CX89" s="13"/>
      <c r="CY89" s="13"/>
      <c r="CZ89" s="13"/>
      <c r="DA89" s="13"/>
      <c r="DB89" s="13"/>
      <c r="DC89" s="13"/>
      <c r="DD89" s="13"/>
      <c r="DE89" s="13"/>
      <c r="DF89" s="13"/>
      <c r="DG89" s="13"/>
      <c r="DH89" s="13"/>
      <c r="DI89" s="13"/>
      <c r="DJ89" s="13"/>
      <c r="DK89" s="13"/>
      <c r="DL89" s="13"/>
      <c r="DM89" s="13"/>
      <c r="DN89" s="13"/>
      <c r="DO89" s="13"/>
      <c r="DP89" s="13"/>
      <c r="DQ89" s="13"/>
      <c r="DR89" s="13"/>
      <c r="DS89" s="13"/>
      <c r="DT89" s="13"/>
      <c r="DU89" s="13"/>
      <c r="DV89" s="13"/>
      <c r="DW89" s="13"/>
    </row>
  </sheetData>
  <mergeCells count="3">
    <mergeCell ref="A1:DW1"/>
    <mergeCell ref="A3:G3"/>
    <mergeCell ref="A2:DW2"/>
  </mergeCells>
  <phoneticPr fontId="17" type="noConversion"/>
  <pageMargins left="0.75" right="0.75" top="1" bottom="1" header="0.5" footer="0.5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I70"/>
  <sheetViews>
    <sheetView workbookViewId="0">
      <pane ySplit="5" topLeftCell="A6" activePane="bottomLeft" state="frozen"/>
      <selection pane="bottomLeft"/>
    </sheetView>
  </sheetViews>
  <sheetFormatPr defaultRowHeight="16.899999999999999"/>
  <cols>
    <col min="1" max="1" width="10" customWidth="1"/>
    <col min="2" max="2" width="6" customWidth="1"/>
    <col min="3" max="3" width="38" customWidth="1"/>
    <col min="4" max="5" width="14" customWidth="1"/>
    <col min="6" max="7" width="12" customWidth="1"/>
    <col min="8" max="8" width="10" customWidth="1"/>
    <col min="9" max="9" width="40" customWidth="1"/>
  </cols>
  <sheetData>
    <row r="1" spans="1:9" ht="24.75">
      <c r="A1" s="57" t="s">
        <v>271</v>
      </c>
      <c r="B1" s="56"/>
      <c r="C1" s="56"/>
      <c r="D1" s="56"/>
      <c r="E1" s="56"/>
      <c r="F1" s="56"/>
      <c r="G1" s="56"/>
      <c r="H1" s="56"/>
      <c r="I1" s="56"/>
    </row>
    <row r="2" spans="1:9">
      <c r="A2" s="60" t="s">
        <v>272</v>
      </c>
      <c r="B2" s="56"/>
      <c r="C2" s="56"/>
      <c r="D2" s="56"/>
      <c r="E2" s="56"/>
      <c r="F2" s="56"/>
      <c r="G2" s="56"/>
      <c r="H2" s="56"/>
      <c r="I2" s="56"/>
    </row>
    <row r="3" spans="1:9">
      <c r="A3" s="59" t="s">
        <v>273</v>
      </c>
      <c r="B3" s="56"/>
      <c r="C3" s="56"/>
      <c r="D3" s="56"/>
      <c r="E3" s="56"/>
      <c r="F3" s="56"/>
      <c r="G3" s="56"/>
      <c r="H3" s="56"/>
      <c r="I3" s="56"/>
    </row>
    <row r="5" spans="1:9">
      <c r="A5" s="12" t="s">
        <v>42</v>
      </c>
      <c r="B5" s="12" t="s">
        <v>43</v>
      </c>
      <c r="C5" s="12" t="s">
        <v>44</v>
      </c>
      <c r="D5" s="12" t="s">
        <v>45</v>
      </c>
      <c r="E5" s="12" t="s">
        <v>46</v>
      </c>
      <c r="F5" s="12" t="s">
        <v>47</v>
      </c>
      <c r="G5" s="12" t="s">
        <v>48</v>
      </c>
      <c r="H5" s="12" t="s">
        <v>49</v>
      </c>
      <c r="I5" s="12" t="s">
        <v>50</v>
      </c>
    </row>
    <row r="6" spans="1:9">
      <c r="A6" s="13" t="s">
        <v>51</v>
      </c>
      <c r="B6" s="13" t="s">
        <v>52</v>
      </c>
      <c r="C6" s="13" t="s">
        <v>53</v>
      </c>
      <c r="D6" s="14" t="s">
        <v>54</v>
      </c>
      <c r="E6" s="13" t="s">
        <v>55</v>
      </c>
      <c r="F6" s="15">
        <f>PROJECT_START+0</f>
        <v>46037</v>
      </c>
      <c r="G6" s="15">
        <f t="shared" ref="G6:G37" si="0">F6+H6</f>
        <v>46038</v>
      </c>
      <c r="H6" s="13">
        <f>DUR_MOB</f>
        <v>1</v>
      </c>
      <c r="I6" s="13" t="s">
        <v>56</v>
      </c>
    </row>
    <row r="7" spans="1:9">
      <c r="A7" s="13" t="s">
        <v>57</v>
      </c>
      <c r="B7" s="13" t="s">
        <v>52</v>
      </c>
      <c r="C7" s="13" t="s">
        <v>58</v>
      </c>
      <c r="D7" s="16" t="s">
        <v>59</v>
      </c>
      <c r="E7" s="13" t="s">
        <v>60</v>
      </c>
      <c r="F7" s="15">
        <f>PROJECT_START+1</f>
        <v>46038</v>
      </c>
      <c r="G7" s="15">
        <f t="shared" si="0"/>
        <v>46041</v>
      </c>
      <c r="H7" s="13">
        <v>3</v>
      </c>
      <c r="I7" s="13" t="s">
        <v>61</v>
      </c>
    </row>
    <row r="8" spans="1:9">
      <c r="A8" s="17" t="s">
        <v>62</v>
      </c>
      <c r="B8" s="17" t="s">
        <v>63</v>
      </c>
      <c r="C8" s="17" t="s">
        <v>274</v>
      </c>
      <c r="D8" s="18" t="s">
        <v>65</v>
      </c>
      <c r="E8" s="17" t="s">
        <v>66</v>
      </c>
      <c r="F8" s="19">
        <f>PROJECT_START+4</f>
        <v>46041</v>
      </c>
      <c r="G8" s="19">
        <f t="shared" si="0"/>
        <v>46041</v>
      </c>
      <c r="H8" s="17">
        <v>0</v>
      </c>
      <c r="I8" s="17" t="s">
        <v>275</v>
      </c>
    </row>
    <row r="9" spans="1:9">
      <c r="A9" s="13" t="s">
        <v>276</v>
      </c>
      <c r="B9" s="13" t="s">
        <v>63</v>
      </c>
      <c r="C9" s="13" t="s">
        <v>277</v>
      </c>
      <c r="D9" s="20" t="s">
        <v>70</v>
      </c>
      <c r="E9" s="13" t="s">
        <v>55</v>
      </c>
      <c r="F9" s="15">
        <f>PROJECT_START+4</f>
        <v>46041</v>
      </c>
      <c r="G9" s="15">
        <f t="shared" si="0"/>
        <v>46041.5</v>
      </c>
      <c r="H9" s="13">
        <f>DUR_LO</f>
        <v>0.5</v>
      </c>
      <c r="I9" s="13" t="s">
        <v>278</v>
      </c>
    </row>
    <row r="10" spans="1:9">
      <c r="A10" s="13" t="s">
        <v>279</v>
      </c>
      <c r="B10" s="13" t="s">
        <v>63</v>
      </c>
      <c r="C10" s="13" t="s">
        <v>280</v>
      </c>
      <c r="D10" s="21" t="s">
        <v>74</v>
      </c>
      <c r="E10" s="13" t="s">
        <v>281</v>
      </c>
      <c r="F10" s="15">
        <f>PROJECT_START+5</f>
        <v>46042</v>
      </c>
      <c r="G10" s="15">
        <f t="shared" si="0"/>
        <v>46042</v>
      </c>
      <c r="H10" s="13">
        <f>DUR_BUF</f>
        <v>0</v>
      </c>
      <c r="I10" s="13" t="s">
        <v>282</v>
      </c>
    </row>
    <row r="11" spans="1:9">
      <c r="A11" s="13" t="s">
        <v>283</v>
      </c>
      <c r="B11" s="13" t="s">
        <v>63</v>
      </c>
      <c r="C11" s="13" t="s">
        <v>284</v>
      </c>
      <c r="D11" s="23" t="s">
        <v>83</v>
      </c>
      <c r="E11" s="13" t="s">
        <v>285</v>
      </c>
      <c r="F11" s="15">
        <f>PROJECT_START+6</f>
        <v>46043</v>
      </c>
      <c r="G11" s="15">
        <f t="shared" si="0"/>
        <v>46043</v>
      </c>
      <c r="H11" s="13">
        <f>DUR_SAIL</f>
        <v>0</v>
      </c>
      <c r="I11" s="13" t="s">
        <v>286</v>
      </c>
    </row>
    <row r="12" spans="1:9">
      <c r="A12" s="13" t="s">
        <v>287</v>
      </c>
      <c r="B12" s="13" t="s">
        <v>63</v>
      </c>
      <c r="C12" s="13" t="s">
        <v>288</v>
      </c>
      <c r="D12" s="24" t="s">
        <v>88</v>
      </c>
      <c r="E12" s="13" t="s">
        <v>55</v>
      </c>
      <c r="F12" s="15">
        <f>PROJECT_START+7</f>
        <v>46044</v>
      </c>
      <c r="G12" s="15">
        <f t="shared" si="0"/>
        <v>46044</v>
      </c>
      <c r="H12" s="13">
        <f>DUR_UL</f>
        <v>0</v>
      </c>
      <c r="I12" s="13" t="s">
        <v>289</v>
      </c>
    </row>
    <row r="13" spans="1:9">
      <c r="A13" s="13" t="s">
        <v>290</v>
      </c>
      <c r="B13" s="13" t="s">
        <v>63</v>
      </c>
      <c r="C13" s="13" t="s">
        <v>291</v>
      </c>
      <c r="D13" s="26" t="s">
        <v>118</v>
      </c>
      <c r="E13" s="13" t="s">
        <v>55</v>
      </c>
      <c r="F13" s="15">
        <f>PROJECT_START+8</f>
        <v>46045</v>
      </c>
      <c r="G13" s="15">
        <f t="shared" si="0"/>
        <v>46045</v>
      </c>
      <c r="H13" s="13">
        <f>DUR_TURN</f>
        <v>0</v>
      </c>
      <c r="I13" s="13" t="s">
        <v>292</v>
      </c>
    </row>
    <row r="14" spans="1:9">
      <c r="A14" s="27" t="s">
        <v>293</v>
      </c>
      <c r="B14" s="27" t="s">
        <v>63</v>
      </c>
      <c r="C14" s="27" t="s">
        <v>294</v>
      </c>
      <c r="D14" s="28" t="s">
        <v>137</v>
      </c>
      <c r="E14" s="27" t="s">
        <v>55</v>
      </c>
      <c r="F14" s="29">
        <f>PROJECT_START+11</f>
        <v>46048</v>
      </c>
      <c r="G14" s="29">
        <f t="shared" si="0"/>
        <v>46048</v>
      </c>
      <c r="H14" s="27">
        <f>DUR_JD</f>
        <v>0</v>
      </c>
      <c r="I14" s="27" t="s">
        <v>295</v>
      </c>
    </row>
    <row r="15" spans="1:9">
      <c r="A15" s="13" t="s">
        <v>296</v>
      </c>
      <c r="B15" s="13" t="s">
        <v>63</v>
      </c>
      <c r="C15" s="13" t="s">
        <v>297</v>
      </c>
      <c r="D15" s="25" t="s">
        <v>97</v>
      </c>
      <c r="E15" s="13" t="s">
        <v>285</v>
      </c>
      <c r="F15" s="15">
        <f>PROJECT_START+12</f>
        <v>46049</v>
      </c>
      <c r="G15" s="15">
        <f t="shared" si="0"/>
        <v>46049</v>
      </c>
      <c r="H15" s="13">
        <f>DUR_RET</f>
        <v>0</v>
      </c>
      <c r="I15" s="13" t="s">
        <v>298</v>
      </c>
    </row>
    <row r="16" spans="1:9">
      <c r="A16" s="13" t="s">
        <v>299</v>
      </c>
      <c r="B16" s="13" t="s">
        <v>63</v>
      </c>
      <c r="C16" s="13" t="s">
        <v>300</v>
      </c>
      <c r="D16" s="22" t="s">
        <v>78</v>
      </c>
      <c r="E16" s="13" t="s">
        <v>301</v>
      </c>
      <c r="F16" s="15">
        <f>PROJECT_START+13</f>
        <v>46050</v>
      </c>
      <c r="G16" s="15">
        <f t="shared" si="0"/>
        <v>46050</v>
      </c>
      <c r="H16" s="13">
        <f>DUR_BUF</f>
        <v>0</v>
      </c>
      <c r="I16" s="13" t="s">
        <v>302</v>
      </c>
    </row>
    <row r="17" spans="1:9">
      <c r="A17" s="17" t="s">
        <v>103</v>
      </c>
      <c r="B17" s="17" t="s">
        <v>104</v>
      </c>
      <c r="C17" s="17" t="s">
        <v>303</v>
      </c>
      <c r="D17" s="18" t="s">
        <v>65</v>
      </c>
      <c r="E17" s="17" t="s">
        <v>66</v>
      </c>
      <c r="F17" s="19">
        <f>PROJECT_START+14</f>
        <v>46051</v>
      </c>
      <c r="G17" s="19">
        <f t="shared" si="0"/>
        <v>46051</v>
      </c>
      <c r="H17" s="17">
        <v>0</v>
      </c>
      <c r="I17" s="17" t="s">
        <v>275</v>
      </c>
    </row>
    <row r="18" spans="1:9">
      <c r="A18" s="13" t="s">
        <v>304</v>
      </c>
      <c r="B18" s="13" t="s">
        <v>104</v>
      </c>
      <c r="C18" s="13" t="s">
        <v>107</v>
      </c>
      <c r="D18" s="20" t="s">
        <v>70</v>
      </c>
      <c r="E18" s="13" t="s">
        <v>55</v>
      </c>
      <c r="F18" s="15">
        <f>PROJECT_START+14</f>
        <v>46051</v>
      </c>
      <c r="G18" s="15">
        <f t="shared" si="0"/>
        <v>46051</v>
      </c>
      <c r="H18" s="13">
        <f>DUR_LO</f>
        <v>0</v>
      </c>
      <c r="I18" s="13" t="s">
        <v>305</v>
      </c>
    </row>
    <row r="19" spans="1:9">
      <c r="A19" s="13" t="s">
        <v>306</v>
      </c>
      <c r="B19" s="13" t="s">
        <v>104</v>
      </c>
      <c r="C19" s="13" t="s">
        <v>307</v>
      </c>
      <c r="D19" s="21" t="s">
        <v>74</v>
      </c>
      <c r="E19" s="13" t="s">
        <v>281</v>
      </c>
      <c r="F19" s="15">
        <f>PROJECT_START+15</f>
        <v>46052</v>
      </c>
      <c r="G19" s="15">
        <f t="shared" si="0"/>
        <v>46052</v>
      </c>
      <c r="H19" s="13">
        <f>DUR_BUF</f>
        <v>0</v>
      </c>
      <c r="I19" s="13" t="s">
        <v>282</v>
      </c>
    </row>
    <row r="20" spans="1:9">
      <c r="A20" s="13" t="s">
        <v>308</v>
      </c>
      <c r="B20" s="13" t="s">
        <v>104</v>
      </c>
      <c r="C20" s="13" t="s">
        <v>284</v>
      </c>
      <c r="D20" s="23" t="s">
        <v>83</v>
      </c>
      <c r="E20" s="13" t="s">
        <v>285</v>
      </c>
      <c r="F20" s="15">
        <f>PROJECT_START+16</f>
        <v>46053</v>
      </c>
      <c r="G20" s="15">
        <f t="shared" si="0"/>
        <v>46053</v>
      </c>
      <c r="H20" s="13">
        <f>DUR_SAIL</f>
        <v>0</v>
      </c>
      <c r="I20" s="13" t="s">
        <v>286</v>
      </c>
    </row>
    <row r="21" spans="1:9">
      <c r="A21" s="13" t="s">
        <v>309</v>
      </c>
      <c r="B21" s="13" t="s">
        <v>104</v>
      </c>
      <c r="C21" s="13" t="s">
        <v>310</v>
      </c>
      <c r="D21" s="24" t="s">
        <v>88</v>
      </c>
      <c r="E21" s="13" t="s">
        <v>55</v>
      </c>
      <c r="F21" s="15">
        <f>PROJECT_START+17</f>
        <v>46054</v>
      </c>
      <c r="G21" s="15">
        <f t="shared" si="0"/>
        <v>46054</v>
      </c>
      <c r="H21" s="13">
        <f>DUR_UL</f>
        <v>0</v>
      </c>
      <c r="I21" s="13" t="s">
        <v>289</v>
      </c>
    </row>
    <row r="22" spans="1:9">
      <c r="A22" s="13" t="s">
        <v>311</v>
      </c>
      <c r="B22" s="13" t="s">
        <v>104</v>
      </c>
      <c r="C22" s="13" t="s">
        <v>312</v>
      </c>
      <c r="D22" s="26" t="s">
        <v>118</v>
      </c>
      <c r="E22" s="13" t="s">
        <v>55</v>
      </c>
      <c r="F22" s="15">
        <f>PROJECT_START+18</f>
        <v>46055</v>
      </c>
      <c r="G22" s="15">
        <f t="shared" si="0"/>
        <v>46055</v>
      </c>
      <c r="H22" s="13">
        <f>DUR_TURN</f>
        <v>0</v>
      </c>
      <c r="I22" s="13" t="s">
        <v>292</v>
      </c>
    </row>
    <row r="23" spans="1:9">
      <c r="A23" s="27" t="s">
        <v>313</v>
      </c>
      <c r="B23" s="27" t="s">
        <v>104</v>
      </c>
      <c r="C23" s="27" t="s">
        <v>314</v>
      </c>
      <c r="D23" s="28" t="s">
        <v>137</v>
      </c>
      <c r="E23" s="27" t="s">
        <v>55</v>
      </c>
      <c r="F23" s="29">
        <f>PROJECT_START+21</f>
        <v>46058</v>
      </c>
      <c r="G23" s="29">
        <f t="shared" si="0"/>
        <v>46058</v>
      </c>
      <c r="H23" s="27">
        <f>DUR_JD</f>
        <v>0</v>
      </c>
      <c r="I23" s="27" t="s">
        <v>295</v>
      </c>
    </row>
    <row r="24" spans="1:9">
      <c r="A24" s="13" t="s">
        <v>315</v>
      </c>
      <c r="B24" s="13" t="s">
        <v>104</v>
      </c>
      <c r="C24" s="13" t="s">
        <v>297</v>
      </c>
      <c r="D24" s="25" t="s">
        <v>97</v>
      </c>
      <c r="E24" s="13" t="s">
        <v>285</v>
      </c>
      <c r="F24" s="15">
        <f>PROJECT_START+22</f>
        <v>46059</v>
      </c>
      <c r="G24" s="15">
        <f t="shared" si="0"/>
        <v>46059</v>
      </c>
      <c r="H24" s="13">
        <f>DUR_RET</f>
        <v>0</v>
      </c>
      <c r="I24" s="13" t="s">
        <v>298</v>
      </c>
    </row>
    <row r="25" spans="1:9">
      <c r="A25" s="13" t="s">
        <v>316</v>
      </c>
      <c r="B25" s="13" t="s">
        <v>104</v>
      </c>
      <c r="C25" s="13" t="s">
        <v>300</v>
      </c>
      <c r="D25" s="22" t="s">
        <v>78</v>
      </c>
      <c r="E25" s="13" t="s">
        <v>301</v>
      </c>
      <c r="F25" s="15">
        <f>PROJECT_START+23</f>
        <v>46060</v>
      </c>
      <c r="G25" s="15">
        <f t="shared" si="0"/>
        <v>46060</v>
      </c>
      <c r="H25" s="13">
        <f>DUR_BUF</f>
        <v>0</v>
      </c>
      <c r="I25" s="13" t="s">
        <v>302</v>
      </c>
    </row>
    <row r="26" spans="1:9">
      <c r="A26" s="17" t="s">
        <v>145</v>
      </c>
      <c r="B26" s="17" t="s">
        <v>146</v>
      </c>
      <c r="C26" s="17" t="s">
        <v>147</v>
      </c>
      <c r="D26" s="18" t="s">
        <v>65</v>
      </c>
      <c r="E26" s="17" t="s">
        <v>66</v>
      </c>
      <c r="F26" s="19">
        <f>PROJECT_START+31</f>
        <v>46068</v>
      </c>
      <c r="G26" s="19">
        <f t="shared" si="0"/>
        <v>46068</v>
      </c>
      <c r="H26" s="17">
        <v>0</v>
      </c>
      <c r="I26" s="17" t="s">
        <v>275</v>
      </c>
    </row>
    <row r="27" spans="1:9">
      <c r="A27" s="13" t="s">
        <v>317</v>
      </c>
      <c r="B27" s="13" t="s">
        <v>146</v>
      </c>
      <c r="C27" s="13" t="s">
        <v>318</v>
      </c>
      <c r="D27" s="20" t="s">
        <v>70</v>
      </c>
      <c r="E27" s="13" t="s">
        <v>55</v>
      </c>
      <c r="F27" s="15">
        <f>PROJECT_START+31</f>
        <v>46068</v>
      </c>
      <c r="G27" s="15">
        <f t="shared" si="0"/>
        <v>46068</v>
      </c>
      <c r="H27" s="13">
        <f>DUR_LO</f>
        <v>0</v>
      </c>
      <c r="I27" s="13" t="s">
        <v>319</v>
      </c>
    </row>
    <row r="28" spans="1:9">
      <c r="A28" s="13" t="s">
        <v>320</v>
      </c>
      <c r="B28" s="13" t="s">
        <v>146</v>
      </c>
      <c r="C28" s="13" t="s">
        <v>321</v>
      </c>
      <c r="D28" s="21" t="s">
        <v>74</v>
      </c>
      <c r="E28" s="13" t="s">
        <v>281</v>
      </c>
      <c r="F28" s="15">
        <f>PROJECT_START+32</f>
        <v>46069</v>
      </c>
      <c r="G28" s="15">
        <f t="shared" si="0"/>
        <v>46069</v>
      </c>
      <c r="H28" s="13">
        <f>DUR_BUF</f>
        <v>0</v>
      </c>
      <c r="I28" s="13" t="s">
        <v>282</v>
      </c>
    </row>
    <row r="29" spans="1:9">
      <c r="A29" s="13" t="s">
        <v>322</v>
      </c>
      <c r="B29" s="13" t="s">
        <v>146</v>
      </c>
      <c r="C29" s="13" t="s">
        <v>284</v>
      </c>
      <c r="D29" s="23" t="s">
        <v>83</v>
      </c>
      <c r="E29" s="13" t="s">
        <v>285</v>
      </c>
      <c r="F29" s="15">
        <f>PROJECT_START+33</f>
        <v>46070</v>
      </c>
      <c r="G29" s="15">
        <f t="shared" si="0"/>
        <v>46070</v>
      </c>
      <c r="H29" s="13">
        <f>DUR_SAIL</f>
        <v>0</v>
      </c>
      <c r="I29" s="13" t="s">
        <v>286</v>
      </c>
    </row>
    <row r="30" spans="1:9">
      <c r="A30" s="13" t="s">
        <v>323</v>
      </c>
      <c r="B30" s="13" t="s">
        <v>146</v>
      </c>
      <c r="C30" s="13" t="s">
        <v>324</v>
      </c>
      <c r="D30" s="24" t="s">
        <v>88</v>
      </c>
      <c r="E30" s="13" t="s">
        <v>55</v>
      </c>
      <c r="F30" s="15">
        <f>PROJECT_START+34</f>
        <v>46071</v>
      </c>
      <c r="G30" s="15">
        <f t="shared" si="0"/>
        <v>46071</v>
      </c>
      <c r="H30" s="13">
        <f>DUR_UL</f>
        <v>0</v>
      </c>
      <c r="I30" s="13" t="s">
        <v>289</v>
      </c>
    </row>
    <row r="31" spans="1:9">
      <c r="A31" s="13" t="s">
        <v>325</v>
      </c>
      <c r="B31" s="13" t="s">
        <v>146</v>
      </c>
      <c r="C31" s="13" t="s">
        <v>326</v>
      </c>
      <c r="D31" s="26" t="s">
        <v>118</v>
      </c>
      <c r="E31" s="13" t="s">
        <v>55</v>
      </c>
      <c r="F31" s="15">
        <f>PROJECT_START+35</f>
        <v>46072</v>
      </c>
      <c r="G31" s="15">
        <f t="shared" si="0"/>
        <v>46072</v>
      </c>
      <c r="H31" s="13">
        <f>DUR_TURN</f>
        <v>0</v>
      </c>
      <c r="I31" s="13" t="s">
        <v>292</v>
      </c>
    </row>
    <row r="32" spans="1:9">
      <c r="A32" s="27" t="s">
        <v>327</v>
      </c>
      <c r="B32" s="27" t="s">
        <v>146</v>
      </c>
      <c r="C32" s="27" t="s">
        <v>328</v>
      </c>
      <c r="D32" s="28" t="s">
        <v>137</v>
      </c>
      <c r="E32" s="27" t="s">
        <v>55</v>
      </c>
      <c r="F32" s="29">
        <f>PROJECT_START+38</f>
        <v>46075</v>
      </c>
      <c r="G32" s="29">
        <f t="shared" si="0"/>
        <v>46075</v>
      </c>
      <c r="H32" s="27">
        <f>DUR_JD</f>
        <v>0</v>
      </c>
      <c r="I32" s="27" t="s">
        <v>295</v>
      </c>
    </row>
    <row r="33" spans="1:9">
      <c r="A33" s="13" t="s">
        <v>329</v>
      </c>
      <c r="B33" s="13" t="s">
        <v>146</v>
      </c>
      <c r="C33" s="13" t="s">
        <v>297</v>
      </c>
      <c r="D33" s="25" t="s">
        <v>97</v>
      </c>
      <c r="E33" s="13" t="s">
        <v>285</v>
      </c>
      <c r="F33" s="15">
        <f>PROJECT_START+39</f>
        <v>46076</v>
      </c>
      <c r="G33" s="15">
        <f t="shared" si="0"/>
        <v>46076</v>
      </c>
      <c r="H33" s="13">
        <f>DUR_RET</f>
        <v>0</v>
      </c>
      <c r="I33" s="13" t="s">
        <v>298</v>
      </c>
    </row>
    <row r="34" spans="1:9">
      <c r="A34" s="13" t="s">
        <v>330</v>
      </c>
      <c r="B34" s="13" t="s">
        <v>146</v>
      </c>
      <c r="C34" s="13" t="s">
        <v>300</v>
      </c>
      <c r="D34" s="22" t="s">
        <v>78</v>
      </c>
      <c r="E34" s="13" t="s">
        <v>301</v>
      </c>
      <c r="F34" s="15">
        <f>PROJECT_START+40</f>
        <v>46077</v>
      </c>
      <c r="G34" s="15">
        <f t="shared" si="0"/>
        <v>46077</v>
      </c>
      <c r="H34" s="13">
        <f>DUR_BUF</f>
        <v>0</v>
      </c>
      <c r="I34" s="13" t="s">
        <v>302</v>
      </c>
    </row>
    <row r="35" spans="1:9">
      <c r="A35" s="17" t="s">
        <v>161</v>
      </c>
      <c r="B35" s="17" t="s">
        <v>162</v>
      </c>
      <c r="C35" s="17" t="s">
        <v>331</v>
      </c>
      <c r="D35" s="18" t="s">
        <v>65</v>
      </c>
      <c r="E35" s="17" t="s">
        <v>66</v>
      </c>
      <c r="F35" s="19">
        <f>PROJECT_START+41</f>
        <v>46078</v>
      </c>
      <c r="G35" s="19">
        <f t="shared" si="0"/>
        <v>46078</v>
      </c>
      <c r="H35" s="17">
        <v>0</v>
      </c>
      <c r="I35" s="17" t="s">
        <v>275</v>
      </c>
    </row>
    <row r="36" spans="1:9">
      <c r="A36" s="13" t="s">
        <v>332</v>
      </c>
      <c r="B36" s="13" t="s">
        <v>162</v>
      </c>
      <c r="C36" s="13" t="s">
        <v>333</v>
      </c>
      <c r="D36" s="20" t="s">
        <v>70</v>
      </c>
      <c r="E36" s="13" t="s">
        <v>55</v>
      </c>
      <c r="F36" s="15">
        <f>PROJECT_START+41</f>
        <v>46078</v>
      </c>
      <c r="G36" s="15">
        <f t="shared" si="0"/>
        <v>46078</v>
      </c>
      <c r="H36" s="13">
        <f>DUR_LO</f>
        <v>0</v>
      </c>
      <c r="I36" s="13" t="s">
        <v>334</v>
      </c>
    </row>
    <row r="37" spans="1:9">
      <c r="A37" s="13" t="s">
        <v>335</v>
      </c>
      <c r="B37" s="13" t="s">
        <v>162</v>
      </c>
      <c r="C37" s="13" t="s">
        <v>336</v>
      </c>
      <c r="D37" s="21" t="s">
        <v>74</v>
      </c>
      <c r="E37" s="13" t="s">
        <v>281</v>
      </c>
      <c r="F37" s="15">
        <f>PROJECT_START+42</f>
        <v>46079</v>
      </c>
      <c r="G37" s="15">
        <f t="shared" si="0"/>
        <v>46079</v>
      </c>
      <c r="H37" s="13">
        <f>DUR_BUF</f>
        <v>0</v>
      </c>
      <c r="I37" s="13" t="s">
        <v>282</v>
      </c>
    </row>
    <row r="38" spans="1:9">
      <c r="A38" s="13" t="s">
        <v>337</v>
      </c>
      <c r="B38" s="13" t="s">
        <v>162</v>
      </c>
      <c r="C38" s="13" t="s">
        <v>284</v>
      </c>
      <c r="D38" s="23" t="s">
        <v>83</v>
      </c>
      <c r="E38" s="13" t="s">
        <v>285</v>
      </c>
      <c r="F38" s="15">
        <f>PROJECT_START+43</f>
        <v>46080</v>
      </c>
      <c r="G38" s="15">
        <f t="shared" ref="G38:G69" si="1">F38+H38</f>
        <v>46080</v>
      </c>
      <c r="H38" s="13">
        <f>DUR_SAIL</f>
        <v>0</v>
      </c>
      <c r="I38" s="13" t="s">
        <v>286</v>
      </c>
    </row>
    <row r="39" spans="1:9">
      <c r="A39" s="13" t="s">
        <v>338</v>
      </c>
      <c r="B39" s="13" t="s">
        <v>162</v>
      </c>
      <c r="C39" s="13" t="s">
        <v>339</v>
      </c>
      <c r="D39" s="24" t="s">
        <v>88</v>
      </c>
      <c r="E39" s="13" t="s">
        <v>55</v>
      </c>
      <c r="F39" s="15">
        <f>PROJECT_START+44</f>
        <v>46081</v>
      </c>
      <c r="G39" s="15">
        <f t="shared" si="1"/>
        <v>46081</v>
      </c>
      <c r="H39" s="13">
        <f>DUR_UL</f>
        <v>0</v>
      </c>
      <c r="I39" s="13" t="s">
        <v>289</v>
      </c>
    </row>
    <row r="40" spans="1:9">
      <c r="A40" s="13" t="s">
        <v>340</v>
      </c>
      <c r="B40" s="13" t="s">
        <v>162</v>
      </c>
      <c r="C40" s="13" t="s">
        <v>341</v>
      </c>
      <c r="D40" s="26" t="s">
        <v>118</v>
      </c>
      <c r="E40" s="13" t="s">
        <v>55</v>
      </c>
      <c r="F40" s="15">
        <f>PROJECT_START+45</f>
        <v>46082</v>
      </c>
      <c r="G40" s="15">
        <f t="shared" si="1"/>
        <v>46082</v>
      </c>
      <c r="H40" s="13">
        <f>DUR_TURN</f>
        <v>0</v>
      </c>
      <c r="I40" s="13" t="s">
        <v>292</v>
      </c>
    </row>
    <row r="41" spans="1:9">
      <c r="A41" s="27" t="s">
        <v>342</v>
      </c>
      <c r="B41" s="27" t="s">
        <v>162</v>
      </c>
      <c r="C41" s="27" t="s">
        <v>343</v>
      </c>
      <c r="D41" s="28" t="s">
        <v>137</v>
      </c>
      <c r="E41" s="27" t="s">
        <v>55</v>
      </c>
      <c r="F41" s="29">
        <f>PROJECT_START+48</f>
        <v>46085</v>
      </c>
      <c r="G41" s="29">
        <f t="shared" si="1"/>
        <v>46085</v>
      </c>
      <c r="H41" s="27">
        <f>DUR_JD</f>
        <v>0</v>
      </c>
      <c r="I41" s="27" t="s">
        <v>295</v>
      </c>
    </row>
    <row r="42" spans="1:9">
      <c r="A42" s="13" t="s">
        <v>344</v>
      </c>
      <c r="B42" s="13" t="s">
        <v>162</v>
      </c>
      <c r="C42" s="13" t="s">
        <v>297</v>
      </c>
      <c r="D42" s="25" t="s">
        <v>97</v>
      </c>
      <c r="E42" s="13" t="s">
        <v>285</v>
      </c>
      <c r="F42" s="15">
        <f>PROJECT_START+49</f>
        <v>46086</v>
      </c>
      <c r="G42" s="15">
        <f t="shared" si="1"/>
        <v>46086</v>
      </c>
      <c r="H42" s="13">
        <f>DUR_RET</f>
        <v>0</v>
      </c>
      <c r="I42" s="13" t="s">
        <v>298</v>
      </c>
    </row>
    <row r="43" spans="1:9">
      <c r="A43" s="13" t="s">
        <v>345</v>
      </c>
      <c r="B43" s="13" t="s">
        <v>162</v>
      </c>
      <c r="C43" s="13" t="s">
        <v>300</v>
      </c>
      <c r="D43" s="22" t="s">
        <v>78</v>
      </c>
      <c r="E43" s="13" t="s">
        <v>301</v>
      </c>
      <c r="F43" s="15">
        <f>PROJECT_START+50</f>
        <v>46087</v>
      </c>
      <c r="G43" s="15">
        <f t="shared" si="1"/>
        <v>46087</v>
      </c>
      <c r="H43" s="13">
        <f>DUR_BUF</f>
        <v>0</v>
      </c>
      <c r="I43" s="13" t="s">
        <v>302</v>
      </c>
    </row>
    <row r="44" spans="1:9">
      <c r="A44" s="17" t="s">
        <v>193</v>
      </c>
      <c r="B44" s="17" t="s">
        <v>194</v>
      </c>
      <c r="C44" s="17" t="s">
        <v>195</v>
      </c>
      <c r="D44" s="18" t="s">
        <v>65</v>
      </c>
      <c r="E44" s="17" t="s">
        <v>66</v>
      </c>
      <c r="F44" s="19">
        <f>PROJECT_START+51</f>
        <v>46088</v>
      </c>
      <c r="G44" s="19">
        <f t="shared" si="1"/>
        <v>46088</v>
      </c>
      <c r="H44" s="17">
        <v>0</v>
      </c>
      <c r="I44" s="17" t="s">
        <v>275</v>
      </c>
    </row>
    <row r="45" spans="1:9">
      <c r="A45" s="13" t="s">
        <v>346</v>
      </c>
      <c r="B45" s="13" t="s">
        <v>194</v>
      </c>
      <c r="C45" s="13" t="s">
        <v>347</v>
      </c>
      <c r="D45" s="20" t="s">
        <v>70</v>
      </c>
      <c r="E45" s="13" t="s">
        <v>55</v>
      </c>
      <c r="F45" s="15">
        <f>PROJECT_START+51</f>
        <v>46088</v>
      </c>
      <c r="G45" s="15">
        <f t="shared" si="1"/>
        <v>46088</v>
      </c>
      <c r="H45" s="13">
        <f>DUR_LO</f>
        <v>0</v>
      </c>
      <c r="I45" s="13" t="s">
        <v>348</v>
      </c>
    </row>
    <row r="46" spans="1:9">
      <c r="A46" s="13" t="s">
        <v>349</v>
      </c>
      <c r="B46" s="13" t="s">
        <v>194</v>
      </c>
      <c r="C46" s="13" t="s">
        <v>350</v>
      </c>
      <c r="D46" s="21" t="s">
        <v>74</v>
      </c>
      <c r="E46" s="13" t="s">
        <v>281</v>
      </c>
      <c r="F46" s="15">
        <f>PROJECT_START+52</f>
        <v>46089</v>
      </c>
      <c r="G46" s="15">
        <f t="shared" si="1"/>
        <v>46089</v>
      </c>
      <c r="H46" s="13">
        <f>DUR_BUF</f>
        <v>0</v>
      </c>
      <c r="I46" s="13" t="s">
        <v>282</v>
      </c>
    </row>
    <row r="47" spans="1:9">
      <c r="A47" s="13" t="s">
        <v>351</v>
      </c>
      <c r="B47" s="13" t="s">
        <v>194</v>
      </c>
      <c r="C47" s="13" t="s">
        <v>284</v>
      </c>
      <c r="D47" s="23" t="s">
        <v>83</v>
      </c>
      <c r="E47" s="13" t="s">
        <v>285</v>
      </c>
      <c r="F47" s="15">
        <f>PROJECT_START+53</f>
        <v>46090</v>
      </c>
      <c r="G47" s="15">
        <f t="shared" si="1"/>
        <v>46090</v>
      </c>
      <c r="H47" s="13">
        <f>DUR_SAIL</f>
        <v>0</v>
      </c>
      <c r="I47" s="13" t="s">
        <v>286</v>
      </c>
    </row>
    <row r="48" spans="1:9">
      <c r="A48" s="13" t="s">
        <v>352</v>
      </c>
      <c r="B48" s="13" t="s">
        <v>194</v>
      </c>
      <c r="C48" s="13" t="s">
        <v>353</v>
      </c>
      <c r="D48" s="24" t="s">
        <v>88</v>
      </c>
      <c r="E48" s="13" t="s">
        <v>55</v>
      </c>
      <c r="F48" s="15">
        <f>PROJECT_START+54</f>
        <v>46091</v>
      </c>
      <c r="G48" s="15">
        <f t="shared" si="1"/>
        <v>46091</v>
      </c>
      <c r="H48" s="13">
        <f>DUR_UL</f>
        <v>0</v>
      </c>
      <c r="I48" s="13" t="s">
        <v>289</v>
      </c>
    </row>
    <row r="49" spans="1:9">
      <c r="A49" s="13" t="s">
        <v>354</v>
      </c>
      <c r="B49" s="13" t="s">
        <v>194</v>
      </c>
      <c r="C49" s="13" t="s">
        <v>355</v>
      </c>
      <c r="D49" s="26" t="s">
        <v>118</v>
      </c>
      <c r="E49" s="13" t="s">
        <v>55</v>
      </c>
      <c r="F49" s="15">
        <f>PROJECT_START+55</f>
        <v>46092</v>
      </c>
      <c r="G49" s="15">
        <f t="shared" si="1"/>
        <v>46092</v>
      </c>
      <c r="H49" s="13">
        <f>DUR_TURN</f>
        <v>0</v>
      </c>
      <c r="I49" s="13" t="s">
        <v>292</v>
      </c>
    </row>
    <row r="50" spans="1:9">
      <c r="A50" s="27" t="s">
        <v>356</v>
      </c>
      <c r="B50" s="27" t="s">
        <v>194</v>
      </c>
      <c r="C50" s="27" t="s">
        <v>357</v>
      </c>
      <c r="D50" s="28" t="s">
        <v>137</v>
      </c>
      <c r="E50" s="27" t="s">
        <v>55</v>
      </c>
      <c r="F50" s="29">
        <f>PROJECT_START+58</f>
        <v>46095</v>
      </c>
      <c r="G50" s="29">
        <f t="shared" si="1"/>
        <v>46095</v>
      </c>
      <c r="H50" s="27">
        <f>DUR_JD</f>
        <v>0</v>
      </c>
      <c r="I50" s="27" t="s">
        <v>295</v>
      </c>
    </row>
    <row r="51" spans="1:9">
      <c r="A51" s="13" t="s">
        <v>358</v>
      </c>
      <c r="B51" s="13" t="s">
        <v>194</v>
      </c>
      <c r="C51" s="13" t="s">
        <v>297</v>
      </c>
      <c r="D51" s="25" t="s">
        <v>97</v>
      </c>
      <c r="E51" s="13" t="s">
        <v>285</v>
      </c>
      <c r="F51" s="15">
        <f>PROJECT_START+59</f>
        <v>46096</v>
      </c>
      <c r="G51" s="15">
        <f t="shared" si="1"/>
        <v>46096</v>
      </c>
      <c r="H51" s="13">
        <f>DUR_RET</f>
        <v>0</v>
      </c>
      <c r="I51" s="13" t="s">
        <v>298</v>
      </c>
    </row>
    <row r="52" spans="1:9">
      <c r="A52" s="13" t="s">
        <v>359</v>
      </c>
      <c r="B52" s="13" t="s">
        <v>194</v>
      </c>
      <c r="C52" s="13" t="s">
        <v>300</v>
      </c>
      <c r="D52" s="22" t="s">
        <v>78</v>
      </c>
      <c r="E52" s="13" t="s">
        <v>301</v>
      </c>
      <c r="F52" s="15">
        <f>PROJECT_START+60</f>
        <v>46097</v>
      </c>
      <c r="G52" s="15">
        <f t="shared" si="1"/>
        <v>46097</v>
      </c>
      <c r="H52" s="13">
        <f>DUR_BUF</f>
        <v>0</v>
      </c>
      <c r="I52" s="13" t="s">
        <v>302</v>
      </c>
    </row>
    <row r="53" spans="1:9">
      <c r="A53" s="17" t="s">
        <v>209</v>
      </c>
      <c r="B53" s="17" t="s">
        <v>210</v>
      </c>
      <c r="C53" s="17" t="s">
        <v>360</v>
      </c>
      <c r="D53" s="18" t="s">
        <v>65</v>
      </c>
      <c r="E53" s="17" t="s">
        <v>66</v>
      </c>
      <c r="F53" s="19">
        <f>PROJECT_START+61</f>
        <v>46098</v>
      </c>
      <c r="G53" s="19">
        <f t="shared" si="1"/>
        <v>46098</v>
      </c>
      <c r="H53" s="17">
        <v>0</v>
      </c>
      <c r="I53" s="17" t="s">
        <v>275</v>
      </c>
    </row>
    <row r="54" spans="1:9">
      <c r="A54" s="13" t="s">
        <v>361</v>
      </c>
      <c r="B54" s="13" t="s">
        <v>210</v>
      </c>
      <c r="C54" s="13" t="s">
        <v>362</v>
      </c>
      <c r="D54" s="20" t="s">
        <v>70</v>
      </c>
      <c r="E54" s="13" t="s">
        <v>55</v>
      </c>
      <c r="F54" s="15">
        <f>PROJECT_START+61</f>
        <v>46098</v>
      </c>
      <c r="G54" s="15">
        <f t="shared" si="1"/>
        <v>46098</v>
      </c>
      <c r="H54" s="13">
        <f>DUR_LO</f>
        <v>0</v>
      </c>
      <c r="I54" s="13" t="s">
        <v>348</v>
      </c>
    </row>
    <row r="55" spans="1:9">
      <c r="A55" s="13" t="s">
        <v>363</v>
      </c>
      <c r="B55" s="13" t="s">
        <v>210</v>
      </c>
      <c r="C55" s="13" t="s">
        <v>364</v>
      </c>
      <c r="D55" s="21" t="s">
        <v>74</v>
      </c>
      <c r="E55" s="13" t="s">
        <v>281</v>
      </c>
      <c r="F55" s="15">
        <f>PROJECT_START+62</f>
        <v>46099</v>
      </c>
      <c r="G55" s="15">
        <f t="shared" si="1"/>
        <v>46099</v>
      </c>
      <c r="H55" s="13">
        <f>DUR_BUF</f>
        <v>0</v>
      </c>
      <c r="I55" s="13" t="s">
        <v>282</v>
      </c>
    </row>
    <row r="56" spans="1:9">
      <c r="A56" s="13" t="s">
        <v>365</v>
      </c>
      <c r="B56" s="13" t="s">
        <v>210</v>
      </c>
      <c r="C56" s="13" t="s">
        <v>284</v>
      </c>
      <c r="D56" s="23" t="s">
        <v>83</v>
      </c>
      <c r="E56" s="13" t="s">
        <v>285</v>
      </c>
      <c r="F56" s="15">
        <f>PROJECT_START+63</f>
        <v>46100</v>
      </c>
      <c r="G56" s="15">
        <f t="shared" si="1"/>
        <v>46100</v>
      </c>
      <c r="H56" s="13">
        <f>DUR_SAIL</f>
        <v>0</v>
      </c>
      <c r="I56" s="13" t="s">
        <v>286</v>
      </c>
    </row>
    <row r="57" spans="1:9">
      <c r="A57" s="13" t="s">
        <v>366</v>
      </c>
      <c r="B57" s="13" t="s">
        <v>210</v>
      </c>
      <c r="C57" s="13" t="s">
        <v>367</v>
      </c>
      <c r="D57" s="24" t="s">
        <v>88</v>
      </c>
      <c r="E57" s="13" t="s">
        <v>55</v>
      </c>
      <c r="F57" s="15">
        <f>PROJECT_START+64</f>
        <v>46101</v>
      </c>
      <c r="G57" s="15">
        <f t="shared" si="1"/>
        <v>46101</v>
      </c>
      <c r="H57" s="13">
        <f>DUR_UL</f>
        <v>0</v>
      </c>
      <c r="I57" s="13" t="s">
        <v>289</v>
      </c>
    </row>
    <row r="58" spans="1:9">
      <c r="A58" s="13" t="s">
        <v>368</v>
      </c>
      <c r="B58" s="13" t="s">
        <v>210</v>
      </c>
      <c r="C58" s="13" t="s">
        <v>369</v>
      </c>
      <c r="D58" s="26" t="s">
        <v>118</v>
      </c>
      <c r="E58" s="13" t="s">
        <v>55</v>
      </c>
      <c r="F58" s="15">
        <f>PROJECT_START+65</f>
        <v>46102</v>
      </c>
      <c r="G58" s="15">
        <f t="shared" si="1"/>
        <v>46102</v>
      </c>
      <c r="H58" s="13">
        <f>DUR_TURN</f>
        <v>0</v>
      </c>
      <c r="I58" s="13" t="s">
        <v>292</v>
      </c>
    </row>
    <row r="59" spans="1:9">
      <c r="A59" s="27" t="s">
        <v>370</v>
      </c>
      <c r="B59" s="27" t="s">
        <v>210</v>
      </c>
      <c r="C59" s="27" t="s">
        <v>371</v>
      </c>
      <c r="D59" s="28" t="s">
        <v>137</v>
      </c>
      <c r="E59" s="27" t="s">
        <v>55</v>
      </c>
      <c r="F59" s="29">
        <f>PROJECT_START+68</f>
        <v>46105</v>
      </c>
      <c r="G59" s="29">
        <f t="shared" si="1"/>
        <v>46105</v>
      </c>
      <c r="H59" s="27">
        <f>DUR_JD</f>
        <v>0</v>
      </c>
      <c r="I59" s="27" t="s">
        <v>295</v>
      </c>
    </row>
    <row r="60" spans="1:9">
      <c r="A60" s="13" t="s">
        <v>372</v>
      </c>
      <c r="B60" s="13" t="s">
        <v>210</v>
      </c>
      <c r="C60" s="13" t="s">
        <v>297</v>
      </c>
      <c r="D60" s="25" t="s">
        <v>97</v>
      </c>
      <c r="E60" s="13" t="s">
        <v>285</v>
      </c>
      <c r="F60" s="15">
        <f>PROJECT_START+69</f>
        <v>46106</v>
      </c>
      <c r="G60" s="15">
        <f t="shared" si="1"/>
        <v>46106</v>
      </c>
      <c r="H60" s="13">
        <f>DUR_RET</f>
        <v>0</v>
      </c>
      <c r="I60" s="13" t="s">
        <v>298</v>
      </c>
    </row>
    <row r="61" spans="1:9">
      <c r="A61" s="13" t="s">
        <v>373</v>
      </c>
      <c r="B61" s="13" t="s">
        <v>210</v>
      </c>
      <c r="C61" s="13" t="s">
        <v>300</v>
      </c>
      <c r="D61" s="22" t="s">
        <v>78</v>
      </c>
      <c r="E61" s="13" t="s">
        <v>301</v>
      </c>
      <c r="F61" s="15">
        <f>PROJECT_START+70</f>
        <v>46107</v>
      </c>
      <c r="G61" s="15">
        <f t="shared" si="1"/>
        <v>46107</v>
      </c>
      <c r="H61" s="13">
        <f>DUR_BUF</f>
        <v>0</v>
      </c>
      <c r="I61" s="13" t="s">
        <v>302</v>
      </c>
    </row>
    <row r="62" spans="1:9">
      <c r="A62" s="17" t="s">
        <v>238</v>
      </c>
      <c r="B62" s="17" t="s">
        <v>239</v>
      </c>
      <c r="C62" s="17" t="s">
        <v>374</v>
      </c>
      <c r="D62" s="18" t="s">
        <v>65</v>
      </c>
      <c r="E62" s="17" t="s">
        <v>66</v>
      </c>
      <c r="F62" s="19">
        <f>PROJECT_START+71</f>
        <v>46108</v>
      </c>
      <c r="G62" s="19">
        <f t="shared" si="1"/>
        <v>46108</v>
      </c>
      <c r="H62" s="17">
        <v>0</v>
      </c>
      <c r="I62" s="17" t="s">
        <v>275</v>
      </c>
    </row>
    <row r="63" spans="1:9">
      <c r="A63" s="13" t="s">
        <v>375</v>
      </c>
      <c r="B63" s="13" t="s">
        <v>239</v>
      </c>
      <c r="C63" s="13" t="s">
        <v>376</v>
      </c>
      <c r="D63" s="20" t="s">
        <v>70</v>
      </c>
      <c r="E63" s="13" t="s">
        <v>55</v>
      </c>
      <c r="F63" s="15">
        <f>PROJECT_START+71</f>
        <v>46108</v>
      </c>
      <c r="G63" s="15">
        <f t="shared" si="1"/>
        <v>46108</v>
      </c>
      <c r="H63" s="13">
        <f>DUR_LO</f>
        <v>0</v>
      </c>
      <c r="I63" s="13" t="s">
        <v>348</v>
      </c>
    </row>
    <row r="64" spans="1:9">
      <c r="A64" s="13" t="s">
        <v>377</v>
      </c>
      <c r="B64" s="13" t="s">
        <v>239</v>
      </c>
      <c r="C64" s="13" t="s">
        <v>378</v>
      </c>
      <c r="D64" s="21" t="s">
        <v>74</v>
      </c>
      <c r="E64" s="13" t="s">
        <v>281</v>
      </c>
      <c r="F64" s="15">
        <f>PROJECT_START+72</f>
        <v>46109</v>
      </c>
      <c r="G64" s="15">
        <f t="shared" si="1"/>
        <v>46109</v>
      </c>
      <c r="H64" s="13">
        <f>DUR_BUF</f>
        <v>0</v>
      </c>
      <c r="I64" s="13" t="s">
        <v>282</v>
      </c>
    </row>
    <row r="65" spans="1:9">
      <c r="A65" s="13" t="s">
        <v>379</v>
      </c>
      <c r="B65" s="13" t="s">
        <v>239</v>
      </c>
      <c r="C65" s="13" t="s">
        <v>284</v>
      </c>
      <c r="D65" s="23" t="s">
        <v>83</v>
      </c>
      <c r="E65" s="13" t="s">
        <v>285</v>
      </c>
      <c r="F65" s="15">
        <f>PROJECT_START+73</f>
        <v>46110</v>
      </c>
      <c r="G65" s="15">
        <f t="shared" si="1"/>
        <v>46110</v>
      </c>
      <c r="H65" s="13">
        <f>DUR_SAIL</f>
        <v>0</v>
      </c>
      <c r="I65" s="13" t="s">
        <v>286</v>
      </c>
    </row>
    <row r="66" spans="1:9">
      <c r="A66" s="13" t="s">
        <v>380</v>
      </c>
      <c r="B66" s="13" t="s">
        <v>239</v>
      </c>
      <c r="C66" s="13" t="s">
        <v>381</v>
      </c>
      <c r="D66" s="24" t="s">
        <v>88</v>
      </c>
      <c r="E66" s="13" t="s">
        <v>55</v>
      </c>
      <c r="F66" s="15">
        <f>PROJECT_START+74</f>
        <v>46111</v>
      </c>
      <c r="G66" s="15">
        <f t="shared" si="1"/>
        <v>46111</v>
      </c>
      <c r="H66" s="13">
        <f>DUR_UL</f>
        <v>0</v>
      </c>
      <c r="I66" s="13" t="s">
        <v>289</v>
      </c>
    </row>
    <row r="67" spans="1:9">
      <c r="A67" s="13" t="s">
        <v>382</v>
      </c>
      <c r="B67" s="13" t="s">
        <v>239</v>
      </c>
      <c r="C67" s="13" t="s">
        <v>383</v>
      </c>
      <c r="D67" s="26" t="s">
        <v>118</v>
      </c>
      <c r="E67" s="13" t="s">
        <v>55</v>
      </c>
      <c r="F67" s="15">
        <f>PROJECT_START+75</f>
        <v>46112</v>
      </c>
      <c r="G67" s="15">
        <f t="shared" si="1"/>
        <v>46112</v>
      </c>
      <c r="H67" s="13">
        <f>DUR_TURN</f>
        <v>0</v>
      </c>
      <c r="I67" s="13" t="s">
        <v>292</v>
      </c>
    </row>
    <row r="68" spans="1:9">
      <c r="A68" s="27" t="s">
        <v>384</v>
      </c>
      <c r="B68" s="27" t="s">
        <v>239</v>
      </c>
      <c r="C68" s="27" t="s">
        <v>385</v>
      </c>
      <c r="D68" s="28" t="s">
        <v>137</v>
      </c>
      <c r="E68" s="27" t="s">
        <v>55</v>
      </c>
      <c r="F68" s="29">
        <f>PROJECT_START+78</f>
        <v>46115</v>
      </c>
      <c r="G68" s="29">
        <f t="shared" si="1"/>
        <v>46115</v>
      </c>
      <c r="H68" s="27">
        <f>DUR_JD</f>
        <v>0</v>
      </c>
      <c r="I68" s="27" t="s">
        <v>295</v>
      </c>
    </row>
    <row r="69" spans="1:9">
      <c r="A69" s="13" t="s">
        <v>386</v>
      </c>
      <c r="B69" s="13" t="s">
        <v>239</v>
      </c>
      <c r="C69" s="13" t="s">
        <v>297</v>
      </c>
      <c r="D69" s="25" t="s">
        <v>97</v>
      </c>
      <c r="E69" s="13" t="s">
        <v>285</v>
      </c>
      <c r="F69" s="15">
        <f>PROJECT_START+79</f>
        <v>46116</v>
      </c>
      <c r="G69" s="15">
        <f t="shared" si="1"/>
        <v>46116</v>
      </c>
      <c r="H69" s="13">
        <f>DUR_RET</f>
        <v>0</v>
      </c>
      <c r="I69" s="13" t="s">
        <v>298</v>
      </c>
    </row>
    <row r="70" spans="1:9">
      <c r="A70" s="13" t="s">
        <v>387</v>
      </c>
      <c r="B70" s="13" t="s">
        <v>239</v>
      </c>
      <c r="C70" s="13" t="s">
        <v>300</v>
      </c>
      <c r="D70" s="22" t="s">
        <v>78</v>
      </c>
      <c r="E70" s="13" t="s">
        <v>301</v>
      </c>
      <c r="F70" s="15">
        <f>PROJECT_START+80</f>
        <v>46117</v>
      </c>
      <c r="G70" s="15">
        <f t="shared" ref="G70:G101" si="2">F70+H70</f>
        <v>46117</v>
      </c>
      <c r="H70" s="13">
        <f>DUR_BUF</f>
        <v>0</v>
      </c>
      <c r="I70" s="13" t="s">
        <v>302</v>
      </c>
    </row>
  </sheetData>
  <mergeCells count="3">
    <mergeCell ref="A1:I1"/>
    <mergeCell ref="A3:I3"/>
    <mergeCell ref="A2:I2"/>
  </mergeCells>
  <phoneticPr fontId="17" type="noConversion"/>
  <pageMargins left="0.75" right="0.75" top="1" bottom="1" header="0.5" footer="0.5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DW69"/>
  <sheetViews>
    <sheetView workbookViewId="0">
      <pane xSplit="7" ySplit="4" topLeftCell="H5" activePane="bottomRight" state="frozen"/>
      <selection pane="topRight"/>
      <selection pane="bottomLeft"/>
      <selection pane="bottomRight"/>
    </sheetView>
  </sheetViews>
  <sheetFormatPr defaultRowHeight="16.899999999999999"/>
  <cols>
    <col min="1" max="1" width="10" customWidth="1"/>
    <col min="2" max="2" width="5" customWidth="1"/>
    <col min="3" max="3" width="28" customWidth="1"/>
    <col min="4" max="4" width="12" customWidth="1"/>
    <col min="5" max="6" width="7" customWidth="1"/>
    <col min="7" max="7" width="4" customWidth="1"/>
    <col min="8" max="127" width="2.5" customWidth="1"/>
  </cols>
  <sheetData>
    <row r="1" spans="1:127" ht="20.65">
      <c r="A1" s="63" t="s">
        <v>388</v>
      </c>
      <c r="B1" s="56"/>
      <c r="C1" s="56"/>
      <c r="D1" s="56"/>
      <c r="E1" s="56"/>
      <c r="F1" s="56"/>
      <c r="G1" s="56"/>
      <c r="H1" s="56"/>
      <c r="I1" s="56"/>
      <c r="J1" s="56"/>
      <c r="K1" s="56"/>
      <c r="L1" s="56"/>
      <c r="M1" s="56"/>
      <c r="N1" s="56"/>
      <c r="O1" s="56"/>
      <c r="P1" s="56"/>
      <c r="Q1" s="56"/>
      <c r="R1" s="56"/>
      <c r="S1" s="56"/>
      <c r="T1" s="56"/>
      <c r="U1" s="56"/>
      <c r="V1" s="56"/>
      <c r="W1" s="56"/>
      <c r="X1" s="56"/>
      <c r="Y1" s="56"/>
      <c r="Z1" s="56"/>
      <c r="AA1" s="56"/>
      <c r="AB1" s="56"/>
      <c r="AC1" s="56"/>
      <c r="AD1" s="56"/>
      <c r="AE1" s="56"/>
      <c r="AF1" s="56"/>
      <c r="AG1" s="56"/>
      <c r="AH1" s="56"/>
      <c r="AI1" s="56"/>
      <c r="AJ1" s="56"/>
      <c r="AK1" s="56"/>
      <c r="AL1" s="56"/>
      <c r="AM1" s="56"/>
      <c r="AN1" s="56"/>
      <c r="AO1" s="56"/>
      <c r="AP1" s="56"/>
      <c r="AQ1" s="56"/>
      <c r="AR1" s="56"/>
      <c r="AS1" s="56"/>
      <c r="AT1" s="56"/>
      <c r="AU1" s="56"/>
      <c r="AV1" s="56"/>
      <c r="AW1" s="56"/>
      <c r="AX1" s="56"/>
      <c r="AY1" s="56"/>
      <c r="AZ1" s="56"/>
      <c r="BA1" s="56"/>
      <c r="BB1" s="56"/>
      <c r="BC1" s="56"/>
      <c r="BD1" s="56"/>
      <c r="BE1" s="56"/>
      <c r="BF1" s="56"/>
      <c r="BG1" s="56"/>
      <c r="BH1" s="56"/>
      <c r="BI1" s="56"/>
      <c r="BJ1" s="56"/>
      <c r="BK1" s="56"/>
      <c r="BL1" s="56"/>
      <c r="BM1" s="56"/>
      <c r="BN1" s="56"/>
      <c r="BO1" s="56"/>
      <c r="BP1" s="56"/>
      <c r="BQ1" s="56"/>
      <c r="BR1" s="56"/>
      <c r="BS1" s="56"/>
      <c r="BT1" s="56"/>
      <c r="BU1" s="56"/>
      <c r="BV1" s="56"/>
      <c r="BW1" s="56"/>
      <c r="BX1" s="56"/>
      <c r="BY1" s="56"/>
      <c r="BZ1" s="56"/>
      <c r="CA1" s="56"/>
      <c r="CB1" s="56"/>
      <c r="CC1" s="56"/>
      <c r="CD1" s="56"/>
      <c r="CE1" s="56"/>
      <c r="CF1" s="56"/>
      <c r="CG1" s="56"/>
      <c r="CH1" s="56"/>
      <c r="CI1" s="56"/>
      <c r="CJ1" s="56"/>
      <c r="CK1" s="56"/>
      <c r="CL1" s="56"/>
      <c r="CM1" s="56"/>
      <c r="CN1" s="56"/>
      <c r="CO1" s="56"/>
      <c r="CP1" s="56"/>
      <c r="CQ1" s="56"/>
      <c r="CR1" s="56"/>
      <c r="CS1" s="56"/>
      <c r="CT1" s="56"/>
      <c r="CU1" s="56"/>
      <c r="CV1" s="56"/>
      <c r="CW1" s="56"/>
      <c r="CX1" s="56"/>
      <c r="CY1" s="56"/>
      <c r="CZ1" s="56"/>
      <c r="DA1" s="56"/>
      <c r="DB1" s="56"/>
      <c r="DC1" s="56"/>
      <c r="DD1" s="56"/>
      <c r="DE1" s="56"/>
      <c r="DF1" s="56"/>
      <c r="DG1" s="56"/>
      <c r="DH1" s="56"/>
      <c r="DI1" s="56"/>
      <c r="DJ1" s="56"/>
      <c r="DK1" s="56"/>
      <c r="DL1" s="56"/>
      <c r="DM1" s="56"/>
      <c r="DN1" s="56"/>
      <c r="DO1" s="56"/>
      <c r="DP1" s="56"/>
      <c r="DQ1" s="56"/>
      <c r="DR1" s="56"/>
      <c r="DS1" s="56"/>
      <c r="DT1" s="56"/>
      <c r="DU1" s="56"/>
      <c r="DV1" s="56"/>
      <c r="DW1" s="56"/>
    </row>
    <row r="2" spans="1:127">
      <c r="A2" s="59" t="s">
        <v>389</v>
      </c>
      <c r="B2" s="56"/>
      <c r="C2" s="56"/>
      <c r="D2" s="56"/>
      <c r="E2" s="56"/>
      <c r="F2" s="56"/>
      <c r="G2" s="56"/>
      <c r="H2" s="56"/>
      <c r="I2" s="56"/>
      <c r="J2" s="56"/>
      <c r="K2" s="56"/>
      <c r="L2" s="56"/>
      <c r="M2" s="56"/>
      <c r="N2" s="56"/>
      <c r="O2" s="56"/>
      <c r="P2" s="56"/>
      <c r="Q2" s="56"/>
      <c r="R2" s="56"/>
      <c r="S2" s="56"/>
      <c r="T2" s="56"/>
      <c r="U2" s="56"/>
      <c r="V2" s="56"/>
      <c r="W2" s="56"/>
      <c r="X2" s="56"/>
      <c r="Y2" s="56"/>
      <c r="Z2" s="56"/>
      <c r="AA2" s="56"/>
      <c r="AB2" s="56"/>
      <c r="AC2" s="56"/>
      <c r="AD2" s="56"/>
      <c r="AE2" s="56"/>
      <c r="AF2" s="56"/>
      <c r="AG2" s="56"/>
      <c r="AH2" s="56"/>
      <c r="AI2" s="56"/>
      <c r="AJ2" s="56"/>
      <c r="AK2" s="56"/>
      <c r="AL2" s="56"/>
      <c r="AM2" s="56"/>
      <c r="AN2" s="56"/>
      <c r="AO2" s="56"/>
      <c r="AP2" s="56"/>
      <c r="AQ2" s="56"/>
      <c r="AR2" s="56"/>
      <c r="AS2" s="56"/>
      <c r="AT2" s="56"/>
      <c r="AU2" s="56"/>
      <c r="AV2" s="56"/>
      <c r="AW2" s="56"/>
      <c r="AX2" s="56"/>
      <c r="AY2" s="56"/>
      <c r="AZ2" s="56"/>
      <c r="BA2" s="56"/>
      <c r="BB2" s="56"/>
      <c r="BC2" s="56"/>
      <c r="BD2" s="56"/>
      <c r="BE2" s="56"/>
      <c r="BF2" s="56"/>
      <c r="BG2" s="56"/>
      <c r="BH2" s="56"/>
      <c r="BI2" s="56"/>
      <c r="BJ2" s="56"/>
      <c r="BK2" s="56"/>
      <c r="BL2" s="56"/>
      <c r="BM2" s="56"/>
      <c r="BN2" s="56"/>
      <c r="BO2" s="56"/>
      <c r="BP2" s="56"/>
      <c r="BQ2" s="56"/>
      <c r="BR2" s="56"/>
      <c r="BS2" s="56"/>
      <c r="BT2" s="56"/>
      <c r="BU2" s="56"/>
      <c r="BV2" s="56"/>
      <c r="BW2" s="56"/>
      <c r="BX2" s="56"/>
      <c r="BY2" s="56"/>
      <c r="BZ2" s="56"/>
      <c r="CA2" s="56"/>
      <c r="CB2" s="56"/>
      <c r="CC2" s="56"/>
      <c r="CD2" s="56"/>
      <c r="CE2" s="56"/>
      <c r="CF2" s="56"/>
      <c r="CG2" s="56"/>
      <c r="CH2" s="56"/>
      <c r="CI2" s="56"/>
      <c r="CJ2" s="56"/>
      <c r="CK2" s="56"/>
      <c r="CL2" s="56"/>
      <c r="CM2" s="56"/>
      <c r="CN2" s="56"/>
      <c r="CO2" s="56"/>
      <c r="CP2" s="56"/>
      <c r="CQ2" s="56"/>
      <c r="CR2" s="56"/>
      <c r="CS2" s="56"/>
      <c r="CT2" s="56"/>
      <c r="CU2" s="56"/>
      <c r="CV2" s="56"/>
      <c r="CW2" s="56"/>
      <c r="CX2" s="56"/>
      <c r="CY2" s="56"/>
      <c r="CZ2" s="56"/>
      <c r="DA2" s="56"/>
      <c r="DB2" s="56"/>
      <c r="DC2" s="56"/>
      <c r="DD2" s="56"/>
      <c r="DE2" s="56"/>
      <c r="DF2" s="56"/>
      <c r="DG2" s="56"/>
      <c r="DH2" s="56"/>
      <c r="DI2" s="56"/>
      <c r="DJ2" s="56"/>
      <c r="DK2" s="56"/>
      <c r="DL2" s="56"/>
      <c r="DM2" s="56"/>
      <c r="DN2" s="56"/>
      <c r="DO2" s="56"/>
      <c r="DP2" s="56"/>
      <c r="DQ2" s="56"/>
      <c r="DR2" s="56"/>
      <c r="DS2" s="56"/>
      <c r="DT2" s="56"/>
      <c r="DU2" s="56"/>
      <c r="DV2" s="56"/>
      <c r="DW2" s="56"/>
    </row>
    <row r="3" spans="1:127">
      <c r="A3" s="62" t="s">
        <v>268</v>
      </c>
      <c r="B3" s="56"/>
      <c r="C3" s="56"/>
      <c r="D3" s="56"/>
      <c r="E3" s="56"/>
      <c r="F3" s="56"/>
      <c r="G3" s="56"/>
    </row>
    <row r="4" spans="1:127">
      <c r="A4" s="30" t="s">
        <v>42</v>
      </c>
      <c r="B4" s="30" t="s">
        <v>43</v>
      </c>
      <c r="C4" s="30" t="s">
        <v>44</v>
      </c>
      <c r="D4" s="30" t="s">
        <v>45</v>
      </c>
      <c r="E4" s="30" t="s">
        <v>47</v>
      </c>
      <c r="F4" s="30" t="s">
        <v>48</v>
      </c>
      <c r="G4" s="30" t="s">
        <v>269</v>
      </c>
      <c r="H4" s="31">
        <f>PROJECT_START+0</f>
        <v>46037</v>
      </c>
      <c r="I4" s="31">
        <f>PROJECT_START+1</f>
        <v>46038</v>
      </c>
      <c r="J4" s="31">
        <f>PROJECT_START+2</f>
        <v>46039</v>
      </c>
      <c r="K4" s="31">
        <f>PROJECT_START+3</f>
        <v>46040</v>
      </c>
      <c r="L4" s="31">
        <f>PROJECT_START+4</f>
        <v>46041</v>
      </c>
      <c r="M4" s="31">
        <f>PROJECT_START+5</f>
        <v>46042</v>
      </c>
      <c r="N4" s="31">
        <f>PROJECT_START+6</f>
        <v>46043</v>
      </c>
      <c r="O4" s="31">
        <f>PROJECT_START+7</f>
        <v>46044</v>
      </c>
      <c r="P4" s="31">
        <f>PROJECT_START+8</f>
        <v>46045</v>
      </c>
      <c r="Q4" s="31">
        <f>PROJECT_START+9</f>
        <v>46046</v>
      </c>
      <c r="R4" s="31">
        <f>PROJECT_START+10</f>
        <v>46047</v>
      </c>
      <c r="S4" s="31">
        <f>PROJECT_START+11</f>
        <v>46048</v>
      </c>
      <c r="T4" s="31">
        <f>PROJECT_START+12</f>
        <v>46049</v>
      </c>
      <c r="U4" s="31">
        <f>PROJECT_START+13</f>
        <v>46050</v>
      </c>
      <c r="V4" s="31">
        <f>PROJECT_START+14</f>
        <v>46051</v>
      </c>
      <c r="W4" s="31">
        <f>PROJECT_START+15</f>
        <v>46052</v>
      </c>
      <c r="X4" s="31">
        <f>PROJECT_START+16</f>
        <v>46053</v>
      </c>
      <c r="Y4" s="31">
        <f>PROJECT_START+17</f>
        <v>46054</v>
      </c>
      <c r="Z4" s="31">
        <f>PROJECT_START+18</f>
        <v>46055</v>
      </c>
      <c r="AA4" s="31">
        <f>PROJECT_START+19</f>
        <v>46056</v>
      </c>
      <c r="AB4" s="31">
        <f>PROJECT_START+20</f>
        <v>46057</v>
      </c>
      <c r="AC4" s="32">
        <f>PROJECT_START+21</f>
        <v>46058</v>
      </c>
      <c r="AD4" s="32">
        <f>PROJECT_START+22</f>
        <v>46059</v>
      </c>
      <c r="AE4" s="32">
        <f>PROJECT_START+23</f>
        <v>46060</v>
      </c>
      <c r="AF4" s="32">
        <f>PROJECT_START+24</f>
        <v>46061</v>
      </c>
      <c r="AG4" s="32">
        <f>PROJECT_START+25</f>
        <v>46062</v>
      </c>
      <c r="AH4" s="32">
        <f>PROJECT_START+26</f>
        <v>46063</v>
      </c>
      <c r="AI4" s="32">
        <f>PROJECT_START+27</f>
        <v>46064</v>
      </c>
      <c r="AJ4" s="32">
        <f>PROJECT_START+28</f>
        <v>46065</v>
      </c>
      <c r="AK4" s="32">
        <f>PROJECT_START+29</f>
        <v>46066</v>
      </c>
      <c r="AL4" s="32">
        <f>PROJECT_START+30</f>
        <v>46067</v>
      </c>
      <c r="AM4" s="31">
        <f>PROJECT_START+31</f>
        <v>46068</v>
      </c>
      <c r="AN4" s="31">
        <f>PROJECT_START+32</f>
        <v>46069</v>
      </c>
      <c r="AO4" s="31">
        <f>PROJECT_START+33</f>
        <v>46070</v>
      </c>
      <c r="AP4" s="31">
        <f>PROJECT_START+34</f>
        <v>46071</v>
      </c>
      <c r="AQ4" s="31">
        <f>PROJECT_START+35</f>
        <v>46072</v>
      </c>
      <c r="AR4" s="31">
        <f>PROJECT_START+36</f>
        <v>46073</v>
      </c>
      <c r="AS4" s="31">
        <f>PROJECT_START+37</f>
        <v>46074</v>
      </c>
      <c r="AT4" s="31">
        <f>PROJECT_START+38</f>
        <v>46075</v>
      </c>
      <c r="AU4" s="31">
        <f>PROJECT_START+39</f>
        <v>46076</v>
      </c>
      <c r="AV4" s="31">
        <f>PROJECT_START+40</f>
        <v>46077</v>
      </c>
      <c r="AW4" s="31">
        <f>PROJECT_START+41</f>
        <v>46078</v>
      </c>
      <c r="AX4" s="31">
        <f>PROJECT_START+42</f>
        <v>46079</v>
      </c>
      <c r="AY4" s="31">
        <f>PROJECT_START+43</f>
        <v>46080</v>
      </c>
      <c r="AZ4" s="31">
        <f>PROJECT_START+44</f>
        <v>46081</v>
      </c>
      <c r="BA4" s="31">
        <f>PROJECT_START+45</f>
        <v>46082</v>
      </c>
      <c r="BB4" s="31">
        <f>PROJECT_START+46</f>
        <v>46083</v>
      </c>
      <c r="BC4" s="31">
        <f>PROJECT_START+47</f>
        <v>46084</v>
      </c>
      <c r="BD4" s="31">
        <f>PROJECT_START+48</f>
        <v>46085</v>
      </c>
      <c r="BE4" s="31">
        <f>PROJECT_START+49</f>
        <v>46086</v>
      </c>
      <c r="BF4" s="31">
        <f>PROJECT_START+50</f>
        <v>46087</v>
      </c>
      <c r="BG4" s="31">
        <f>PROJECT_START+51</f>
        <v>46088</v>
      </c>
      <c r="BH4" s="31">
        <f>PROJECT_START+52</f>
        <v>46089</v>
      </c>
      <c r="BI4" s="31">
        <f>PROJECT_START+53</f>
        <v>46090</v>
      </c>
      <c r="BJ4" s="31">
        <f>PROJECT_START+54</f>
        <v>46091</v>
      </c>
      <c r="BK4" s="31">
        <f>PROJECT_START+55</f>
        <v>46092</v>
      </c>
      <c r="BL4" s="31">
        <f>PROJECT_START+56</f>
        <v>46093</v>
      </c>
      <c r="BM4" s="31">
        <f>PROJECT_START+57</f>
        <v>46094</v>
      </c>
      <c r="BN4" s="31">
        <f>PROJECT_START+58</f>
        <v>46095</v>
      </c>
      <c r="BO4" s="31">
        <f>PROJECT_START+59</f>
        <v>46096</v>
      </c>
      <c r="BP4" s="31">
        <f>PROJECT_START+60</f>
        <v>46097</v>
      </c>
      <c r="BQ4" s="31">
        <f>PROJECT_START+61</f>
        <v>46098</v>
      </c>
      <c r="BR4" s="31">
        <f>PROJECT_START+62</f>
        <v>46099</v>
      </c>
      <c r="BS4" s="31">
        <f>PROJECT_START+63</f>
        <v>46100</v>
      </c>
      <c r="BT4" s="31">
        <f>PROJECT_START+64</f>
        <v>46101</v>
      </c>
      <c r="BU4" s="31">
        <f>PROJECT_START+65</f>
        <v>46102</v>
      </c>
      <c r="BV4" s="31">
        <f>PROJECT_START+66</f>
        <v>46103</v>
      </c>
      <c r="BW4" s="31">
        <f>PROJECT_START+67</f>
        <v>46104</v>
      </c>
      <c r="BX4" s="31">
        <f>PROJECT_START+68</f>
        <v>46105</v>
      </c>
      <c r="BY4" s="31">
        <f>PROJECT_START+69</f>
        <v>46106</v>
      </c>
      <c r="BZ4" s="31">
        <f>PROJECT_START+70</f>
        <v>46107</v>
      </c>
      <c r="CA4" s="31">
        <f>PROJECT_START+71</f>
        <v>46108</v>
      </c>
      <c r="CB4" s="31">
        <f>PROJECT_START+72</f>
        <v>46109</v>
      </c>
      <c r="CC4" s="31">
        <f>PROJECT_START+73</f>
        <v>46110</v>
      </c>
      <c r="CD4" s="31">
        <f>PROJECT_START+74</f>
        <v>46111</v>
      </c>
      <c r="CE4" s="31">
        <f>PROJECT_START+75</f>
        <v>46112</v>
      </c>
      <c r="CF4" s="31">
        <f>PROJECT_START+76</f>
        <v>46113</v>
      </c>
      <c r="CG4" s="31">
        <f>PROJECT_START+77</f>
        <v>46114</v>
      </c>
      <c r="CH4" s="31">
        <f>PROJECT_START+78</f>
        <v>46115</v>
      </c>
      <c r="CI4" s="31">
        <f>PROJECT_START+79</f>
        <v>46116</v>
      </c>
      <c r="CJ4" s="31">
        <f>PROJECT_START+80</f>
        <v>46117</v>
      </c>
      <c r="CK4" s="31">
        <f>PROJECT_START+81</f>
        <v>46118</v>
      </c>
      <c r="CL4" s="31">
        <f>PROJECT_START+82</f>
        <v>46119</v>
      </c>
      <c r="CM4" s="31">
        <f>PROJECT_START+83</f>
        <v>46120</v>
      </c>
      <c r="CN4" s="31">
        <f>PROJECT_START+84</f>
        <v>46121</v>
      </c>
      <c r="CO4" s="31">
        <f>PROJECT_START+85</f>
        <v>46122</v>
      </c>
      <c r="CP4" s="31">
        <f>PROJECT_START+86</f>
        <v>46123</v>
      </c>
      <c r="CQ4" s="31">
        <f>PROJECT_START+87</f>
        <v>46124</v>
      </c>
      <c r="CR4" s="31">
        <f>PROJECT_START+88</f>
        <v>46125</v>
      </c>
      <c r="CS4" s="31">
        <f>PROJECT_START+89</f>
        <v>46126</v>
      </c>
      <c r="CT4" s="31">
        <f>PROJECT_START+90</f>
        <v>46127</v>
      </c>
      <c r="CU4" s="31">
        <f>PROJECT_START+91</f>
        <v>46128</v>
      </c>
      <c r="CV4" s="31">
        <f>PROJECT_START+92</f>
        <v>46129</v>
      </c>
      <c r="CW4" s="31">
        <f>PROJECT_START+93</f>
        <v>46130</v>
      </c>
      <c r="CX4" s="31">
        <f>PROJECT_START+94</f>
        <v>46131</v>
      </c>
      <c r="CY4" s="31">
        <f>PROJECT_START+95</f>
        <v>46132</v>
      </c>
      <c r="CZ4" s="31">
        <f>PROJECT_START+96</f>
        <v>46133</v>
      </c>
      <c r="DA4" s="31">
        <f>PROJECT_START+97</f>
        <v>46134</v>
      </c>
      <c r="DB4" s="31">
        <f>PROJECT_START+98</f>
        <v>46135</v>
      </c>
      <c r="DC4" s="31">
        <f>PROJECT_START+99</f>
        <v>46136</v>
      </c>
      <c r="DD4" s="31">
        <f>PROJECT_START+100</f>
        <v>46137</v>
      </c>
      <c r="DE4" s="31">
        <f>PROJECT_START+101</f>
        <v>46138</v>
      </c>
      <c r="DF4" s="31">
        <f>PROJECT_START+102</f>
        <v>46139</v>
      </c>
      <c r="DG4" s="31">
        <f>PROJECT_START+103</f>
        <v>46140</v>
      </c>
      <c r="DH4" s="31">
        <f>PROJECT_START+104</f>
        <v>46141</v>
      </c>
      <c r="DI4" s="31">
        <f>PROJECT_START+105</f>
        <v>46142</v>
      </c>
      <c r="DJ4" s="31">
        <f>PROJECT_START+106</f>
        <v>46143</v>
      </c>
      <c r="DK4" s="31">
        <f>PROJECT_START+107</f>
        <v>46144</v>
      </c>
      <c r="DL4" s="31">
        <f>PROJECT_START+108</f>
        <v>46145</v>
      </c>
      <c r="DM4" s="31">
        <f>PROJECT_START+109</f>
        <v>46146</v>
      </c>
      <c r="DN4" s="31">
        <f>PROJECT_START+110</f>
        <v>46147</v>
      </c>
      <c r="DO4" s="31">
        <f>PROJECT_START+111</f>
        <v>46148</v>
      </c>
      <c r="DP4" s="31">
        <f>PROJECT_START+112</f>
        <v>46149</v>
      </c>
      <c r="DQ4" s="31">
        <f>PROJECT_START+113</f>
        <v>46150</v>
      </c>
      <c r="DR4" s="31">
        <f>PROJECT_START+114</f>
        <v>46151</v>
      </c>
      <c r="DS4" s="31">
        <f>PROJECT_START+115</f>
        <v>46152</v>
      </c>
      <c r="DT4" s="31">
        <f>PROJECT_START+116</f>
        <v>46153</v>
      </c>
      <c r="DU4" s="31">
        <f>PROJECT_START+117</f>
        <v>46154</v>
      </c>
      <c r="DV4" s="31">
        <f>PROJECT_START+118</f>
        <v>46155</v>
      </c>
      <c r="DW4" s="31">
        <f>PROJECT_START+119</f>
        <v>46156</v>
      </c>
    </row>
    <row r="5" spans="1:127">
      <c r="A5" s="13" t="str">
        <f>Schedule_Data_ScenarioA!A6</f>
        <v>MOB-001</v>
      </c>
      <c r="B5" s="13" t="str">
        <f>Schedule_Data_ScenarioA!B6</f>
        <v>0.0</v>
      </c>
      <c r="C5" s="13" t="str">
        <f>Schedule_Data_ScenarioA!C6</f>
        <v>Mobilization (crew/equipment)</v>
      </c>
      <c r="D5" s="14" t="str">
        <f>Schedule_Data_ScenarioA!D6</f>
        <v>MOBILIZATION</v>
      </c>
      <c r="E5" s="33">
        <f>Schedule_Data_ScenarioA!F6</f>
        <v>46037</v>
      </c>
      <c r="F5" s="33">
        <f>Schedule_Data_ScenarioA!G6</f>
        <v>46038</v>
      </c>
      <c r="G5" s="13">
        <f>Schedule_Data_ScenarioA!H6</f>
        <v>1</v>
      </c>
      <c r="H5" s="14"/>
      <c r="I5" s="13"/>
      <c r="J5" s="13"/>
      <c r="K5" s="13"/>
      <c r="L5" s="13"/>
      <c r="M5" s="13"/>
      <c r="N5" s="13"/>
      <c r="O5" s="13"/>
      <c r="P5" s="13"/>
      <c r="Q5" s="13"/>
      <c r="R5" s="13"/>
      <c r="S5" s="13"/>
      <c r="T5" s="13"/>
      <c r="U5" s="13"/>
      <c r="V5" s="13"/>
      <c r="W5" s="13"/>
      <c r="X5" s="13"/>
      <c r="Y5" s="13"/>
      <c r="Z5" s="13"/>
      <c r="AA5" s="13"/>
      <c r="AB5" s="13"/>
      <c r="AC5" s="13"/>
      <c r="AD5" s="13"/>
      <c r="AE5" s="13"/>
      <c r="AF5" s="13"/>
      <c r="AG5" s="13"/>
      <c r="AH5" s="13"/>
      <c r="AI5" s="13"/>
      <c r="AJ5" s="13"/>
      <c r="AK5" s="13"/>
      <c r="AL5" s="13"/>
      <c r="AM5" s="13"/>
      <c r="AN5" s="13"/>
      <c r="AO5" s="13"/>
      <c r="AP5" s="13"/>
      <c r="AQ5" s="13"/>
      <c r="AR5" s="13"/>
      <c r="AS5" s="13"/>
      <c r="AT5" s="13"/>
      <c r="AU5" s="13"/>
      <c r="AV5" s="13"/>
      <c r="AW5" s="13"/>
      <c r="AX5" s="13"/>
      <c r="AY5" s="13"/>
      <c r="AZ5" s="13"/>
      <c r="BA5" s="13"/>
      <c r="BB5" s="13"/>
      <c r="BC5" s="13"/>
      <c r="BD5" s="13"/>
      <c r="BE5" s="13"/>
      <c r="BF5" s="13"/>
      <c r="BG5" s="13"/>
      <c r="BH5" s="13"/>
      <c r="BI5" s="13"/>
      <c r="BJ5" s="13"/>
      <c r="BK5" s="13"/>
      <c r="BL5" s="13"/>
      <c r="BM5" s="13"/>
      <c r="BN5" s="13"/>
      <c r="BO5" s="13"/>
      <c r="BP5" s="13"/>
      <c r="BQ5" s="13"/>
      <c r="BR5" s="13"/>
      <c r="BS5" s="13"/>
      <c r="BT5" s="13"/>
      <c r="BU5" s="13"/>
      <c r="BV5" s="13"/>
      <c r="BW5" s="13"/>
      <c r="BX5" s="13"/>
      <c r="BY5" s="13"/>
      <c r="BZ5" s="13"/>
      <c r="CA5" s="13"/>
      <c r="CB5" s="13"/>
      <c r="CC5" s="13"/>
      <c r="CD5" s="13"/>
      <c r="CE5" s="13"/>
      <c r="CF5" s="13"/>
      <c r="CG5" s="13"/>
      <c r="CH5" s="13"/>
      <c r="CI5" s="13"/>
      <c r="CJ5" s="13"/>
      <c r="CK5" s="13"/>
      <c r="CL5" s="13"/>
      <c r="CM5" s="13"/>
      <c r="CN5" s="13"/>
      <c r="CO5" s="13"/>
      <c r="CP5" s="13"/>
      <c r="CQ5" s="13"/>
      <c r="CR5" s="13"/>
      <c r="CS5" s="13"/>
      <c r="CT5" s="13"/>
      <c r="CU5" s="13"/>
      <c r="CV5" s="13"/>
      <c r="CW5" s="13"/>
      <c r="CX5" s="13"/>
      <c r="CY5" s="13"/>
      <c r="CZ5" s="13"/>
      <c r="DA5" s="13"/>
      <c r="DB5" s="13"/>
      <c r="DC5" s="13"/>
      <c r="DD5" s="13"/>
      <c r="DE5" s="13"/>
      <c r="DF5" s="13"/>
      <c r="DG5" s="13"/>
      <c r="DH5" s="13"/>
      <c r="DI5" s="13"/>
      <c r="DJ5" s="13"/>
      <c r="DK5" s="13"/>
      <c r="DL5" s="13"/>
      <c r="DM5" s="13"/>
      <c r="DN5" s="13"/>
      <c r="DO5" s="13"/>
      <c r="DP5" s="13"/>
      <c r="DQ5" s="13"/>
      <c r="DR5" s="13"/>
      <c r="DS5" s="13"/>
      <c r="DT5" s="13"/>
      <c r="DU5" s="13"/>
      <c r="DV5" s="13"/>
      <c r="DW5" s="13"/>
    </row>
    <row r="6" spans="1:127">
      <c r="A6" s="13" t="str">
        <f>Schedule_Data_ScenarioA!A7</f>
        <v>PREP-001</v>
      </c>
      <c r="B6" s="13" t="str">
        <f>Schedule_Data_ScenarioA!B7</f>
        <v>0.0</v>
      </c>
      <c r="C6" s="13" t="str">
        <f>Schedule_Data_ScenarioA!C7</f>
        <v>LCT deck preparations + fenders + mooring</v>
      </c>
      <c r="D6" s="16" t="str">
        <f>Schedule_Data_ScenarioA!D7</f>
        <v>DECK_PREP</v>
      </c>
      <c r="E6" s="33">
        <f>Schedule_Data_ScenarioA!F7</f>
        <v>46038</v>
      </c>
      <c r="F6" s="33">
        <f>Schedule_Data_ScenarioA!G7</f>
        <v>46041</v>
      </c>
      <c r="G6" s="13">
        <f>Schedule_Data_ScenarioA!H7</f>
        <v>3</v>
      </c>
      <c r="H6" s="13"/>
      <c r="I6" s="16"/>
      <c r="J6" s="16"/>
      <c r="K6" s="16"/>
      <c r="L6" s="13"/>
      <c r="M6" s="13"/>
      <c r="N6" s="13"/>
      <c r="O6" s="13"/>
      <c r="P6" s="13"/>
      <c r="Q6" s="13"/>
      <c r="R6" s="13"/>
      <c r="S6" s="13"/>
      <c r="T6" s="13"/>
      <c r="U6" s="13"/>
      <c r="V6" s="13"/>
      <c r="W6" s="13"/>
      <c r="X6" s="13"/>
      <c r="Y6" s="13"/>
      <c r="Z6" s="13"/>
      <c r="AA6" s="13"/>
      <c r="AB6" s="13"/>
      <c r="AC6" s="13"/>
      <c r="AD6" s="13"/>
      <c r="AE6" s="13"/>
      <c r="AF6" s="13"/>
      <c r="AG6" s="13"/>
      <c r="AH6" s="13"/>
      <c r="AI6" s="13"/>
      <c r="AJ6" s="13"/>
      <c r="AK6" s="13"/>
      <c r="AL6" s="13"/>
      <c r="AM6" s="13"/>
      <c r="AN6" s="13"/>
      <c r="AO6" s="13"/>
      <c r="AP6" s="13"/>
      <c r="AQ6" s="13"/>
      <c r="AR6" s="13"/>
      <c r="AS6" s="13"/>
      <c r="AT6" s="13"/>
      <c r="AU6" s="13"/>
      <c r="AV6" s="13"/>
      <c r="AW6" s="13"/>
      <c r="AX6" s="13"/>
      <c r="AY6" s="13"/>
      <c r="AZ6" s="13"/>
      <c r="BA6" s="13"/>
      <c r="BB6" s="13"/>
      <c r="BC6" s="13"/>
      <c r="BD6" s="13"/>
      <c r="BE6" s="13"/>
      <c r="BF6" s="13"/>
      <c r="BG6" s="13"/>
      <c r="BH6" s="13"/>
      <c r="BI6" s="13"/>
      <c r="BJ6" s="13"/>
      <c r="BK6" s="13"/>
      <c r="BL6" s="13"/>
      <c r="BM6" s="13"/>
      <c r="BN6" s="13"/>
      <c r="BO6" s="13"/>
      <c r="BP6" s="13"/>
      <c r="BQ6" s="13"/>
      <c r="BR6" s="13"/>
      <c r="BS6" s="13"/>
      <c r="BT6" s="13"/>
      <c r="BU6" s="13"/>
      <c r="BV6" s="13"/>
      <c r="BW6" s="13"/>
      <c r="BX6" s="13"/>
      <c r="BY6" s="13"/>
      <c r="BZ6" s="13"/>
      <c r="CA6" s="13"/>
      <c r="CB6" s="13"/>
      <c r="CC6" s="13"/>
      <c r="CD6" s="13"/>
      <c r="CE6" s="13"/>
      <c r="CF6" s="13"/>
      <c r="CG6" s="13"/>
      <c r="CH6" s="13"/>
      <c r="CI6" s="13"/>
      <c r="CJ6" s="13"/>
      <c r="CK6" s="13"/>
      <c r="CL6" s="13"/>
      <c r="CM6" s="13"/>
      <c r="CN6" s="13"/>
      <c r="CO6" s="13"/>
      <c r="CP6" s="13"/>
      <c r="CQ6" s="13"/>
      <c r="CR6" s="13"/>
      <c r="CS6" s="13"/>
      <c r="CT6" s="13"/>
      <c r="CU6" s="13"/>
      <c r="CV6" s="13"/>
      <c r="CW6" s="13"/>
      <c r="CX6" s="13"/>
      <c r="CY6" s="13"/>
      <c r="CZ6" s="13"/>
      <c r="DA6" s="13"/>
      <c r="DB6" s="13"/>
      <c r="DC6" s="13"/>
      <c r="DD6" s="13"/>
      <c r="DE6" s="13"/>
      <c r="DF6" s="13"/>
      <c r="DG6" s="13"/>
      <c r="DH6" s="13"/>
      <c r="DI6" s="13"/>
      <c r="DJ6" s="13"/>
      <c r="DK6" s="13"/>
      <c r="DL6" s="13"/>
      <c r="DM6" s="13"/>
      <c r="DN6" s="13"/>
      <c r="DO6" s="13"/>
      <c r="DP6" s="13"/>
      <c r="DQ6" s="13"/>
      <c r="DR6" s="13"/>
      <c r="DS6" s="13"/>
      <c r="DT6" s="13"/>
      <c r="DU6" s="13"/>
      <c r="DV6" s="13"/>
      <c r="DW6" s="13"/>
    </row>
    <row r="7" spans="1:127">
      <c r="A7" s="13" t="str">
        <f>Schedule_Data_ScenarioA!A8</f>
        <v>V1</v>
      </c>
      <c r="B7" s="13" t="str">
        <f>Schedule_Data_ScenarioA!B8</f>
        <v>1.0</v>
      </c>
      <c r="C7" s="13" t="str">
        <f>Schedule_Data_ScenarioA!C8</f>
        <v>VOYAGE 1: TR1 Transport</v>
      </c>
      <c r="D7" s="34" t="str">
        <f>Schedule_Data_ScenarioA!D8</f>
        <v>MILESTONE</v>
      </c>
      <c r="E7" s="33">
        <f>Schedule_Data_ScenarioA!F8</f>
        <v>46041</v>
      </c>
      <c r="F7" s="33">
        <f>Schedule_Data_ScenarioA!G8</f>
        <v>46041</v>
      </c>
      <c r="G7" s="13">
        <f>Schedule_Data_ScenarioA!H8</f>
        <v>0</v>
      </c>
      <c r="H7" s="13"/>
      <c r="I7" s="13"/>
      <c r="J7" s="13"/>
      <c r="K7" s="13"/>
      <c r="L7" s="35" t="s">
        <v>270</v>
      </c>
      <c r="M7" s="13"/>
      <c r="N7" s="13"/>
      <c r="O7" s="13"/>
      <c r="P7" s="13"/>
      <c r="Q7" s="13"/>
      <c r="R7" s="13"/>
      <c r="S7" s="13"/>
      <c r="T7" s="13"/>
      <c r="U7" s="13"/>
      <c r="V7" s="13"/>
      <c r="W7" s="13"/>
      <c r="X7" s="13"/>
      <c r="Y7" s="13"/>
      <c r="Z7" s="13"/>
      <c r="AA7" s="13"/>
      <c r="AB7" s="13"/>
      <c r="AC7" s="13"/>
      <c r="AD7" s="13"/>
      <c r="AE7" s="13"/>
      <c r="AF7" s="13"/>
      <c r="AG7" s="13"/>
      <c r="AH7" s="13"/>
      <c r="AI7" s="13"/>
      <c r="AJ7" s="13"/>
      <c r="AK7" s="13"/>
      <c r="AL7" s="13"/>
      <c r="AM7" s="13"/>
      <c r="AN7" s="13"/>
      <c r="AO7" s="13"/>
      <c r="AP7" s="13"/>
      <c r="AQ7" s="13"/>
      <c r="AR7" s="13"/>
      <c r="AS7" s="13"/>
      <c r="AT7" s="13"/>
      <c r="AU7" s="13"/>
      <c r="AV7" s="13"/>
      <c r="AW7" s="13"/>
      <c r="AX7" s="13"/>
      <c r="AY7" s="13"/>
      <c r="AZ7" s="13"/>
      <c r="BA7" s="13"/>
      <c r="BB7" s="13"/>
      <c r="BC7" s="13"/>
      <c r="BD7" s="13"/>
      <c r="BE7" s="13"/>
      <c r="BF7" s="13"/>
      <c r="BG7" s="13"/>
      <c r="BH7" s="13"/>
      <c r="BI7" s="13"/>
      <c r="BJ7" s="13"/>
      <c r="BK7" s="13"/>
      <c r="BL7" s="13"/>
      <c r="BM7" s="13"/>
      <c r="BN7" s="13"/>
      <c r="BO7" s="13"/>
      <c r="BP7" s="13"/>
      <c r="BQ7" s="13"/>
      <c r="BR7" s="13"/>
      <c r="BS7" s="13"/>
      <c r="BT7" s="13"/>
      <c r="BU7" s="13"/>
      <c r="BV7" s="13"/>
      <c r="BW7" s="13"/>
      <c r="BX7" s="13"/>
      <c r="BY7" s="13"/>
      <c r="BZ7" s="13"/>
      <c r="CA7" s="13"/>
      <c r="CB7" s="13"/>
      <c r="CC7" s="13"/>
      <c r="CD7" s="13"/>
      <c r="CE7" s="13"/>
      <c r="CF7" s="13"/>
      <c r="CG7" s="13"/>
      <c r="CH7" s="13"/>
      <c r="CI7" s="13"/>
      <c r="CJ7" s="13"/>
      <c r="CK7" s="13"/>
      <c r="CL7" s="13"/>
      <c r="CM7" s="13"/>
      <c r="CN7" s="13"/>
      <c r="CO7" s="13"/>
      <c r="CP7" s="13"/>
      <c r="CQ7" s="13"/>
      <c r="CR7" s="13"/>
      <c r="CS7" s="13"/>
      <c r="CT7" s="13"/>
      <c r="CU7" s="13"/>
      <c r="CV7" s="13"/>
      <c r="CW7" s="13"/>
      <c r="CX7" s="13"/>
      <c r="CY7" s="13"/>
      <c r="CZ7" s="13"/>
      <c r="DA7" s="13"/>
      <c r="DB7" s="13"/>
      <c r="DC7" s="13"/>
      <c r="DD7" s="13"/>
      <c r="DE7" s="13"/>
      <c r="DF7" s="13"/>
      <c r="DG7" s="13"/>
      <c r="DH7" s="13"/>
      <c r="DI7" s="13"/>
      <c r="DJ7" s="13"/>
      <c r="DK7" s="13"/>
      <c r="DL7" s="13"/>
      <c r="DM7" s="13"/>
      <c r="DN7" s="13"/>
      <c r="DO7" s="13"/>
      <c r="DP7" s="13"/>
      <c r="DQ7" s="13"/>
      <c r="DR7" s="13"/>
      <c r="DS7" s="13"/>
      <c r="DT7" s="13"/>
      <c r="DU7" s="13"/>
      <c r="DV7" s="13"/>
      <c r="DW7" s="13"/>
    </row>
    <row r="8" spans="1:127">
      <c r="A8" s="13" t="str">
        <f>Schedule_Data_ScenarioA!A9</f>
        <v>LO-01</v>
      </c>
      <c r="B8" s="13" t="str">
        <f>Schedule_Data_ScenarioA!B9</f>
        <v>1.0</v>
      </c>
      <c r="C8" s="13" t="str">
        <f>Schedule_Data_ScenarioA!C9</f>
        <v>Loadout TR1 onto LCT</v>
      </c>
      <c r="D8" s="20" t="str">
        <f>Schedule_Data_ScenarioA!D9</f>
        <v>LOADOUT</v>
      </c>
      <c r="E8" s="33">
        <f>Schedule_Data_ScenarioA!F9</f>
        <v>46041</v>
      </c>
      <c r="F8" s="33">
        <f>Schedule_Data_ScenarioA!G9</f>
        <v>46041.5</v>
      </c>
      <c r="G8" s="13">
        <f>Schedule_Data_ScenarioA!H9</f>
        <v>0.5</v>
      </c>
      <c r="H8" s="13"/>
      <c r="I8" s="13"/>
      <c r="J8" s="13"/>
      <c r="K8" s="13"/>
      <c r="L8" s="20"/>
      <c r="M8" s="13"/>
      <c r="N8" s="13"/>
      <c r="O8" s="13"/>
      <c r="P8" s="13"/>
      <c r="Q8" s="13"/>
      <c r="R8" s="13"/>
      <c r="S8" s="13"/>
      <c r="T8" s="13"/>
      <c r="U8" s="13"/>
      <c r="V8" s="13"/>
      <c r="W8" s="13"/>
      <c r="X8" s="13"/>
      <c r="Y8" s="13"/>
      <c r="Z8" s="13"/>
      <c r="AA8" s="13"/>
      <c r="AB8" s="13"/>
      <c r="AC8" s="13"/>
      <c r="AD8" s="13"/>
      <c r="AE8" s="13"/>
      <c r="AF8" s="13"/>
      <c r="AG8" s="13"/>
      <c r="AH8" s="13"/>
      <c r="AI8" s="13"/>
      <c r="AJ8" s="13"/>
      <c r="AK8" s="13"/>
      <c r="AL8" s="13"/>
      <c r="AM8" s="13"/>
      <c r="AN8" s="13"/>
      <c r="AO8" s="13"/>
      <c r="AP8" s="13"/>
      <c r="AQ8" s="13"/>
      <c r="AR8" s="13"/>
      <c r="AS8" s="13"/>
      <c r="AT8" s="13"/>
      <c r="AU8" s="13"/>
      <c r="AV8" s="13"/>
      <c r="AW8" s="13"/>
      <c r="AX8" s="13"/>
      <c r="AY8" s="13"/>
      <c r="AZ8" s="13"/>
      <c r="BA8" s="13"/>
      <c r="BB8" s="13"/>
      <c r="BC8" s="13"/>
      <c r="BD8" s="13"/>
      <c r="BE8" s="13"/>
      <c r="BF8" s="13"/>
      <c r="BG8" s="13"/>
      <c r="BH8" s="13"/>
      <c r="BI8" s="13"/>
      <c r="BJ8" s="13"/>
      <c r="BK8" s="13"/>
      <c r="BL8" s="13"/>
      <c r="BM8" s="13"/>
      <c r="BN8" s="13"/>
      <c r="BO8" s="13"/>
      <c r="BP8" s="13"/>
      <c r="BQ8" s="13"/>
      <c r="BR8" s="13"/>
      <c r="BS8" s="13"/>
      <c r="BT8" s="13"/>
      <c r="BU8" s="13"/>
      <c r="BV8" s="13"/>
      <c r="BW8" s="13"/>
      <c r="BX8" s="13"/>
      <c r="BY8" s="13"/>
      <c r="BZ8" s="13"/>
      <c r="CA8" s="13"/>
      <c r="CB8" s="13"/>
      <c r="CC8" s="13"/>
      <c r="CD8" s="13"/>
      <c r="CE8" s="13"/>
      <c r="CF8" s="13"/>
      <c r="CG8" s="13"/>
      <c r="CH8" s="13"/>
      <c r="CI8" s="13"/>
      <c r="CJ8" s="13"/>
      <c r="CK8" s="13"/>
      <c r="CL8" s="13"/>
      <c r="CM8" s="13"/>
      <c r="CN8" s="13"/>
      <c r="CO8" s="13"/>
      <c r="CP8" s="13"/>
      <c r="CQ8" s="13"/>
      <c r="CR8" s="13"/>
      <c r="CS8" s="13"/>
      <c r="CT8" s="13"/>
      <c r="CU8" s="13"/>
      <c r="CV8" s="13"/>
      <c r="CW8" s="13"/>
      <c r="CX8" s="13"/>
      <c r="CY8" s="13"/>
      <c r="CZ8" s="13"/>
      <c r="DA8" s="13"/>
      <c r="DB8" s="13"/>
      <c r="DC8" s="13"/>
      <c r="DD8" s="13"/>
      <c r="DE8" s="13"/>
      <c r="DF8" s="13"/>
      <c r="DG8" s="13"/>
      <c r="DH8" s="13"/>
      <c r="DI8" s="13"/>
      <c r="DJ8" s="13"/>
      <c r="DK8" s="13"/>
      <c r="DL8" s="13"/>
      <c r="DM8" s="13"/>
      <c r="DN8" s="13"/>
      <c r="DO8" s="13"/>
      <c r="DP8" s="13"/>
      <c r="DQ8" s="13"/>
      <c r="DR8" s="13"/>
      <c r="DS8" s="13"/>
      <c r="DT8" s="13"/>
      <c r="DU8" s="13"/>
      <c r="DV8" s="13"/>
      <c r="DW8" s="13"/>
    </row>
    <row r="9" spans="1:127">
      <c r="A9" s="13" t="str">
        <f>Schedule_Data_ScenarioA!A10</f>
        <v>SF-01</v>
      </c>
      <c r="B9" s="13" t="str">
        <f>Schedule_Data_ScenarioA!B10</f>
        <v>1.0</v>
      </c>
      <c r="C9" s="13" t="str">
        <f>Schedule_Data_ScenarioA!C10</f>
        <v>Sea fastening + MWS checks (TR1)</v>
      </c>
      <c r="D9" s="21" t="str">
        <f>Schedule_Data_ScenarioA!D10</f>
        <v>SEAFAST</v>
      </c>
      <c r="E9" s="33">
        <f>Schedule_Data_ScenarioA!F10</f>
        <v>46042</v>
      </c>
      <c r="F9" s="33">
        <f>Schedule_Data_ScenarioA!G10</f>
        <v>46042</v>
      </c>
      <c r="G9" s="13">
        <f>Schedule_Data_ScenarioA!H10</f>
        <v>0</v>
      </c>
      <c r="H9" s="13"/>
      <c r="I9" s="13"/>
      <c r="J9" s="13"/>
      <c r="K9" s="13"/>
      <c r="L9" s="13"/>
      <c r="M9" s="21"/>
      <c r="N9" s="13"/>
      <c r="O9" s="13"/>
      <c r="P9" s="13"/>
      <c r="Q9" s="13"/>
      <c r="R9" s="13"/>
      <c r="S9" s="13"/>
      <c r="T9" s="13"/>
      <c r="U9" s="13"/>
      <c r="V9" s="13"/>
      <c r="W9" s="13"/>
      <c r="X9" s="13"/>
      <c r="Y9" s="13"/>
      <c r="Z9" s="13"/>
      <c r="AA9" s="13"/>
      <c r="AB9" s="13"/>
      <c r="AC9" s="13"/>
      <c r="AD9" s="13"/>
      <c r="AE9" s="13"/>
      <c r="AF9" s="13"/>
      <c r="AG9" s="13"/>
      <c r="AH9" s="13"/>
      <c r="AI9" s="13"/>
      <c r="AJ9" s="13"/>
      <c r="AK9" s="13"/>
      <c r="AL9" s="13"/>
      <c r="AM9" s="13"/>
      <c r="AN9" s="13"/>
      <c r="AO9" s="13"/>
      <c r="AP9" s="13"/>
      <c r="AQ9" s="13"/>
      <c r="AR9" s="13"/>
      <c r="AS9" s="13"/>
      <c r="AT9" s="13"/>
      <c r="AU9" s="13"/>
      <c r="AV9" s="13"/>
      <c r="AW9" s="13"/>
      <c r="AX9" s="13"/>
      <c r="AY9" s="13"/>
      <c r="AZ9" s="13"/>
      <c r="BA9" s="13"/>
      <c r="BB9" s="13"/>
      <c r="BC9" s="13"/>
      <c r="BD9" s="13"/>
      <c r="BE9" s="13"/>
      <c r="BF9" s="13"/>
      <c r="BG9" s="13"/>
      <c r="BH9" s="13"/>
      <c r="BI9" s="13"/>
      <c r="BJ9" s="13"/>
      <c r="BK9" s="13"/>
      <c r="BL9" s="13"/>
      <c r="BM9" s="13"/>
      <c r="BN9" s="13"/>
      <c r="BO9" s="13"/>
      <c r="BP9" s="13"/>
      <c r="BQ9" s="13"/>
      <c r="BR9" s="13"/>
      <c r="BS9" s="13"/>
      <c r="BT9" s="13"/>
      <c r="BU9" s="13"/>
      <c r="BV9" s="13"/>
      <c r="BW9" s="13"/>
      <c r="BX9" s="13"/>
      <c r="BY9" s="13"/>
      <c r="BZ9" s="13"/>
      <c r="CA9" s="13"/>
      <c r="CB9" s="13"/>
      <c r="CC9" s="13"/>
      <c r="CD9" s="13"/>
      <c r="CE9" s="13"/>
      <c r="CF9" s="13"/>
      <c r="CG9" s="13"/>
      <c r="CH9" s="13"/>
      <c r="CI9" s="13"/>
      <c r="CJ9" s="13"/>
      <c r="CK9" s="13"/>
      <c r="CL9" s="13"/>
      <c r="CM9" s="13"/>
      <c r="CN9" s="13"/>
      <c r="CO9" s="13"/>
      <c r="CP9" s="13"/>
      <c r="CQ9" s="13"/>
      <c r="CR9" s="13"/>
      <c r="CS9" s="13"/>
      <c r="CT9" s="13"/>
      <c r="CU9" s="13"/>
      <c r="CV9" s="13"/>
      <c r="CW9" s="13"/>
      <c r="CX9" s="13"/>
      <c r="CY9" s="13"/>
      <c r="CZ9" s="13"/>
      <c r="DA9" s="13"/>
      <c r="DB9" s="13"/>
      <c r="DC9" s="13"/>
      <c r="DD9" s="13"/>
      <c r="DE9" s="13"/>
      <c r="DF9" s="13"/>
      <c r="DG9" s="13"/>
      <c r="DH9" s="13"/>
      <c r="DI9" s="13"/>
      <c r="DJ9" s="13"/>
      <c r="DK9" s="13"/>
      <c r="DL9" s="13"/>
      <c r="DM9" s="13"/>
      <c r="DN9" s="13"/>
      <c r="DO9" s="13"/>
      <c r="DP9" s="13"/>
      <c r="DQ9" s="13"/>
      <c r="DR9" s="13"/>
      <c r="DS9" s="13"/>
      <c r="DT9" s="13"/>
      <c r="DU9" s="13"/>
      <c r="DV9" s="13"/>
      <c r="DW9" s="13"/>
    </row>
    <row r="10" spans="1:127">
      <c r="A10" s="13" t="str">
        <f>Schedule_Data_ScenarioA!A11</f>
        <v>SAIL-01</v>
      </c>
      <c r="B10" s="13" t="str">
        <f>Schedule_Data_ScenarioA!B11</f>
        <v>1.0</v>
      </c>
      <c r="C10" s="13" t="str">
        <f>Schedule_Data_ScenarioA!C11</f>
        <v>Sail-away MZP→AGI</v>
      </c>
      <c r="D10" s="23" t="str">
        <f>Schedule_Data_ScenarioA!D11</f>
        <v>SAIL</v>
      </c>
      <c r="E10" s="33">
        <f>Schedule_Data_ScenarioA!F11</f>
        <v>46043</v>
      </c>
      <c r="F10" s="33">
        <f>Schedule_Data_ScenarioA!G11</f>
        <v>46043</v>
      </c>
      <c r="G10" s="13">
        <f>Schedule_Data_ScenarioA!H11</f>
        <v>0</v>
      </c>
      <c r="H10" s="13"/>
      <c r="I10" s="13"/>
      <c r="J10" s="13"/>
      <c r="K10" s="13"/>
      <c r="L10" s="13"/>
      <c r="M10" s="13"/>
      <c r="N10" s="23"/>
      <c r="O10" s="13"/>
      <c r="P10" s="13"/>
      <c r="Q10" s="13"/>
      <c r="R10" s="13"/>
      <c r="S10" s="13"/>
      <c r="T10" s="13"/>
      <c r="U10" s="13"/>
      <c r="V10" s="13"/>
      <c r="W10" s="13"/>
      <c r="X10" s="13"/>
      <c r="Y10" s="13"/>
      <c r="Z10" s="13"/>
      <c r="AA10" s="13"/>
      <c r="AB10" s="13"/>
      <c r="AC10" s="13"/>
      <c r="AD10" s="13"/>
      <c r="AE10" s="13"/>
      <c r="AF10" s="13"/>
      <c r="AG10" s="13"/>
      <c r="AH10" s="13"/>
      <c r="AI10" s="13"/>
      <c r="AJ10" s="13"/>
      <c r="AK10" s="13"/>
      <c r="AL10" s="13"/>
      <c r="AM10" s="13"/>
      <c r="AN10" s="13"/>
      <c r="AO10" s="13"/>
      <c r="AP10" s="13"/>
      <c r="AQ10" s="13"/>
      <c r="AR10" s="13"/>
      <c r="AS10" s="13"/>
      <c r="AT10" s="13"/>
      <c r="AU10" s="13"/>
      <c r="AV10" s="13"/>
      <c r="AW10" s="13"/>
      <c r="AX10" s="13"/>
      <c r="AY10" s="13"/>
      <c r="AZ10" s="13"/>
      <c r="BA10" s="13"/>
      <c r="BB10" s="13"/>
      <c r="BC10" s="13"/>
      <c r="BD10" s="13"/>
      <c r="BE10" s="13"/>
      <c r="BF10" s="13"/>
      <c r="BG10" s="13"/>
      <c r="BH10" s="13"/>
      <c r="BI10" s="13"/>
      <c r="BJ10" s="13"/>
      <c r="BK10" s="13"/>
      <c r="BL10" s="13"/>
      <c r="BM10" s="13"/>
      <c r="BN10" s="13"/>
      <c r="BO10" s="13"/>
      <c r="BP10" s="13"/>
      <c r="BQ10" s="13"/>
      <c r="BR10" s="13"/>
      <c r="BS10" s="13"/>
      <c r="BT10" s="13"/>
      <c r="BU10" s="13"/>
      <c r="BV10" s="13"/>
      <c r="BW10" s="13"/>
      <c r="BX10" s="13"/>
      <c r="BY10" s="13"/>
      <c r="BZ10" s="13"/>
      <c r="CA10" s="13"/>
      <c r="CB10" s="13"/>
      <c r="CC10" s="13"/>
      <c r="CD10" s="13"/>
      <c r="CE10" s="13"/>
      <c r="CF10" s="13"/>
      <c r="CG10" s="13"/>
      <c r="CH10" s="13"/>
      <c r="CI10" s="13"/>
      <c r="CJ10" s="13"/>
      <c r="CK10" s="13"/>
      <c r="CL10" s="13"/>
      <c r="CM10" s="13"/>
      <c r="CN10" s="13"/>
      <c r="CO10" s="13"/>
      <c r="CP10" s="13"/>
      <c r="CQ10" s="13"/>
      <c r="CR10" s="13"/>
      <c r="CS10" s="13"/>
      <c r="CT10" s="13"/>
      <c r="CU10" s="13"/>
      <c r="CV10" s="13"/>
      <c r="CW10" s="13"/>
      <c r="CX10" s="13"/>
      <c r="CY10" s="13"/>
      <c r="CZ10" s="13"/>
      <c r="DA10" s="13"/>
      <c r="DB10" s="13"/>
      <c r="DC10" s="13"/>
      <c r="DD10" s="13"/>
      <c r="DE10" s="13"/>
      <c r="DF10" s="13"/>
      <c r="DG10" s="13"/>
      <c r="DH10" s="13"/>
      <c r="DI10" s="13"/>
      <c r="DJ10" s="13"/>
      <c r="DK10" s="13"/>
      <c r="DL10" s="13"/>
      <c r="DM10" s="13"/>
      <c r="DN10" s="13"/>
      <c r="DO10" s="13"/>
      <c r="DP10" s="13"/>
      <c r="DQ10" s="13"/>
      <c r="DR10" s="13"/>
      <c r="DS10" s="13"/>
      <c r="DT10" s="13"/>
      <c r="DU10" s="13"/>
      <c r="DV10" s="13"/>
      <c r="DW10" s="13"/>
    </row>
    <row r="11" spans="1:127">
      <c r="A11" s="13" t="str">
        <f>Schedule_Data_ScenarioA!A12</f>
        <v>UL-01-1</v>
      </c>
      <c r="B11" s="13" t="str">
        <f>Schedule_Data_ScenarioA!B12</f>
        <v>1.0</v>
      </c>
      <c r="C11" s="13" t="str">
        <f>Schedule_Data_ScenarioA!C12</f>
        <v>Unload TR1 at AGI (1 unit/day)</v>
      </c>
      <c r="D11" s="24" t="str">
        <f>Schedule_Data_ScenarioA!D12</f>
        <v>AGI_UNLOAD</v>
      </c>
      <c r="E11" s="33">
        <f>Schedule_Data_ScenarioA!F12</f>
        <v>46044</v>
      </c>
      <c r="F11" s="33">
        <f>Schedule_Data_ScenarioA!G12</f>
        <v>46044</v>
      </c>
      <c r="G11" s="13">
        <f>Schedule_Data_ScenarioA!H12</f>
        <v>0</v>
      </c>
      <c r="H11" s="13"/>
      <c r="I11" s="13"/>
      <c r="J11" s="13"/>
      <c r="K11" s="13"/>
      <c r="L11" s="13"/>
      <c r="M11" s="13"/>
      <c r="N11" s="13"/>
      <c r="O11" s="24"/>
      <c r="P11" s="13"/>
      <c r="Q11" s="13"/>
      <c r="R11" s="13"/>
      <c r="S11" s="13"/>
      <c r="T11" s="13"/>
      <c r="U11" s="13"/>
      <c r="V11" s="13"/>
      <c r="W11" s="13"/>
      <c r="X11" s="13"/>
      <c r="Y11" s="13"/>
      <c r="Z11" s="13"/>
      <c r="AA11" s="13"/>
      <c r="AB11" s="13"/>
      <c r="AC11" s="13"/>
      <c r="AD11" s="13"/>
      <c r="AE11" s="13"/>
      <c r="AF11" s="13"/>
      <c r="AG11" s="13"/>
      <c r="AH11" s="13"/>
      <c r="AI11" s="13"/>
      <c r="AJ11" s="13"/>
      <c r="AK11" s="13"/>
      <c r="AL11" s="13"/>
      <c r="AM11" s="13"/>
      <c r="AN11" s="13"/>
      <c r="AO11" s="13"/>
      <c r="AP11" s="13"/>
      <c r="AQ11" s="13"/>
      <c r="AR11" s="13"/>
      <c r="AS11" s="13"/>
      <c r="AT11" s="13"/>
      <c r="AU11" s="13"/>
      <c r="AV11" s="13"/>
      <c r="AW11" s="13"/>
      <c r="AX11" s="13"/>
      <c r="AY11" s="13"/>
      <c r="AZ11" s="13"/>
      <c r="BA11" s="13"/>
      <c r="BB11" s="13"/>
      <c r="BC11" s="13"/>
      <c r="BD11" s="13"/>
      <c r="BE11" s="13"/>
      <c r="BF11" s="13"/>
      <c r="BG11" s="13"/>
      <c r="BH11" s="13"/>
      <c r="BI11" s="13"/>
      <c r="BJ11" s="13"/>
      <c r="BK11" s="13"/>
      <c r="BL11" s="13"/>
      <c r="BM11" s="13"/>
      <c r="BN11" s="13"/>
      <c r="BO11" s="13"/>
      <c r="BP11" s="13"/>
      <c r="BQ11" s="13"/>
      <c r="BR11" s="13"/>
      <c r="BS11" s="13"/>
      <c r="BT11" s="13"/>
      <c r="BU11" s="13"/>
      <c r="BV11" s="13"/>
      <c r="BW11" s="13"/>
      <c r="BX11" s="13"/>
      <c r="BY11" s="13"/>
      <c r="BZ11" s="13"/>
      <c r="CA11" s="13"/>
      <c r="CB11" s="13"/>
      <c r="CC11" s="13"/>
      <c r="CD11" s="13"/>
      <c r="CE11" s="13"/>
      <c r="CF11" s="13"/>
      <c r="CG11" s="13"/>
      <c r="CH11" s="13"/>
      <c r="CI11" s="13"/>
      <c r="CJ11" s="13"/>
      <c r="CK11" s="13"/>
      <c r="CL11" s="13"/>
      <c r="CM11" s="13"/>
      <c r="CN11" s="13"/>
      <c r="CO11" s="13"/>
      <c r="CP11" s="13"/>
      <c r="CQ11" s="13"/>
      <c r="CR11" s="13"/>
      <c r="CS11" s="13"/>
      <c r="CT11" s="13"/>
      <c r="CU11" s="13"/>
      <c r="CV11" s="13"/>
      <c r="CW11" s="13"/>
      <c r="CX11" s="13"/>
      <c r="CY11" s="13"/>
      <c r="CZ11" s="13"/>
      <c r="DA11" s="13"/>
      <c r="DB11" s="13"/>
      <c r="DC11" s="13"/>
      <c r="DD11" s="13"/>
      <c r="DE11" s="13"/>
      <c r="DF11" s="13"/>
      <c r="DG11" s="13"/>
      <c r="DH11" s="13"/>
      <c r="DI11" s="13"/>
      <c r="DJ11" s="13"/>
      <c r="DK11" s="13"/>
      <c r="DL11" s="13"/>
      <c r="DM11" s="13"/>
      <c r="DN11" s="13"/>
      <c r="DO11" s="13"/>
      <c r="DP11" s="13"/>
      <c r="DQ11" s="13"/>
      <c r="DR11" s="13"/>
      <c r="DS11" s="13"/>
      <c r="DT11" s="13"/>
      <c r="DU11" s="13"/>
      <c r="DV11" s="13"/>
      <c r="DW11" s="13"/>
    </row>
    <row r="12" spans="1:127">
      <c r="A12" s="13" t="str">
        <f>Schedule_Data_ScenarioA!A13</f>
        <v>TURN-01-1</v>
      </c>
      <c r="B12" s="13" t="str">
        <f>Schedule_Data_ScenarioA!B13</f>
        <v>1.0</v>
      </c>
      <c r="C12" s="13" t="str">
        <f>Schedule_Data_ScenarioA!C13</f>
        <v>Turning TR1 (90°)</v>
      </c>
      <c r="D12" s="26" t="str">
        <f>Schedule_Data_ScenarioA!D13</f>
        <v>TURNING</v>
      </c>
      <c r="E12" s="33">
        <f>Schedule_Data_ScenarioA!F13</f>
        <v>46045</v>
      </c>
      <c r="F12" s="33">
        <f>Schedule_Data_ScenarioA!G13</f>
        <v>46045</v>
      </c>
      <c r="G12" s="13">
        <f>Schedule_Data_ScenarioA!H13</f>
        <v>0</v>
      </c>
      <c r="H12" s="13"/>
      <c r="I12" s="13"/>
      <c r="J12" s="13"/>
      <c r="K12" s="13"/>
      <c r="L12" s="13"/>
      <c r="M12" s="13"/>
      <c r="N12" s="13"/>
      <c r="O12" s="13"/>
      <c r="P12" s="26"/>
      <c r="Q12" s="13"/>
      <c r="R12" s="13"/>
      <c r="S12" s="13"/>
      <c r="T12" s="13"/>
      <c r="U12" s="13"/>
      <c r="V12" s="13"/>
      <c r="W12" s="13"/>
      <c r="X12" s="13"/>
      <c r="Y12" s="13"/>
      <c r="Z12" s="13"/>
      <c r="AA12" s="13"/>
      <c r="AB12" s="13"/>
      <c r="AC12" s="13"/>
      <c r="AD12" s="13"/>
      <c r="AE12" s="13"/>
      <c r="AF12" s="13"/>
      <c r="AG12" s="13"/>
      <c r="AH12" s="13"/>
      <c r="AI12" s="13"/>
      <c r="AJ12" s="13"/>
      <c r="AK12" s="13"/>
      <c r="AL12" s="13"/>
      <c r="AM12" s="13"/>
      <c r="AN12" s="13"/>
      <c r="AO12" s="13"/>
      <c r="AP12" s="13"/>
      <c r="AQ12" s="13"/>
      <c r="AR12" s="13"/>
      <c r="AS12" s="13"/>
      <c r="AT12" s="13"/>
      <c r="AU12" s="13"/>
      <c r="AV12" s="13"/>
      <c r="AW12" s="13"/>
      <c r="AX12" s="13"/>
      <c r="AY12" s="13"/>
      <c r="AZ12" s="13"/>
      <c r="BA12" s="13"/>
      <c r="BB12" s="13"/>
      <c r="BC12" s="13"/>
      <c r="BD12" s="13"/>
      <c r="BE12" s="13"/>
      <c r="BF12" s="13"/>
      <c r="BG12" s="13"/>
      <c r="BH12" s="13"/>
      <c r="BI12" s="13"/>
      <c r="BJ12" s="13"/>
      <c r="BK12" s="13"/>
      <c r="BL12" s="13"/>
      <c r="BM12" s="13"/>
      <c r="BN12" s="13"/>
      <c r="BO12" s="13"/>
      <c r="BP12" s="13"/>
      <c r="BQ12" s="13"/>
      <c r="BR12" s="13"/>
      <c r="BS12" s="13"/>
      <c r="BT12" s="13"/>
      <c r="BU12" s="13"/>
      <c r="BV12" s="13"/>
      <c r="BW12" s="13"/>
      <c r="BX12" s="13"/>
      <c r="BY12" s="13"/>
      <c r="BZ12" s="13"/>
      <c r="CA12" s="13"/>
      <c r="CB12" s="13"/>
      <c r="CC12" s="13"/>
      <c r="CD12" s="13"/>
      <c r="CE12" s="13"/>
      <c r="CF12" s="13"/>
      <c r="CG12" s="13"/>
      <c r="CH12" s="13"/>
      <c r="CI12" s="13"/>
      <c r="CJ12" s="13"/>
      <c r="CK12" s="13"/>
      <c r="CL12" s="13"/>
      <c r="CM12" s="13"/>
      <c r="CN12" s="13"/>
      <c r="CO12" s="13"/>
      <c r="CP12" s="13"/>
      <c r="CQ12" s="13"/>
      <c r="CR12" s="13"/>
      <c r="CS12" s="13"/>
      <c r="CT12" s="13"/>
      <c r="CU12" s="13"/>
      <c r="CV12" s="13"/>
      <c r="CW12" s="13"/>
      <c r="CX12" s="13"/>
      <c r="CY12" s="13"/>
      <c r="CZ12" s="13"/>
      <c r="DA12" s="13"/>
      <c r="DB12" s="13"/>
      <c r="DC12" s="13"/>
      <c r="DD12" s="13"/>
      <c r="DE12" s="13"/>
      <c r="DF12" s="13"/>
      <c r="DG12" s="13"/>
      <c r="DH12" s="13"/>
      <c r="DI12" s="13"/>
      <c r="DJ12" s="13"/>
      <c r="DK12" s="13"/>
      <c r="DL12" s="13"/>
      <c r="DM12" s="13"/>
      <c r="DN12" s="13"/>
      <c r="DO12" s="13"/>
      <c r="DP12" s="13"/>
      <c r="DQ12" s="13"/>
      <c r="DR12" s="13"/>
      <c r="DS12" s="13"/>
      <c r="DT12" s="13"/>
      <c r="DU12" s="13"/>
      <c r="DV12" s="13"/>
      <c r="DW12" s="13"/>
    </row>
    <row r="13" spans="1:127">
      <c r="A13" s="13" t="str">
        <f>Schedule_Data_ScenarioA!A14</f>
        <v>JD-01-1</v>
      </c>
      <c r="B13" s="13" t="str">
        <f>Schedule_Data_ScenarioA!B14</f>
        <v>1.0</v>
      </c>
      <c r="C13" s="13" t="str">
        <f>Schedule_Data_ScenarioA!C14</f>
        <v>Jackdown TR1</v>
      </c>
      <c r="D13" s="42" t="str">
        <f>Schedule_Data_ScenarioA!D14</f>
        <v>JACKDOWN</v>
      </c>
      <c r="E13" s="33">
        <f>Schedule_Data_ScenarioA!F14</f>
        <v>46048</v>
      </c>
      <c r="F13" s="33">
        <f>Schedule_Data_ScenarioA!G14</f>
        <v>46048</v>
      </c>
      <c r="G13" s="13">
        <f>Schedule_Data_ScenarioA!H14</f>
        <v>0</v>
      </c>
      <c r="H13" s="13"/>
      <c r="I13" s="13"/>
      <c r="J13" s="13"/>
      <c r="K13" s="13"/>
      <c r="L13" s="13"/>
      <c r="M13" s="13"/>
      <c r="N13" s="13"/>
      <c r="O13" s="13"/>
      <c r="P13" s="13"/>
      <c r="Q13" s="13"/>
      <c r="R13" s="13"/>
      <c r="S13" s="42"/>
      <c r="T13" s="13"/>
      <c r="U13" s="13"/>
      <c r="V13" s="13"/>
      <c r="W13" s="13"/>
      <c r="X13" s="13"/>
      <c r="Y13" s="13"/>
      <c r="Z13" s="13"/>
      <c r="AA13" s="13"/>
      <c r="AB13" s="13"/>
      <c r="AC13" s="13"/>
      <c r="AD13" s="13"/>
      <c r="AE13" s="13"/>
      <c r="AF13" s="13"/>
      <c r="AG13" s="13"/>
      <c r="AH13" s="13"/>
      <c r="AI13" s="13"/>
      <c r="AJ13" s="13"/>
      <c r="AK13" s="13"/>
      <c r="AL13" s="13"/>
      <c r="AM13" s="13"/>
      <c r="AN13" s="13"/>
      <c r="AO13" s="13"/>
      <c r="AP13" s="13"/>
      <c r="AQ13" s="13"/>
      <c r="AR13" s="13"/>
      <c r="AS13" s="13"/>
      <c r="AT13" s="13"/>
      <c r="AU13" s="13"/>
      <c r="AV13" s="13"/>
      <c r="AW13" s="13"/>
      <c r="AX13" s="13"/>
      <c r="AY13" s="13"/>
      <c r="AZ13" s="13"/>
      <c r="BA13" s="13"/>
      <c r="BB13" s="13"/>
      <c r="BC13" s="13"/>
      <c r="BD13" s="13"/>
      <c r="BE13" s="13"/>
      <c r="BF13" s="13"/>
      <c r="BG13" s="13"/>
      <c r="BH13" s="13"/>
      <c r="BI13" s="13"/>
      <c r="BJ13" s="13"/>
      <c r="BK13" s="13"/>
      <c r="BL13" s="13"/>
      <c r="BM13" s="13"/>
      <c r="BN13" s="13"/>
      <c r="BO13" s="13"/>
      <c r="BP13" s="13"/>
      <c r="BQ13" s="13"/>
      <c r="BR13" s="13"/>
      <c r="BS13" s="13"/>
      <c r="BT13" s="13"/>
      <c r="BU13" s="13"/>
      <c r="BV13" s="13"/>
      <c r="BW13" s="13"/>
      <c r="BX13" s="13"/>
      <c r="BY13" s="13"/>
      <c r="BZ13" s="13"/>
      <c r="CA13" s="13"/>
      <c r="CB13" s="13"/>
      <c r="CC13" s="13"/>
      <c r="CD13" s="13"/>
      <c r="CE13" s="13"/>
      <c r="CF13" s="13"/>
      <c r="CG13" s="13"/>
      <c r="CH13" s="13"/>
      <c r="CI13" s="13"/>
      <c r="CJ13" s="13"/>
      <c r="CK13" s="13"/>
      <c r="CL13" s="13"/>
      <c r="CM13" s="13"/>
      <c r="CN13" s="13"/>
      <c r="CO13" s="13"/>
      <c r="CP13" s="13"/>
      <c r="CQ13" s="13"/>
      <c r="CR13" s="13"/>
      <c r="CS13" s="13"/>
      <c r="CT13" s="13"/>
      <c r="CU13" s="13"/>
      <c r="CV13" s="13"/>
      <c r="CW13" s="13"/>
      <c r="CX13" s="13"/>
      <c r="CY13" s="13"/>
      <c r="CZ13" s="13"/>
      <c r="DA13" s="13"/>
      <c r="DB13" s="13"/>
      <c r="DC13" s="13"/>
      <c r="DD13" s="13"/>
      <c r="DE13" s="13"/>
      <c r="DF13" s="13"/>
      <c r="DG13" s="13"/>
      <c r="DH13" s="13"/>
      <c r="DI13" s="13"/>
      <c r="DJ13" s="13"/>
      <c r="DK13" s="13"/>
      <c r="DL13" s="13"/>
      <c r="DM13" s="13"/>
      <c r="DN13" s="13"/>
      <c r="DO13" s="13"/>
      <c r="DP13" s="13"/>
      <c r="DQ13" s="13"/>
      <c r="DR13" s="13"/>
      <c r="DS13" s="13"/>
      <c r="DT13" s="13"/>
      <c r="DU13" s="13"/>
      <c r="DV13" s="13"/>
      <c r="DW13" s="13"/>
    </row>
    <row r="14" spans="1:127">
      <c r="A14" s="13" t="str">
        <f>Schedule_Data_ScenarioA!A15</f>
        <v>RET-01</v>
      </c>
      <c r="B14" s="13" t="str">
        <f>Schedule_Data_ScenarioA!B15</f>
        <v>1.0</v>
      </c>
      <c r="C14" s="13" t="str">
        <f>Schedule_Data_ScenarioA!C15</f>
        <v>LCT Return AGI→MZP</v>
      </c>
      <c r="D14" s="25" t="str">
        <f>Schedule_Data_ScenarioA!D15</f>
        <v>RETURN</v>
      </c>
      <c r="E14" s="33">
        <f>Schedule_Data_ScenarioA!F15</f>
        <v>46049</v>
      </c>
      <c r="F14" s="33">
        <f>Schedule_Data_ScenarioA!G15</f>
        <v>46049</v>
      </c>
      <c r="G14" s="13">
        <f>Schedule_Data_ScenarioA!H15</f>
        <v>0</v>
      </c>
      <c r="H14" s="13"/>
      <c r="I14" s="13"/>
      <c r="J14" s="13"/>
      <c r="K14" s="13"/>
      <c r="L14" s="13"/>
      <c r="M14" s="13"/>
      <c r="N14" s="13"/>
      <c r="O14" s="13"/>
      <c r="P14" s="13"/>
      <c r="Q14" s="13"/>
      <c r="R14" s="13"/>
      <c r="S14" s="13"/>
      <c r="T14" s="25"/>
      <c r="U14" s="13"/>
      <c r="V14" s="13"/>
      <c r="W14" s="13"/>
      <c r="X14" s="13"/>
      <c r="Y14" s="13"/>
      <c r="Z14" s="13"/>
      <c r="AA14" s="13"/>
      <c r="AB14" s="13"/>
      <c r="AC14" s="13"/>
      <c r="AD14" s="13"/>
      <c r="AE14" s="13"/>
      <c r="AF14" s="13"/>
      <c r="AG14" s="13"/>
      <c r="AH14" s="13"/>
      <c r="AI14" s="13"/>
      <c r="AJ14" s="13"/>
      <c r="AK14" s="13"/>
      <c r="AL14" s="13"/>
      <c r="AM14" s="13"/>
      <c r="AN14" s="13"/>
      <c r="AO14" s="13"/>
      <c r="AP14" s="13"/>
      <c r="AQ14" s="13"/>
      <c r="AR14" s="13"/>
      <c r="AS14" s="13"/>
      <c r="AT14" s="13"/>
      <c r="AU14" s="13"/>
      <c r="AV14" s="13"/>
      <c r="AW14" s="13"/>
      <c r="AX14" s="13"/>
      <c r="AY14" s="13"/>
      <c r="AZ14" s="13"/>
      <c r="BA14" s="13"/>
      <c r="BB14" s="13"/>
      <c r="BC14" s="13"/>
      <c r="BD14" s="13"/>
      <c r="BE14" s="13"/>
      <c r="BF14" s="13"/>
      <c r="BG14" s="13"/>
      <c r="BH14" s="13"/>
      <c r="BI14" s="13"/>
      <c r="BJ14" s="13"/>
      <c r="BK14" s="13"/>
      <c r="BL14" s="13"/>
      <c r="BM14" s="13"/>
      <c r="BN14" s="13"/>
      <c r="BO14" s="13"/>
      <c r="BP14" s="13"/>
      <c r="BQ14" s="13"/>
      <c r="BR14" s="13"/>
      <c r="BS14" s="13"/>
      <c r="BT14" s="13"/>
      <c r="BU14" s="13"/>
      <c r="BV14" s="13"/>
      <c r="BW14" s="13"/>
      <c r="BX14" s="13"/>
      <c r="BY14" s="13"/>
      <c r="BZ14" s="13"/>
      <c r="CA14" s="13"/>
      <c r="CB14" s="13"/>
      <c r="CC14" s="13"/>
      <c r="CD14" s="13"/>
      <c r="CE14" s="13"/>
      <c r="CF14" s="13"/>
      <c r="CG14" s="13"/>
      <c r="CH14" s="13"/>
      <c r="CI14" s="13"/>
      <c r="CJ14" s="13"/>
      <c r="CK14" s="13"/>
      <c r="CL14" s="13"/>
      <c r="CM14" s="13"/>
      <c r="CN14" s="13"/>
      <c r="CO14" s="13"/>
      <c r="CP14" s="13"/>
      <c r="CQ14" s="13"/>
      <c r="CR14" s="13"/>
      <c r="CS14" s="13"/>
      <c r="CT14" s="13"/>
      <c r="CU14" s="13"/>
      <c r="CV14" s="13"/>
      <c r="CW14" s="13"/>
      <c r="CX14" s="13"/>
      <c r="CY14" s="13"/>
      <c r="CZ14" s="13"/>
      <c r="DA14" s="13"/>
      <c r="DB14" s="13"/>
      <c r="DC14" s="13"/>
      <c r="DD14" s="13"/>
      <c r="DE14" s="13"/>
      <c r="DF14" s="13"/>
      <c r="DG14" s="13"/>
      <c r="DH14" s="13"/>
      <c r="DI14" s="13"/>
      <c r="DJ14" s="13"/>
      <c r="DK14" s="13"/>
      <c r="DL14" s="13"/>
      <c r="DM14" s="13"/>
      <c r="DN14" s="13"/>
      <c r="DO14" s="13"/>
      <c r="DP14" s="13"/>
      <c r="DQ14" s="13"/>
      <c r="DR14" s="13"/>
      <c r="DS14" s="13"/>
      <c r="DT14" s="13"/>
      <c r="DU14" s="13"/>
      <c r="DV14" s="13"/>
      <c r="DW14" s="13"/>
    </row>
    <row r="15" spans="1:127">
      <c r="A15" s="13" t="str">
        <f>Schedule_Data_ScenarioA!A16</f>
        <v>BUF-01</v>
      </c>
      <c r="B15" s="13" t="str">
        <f>Schedule_Data_ScenarioA!B16</f>
        <v>1.0</v>
      </c>
      <c r="C15" s="13" t="str">
        <f>Schedule_Data_ScenarioA!C16</f>
        <v>Buffer / reset</v>
      </c>
      <c r="D15" s="22" t="str">
        <f>Schedule_Data_ScenarioA!D16</f>
        <v>BUFFER</v>
      </c>
      <c r="E15" s="33">
        <f>Schedule_Data_ScenarioA!F16</f>
        <v>46050</v>
      </c>
      <c r="F15" s="33">
        <f>Schedule_Data_ScenarioA!G16</f>
        <v>46050</v>
      </c>
      <c r="G15" s="13">
        <f>Schedule_Data_ScenarioA!H16</f>
        <v>0</v>
      </c>
      <c r="H15" s="13"/>
      <c r="I15" s="13"/>
      <c r="J15" s="13"/>
      <c r="K15" s="13"/>
      <c r="L15" s="13"/>
      <c r="M15" s="13"/>
      <c r="N15" s="13"/>
      <c r="O15" s="13"/>
      <c r="P15" s="13"/>
      <c r="Q15" s="13"/>
      <c r="R15" s="13"/>
      <c r="S15" s="13"/>
      <c r="T15" s="13"/>
      <c r="U15" s="22"/>
      <c r="V15" s="13"/>
      <c r="W15" s="13"/>
      <c r="X15" s="13"/>
      <c r="Y15" s="13"/>
      <c r="Z15" s="13"/>
      <c r="AA15" s="13"/>
      <c r="AB15" s="13"/>
      <c r="AC15" s="13"/>
      <c r="AD15" s="13"/>
      <c r="AE15" s="13"/>
      <c r="AF15" s="13"/>
      <c r="AG15" s="13"/>
      <c r="AH15" s="13"/>
      <c r="AI15" s="13"/>
      <c r="AJ15" s="13"/>
      <c r="AK15" s="13"/>
      <c r="AL15" s="13"/>
      <c r="AM15" s="13"/>
      <c r="AN15" s="13"/>
      <c r="AO15" s="13"/>
      <c r="AP15" s="13"/>
      <c r="AQ15" s="13"/>
      <c r="AR15" s="13"/>
      <c r="AS15" s="13"/>
      <c r="AT15" s="13"/>
      <c r="AU15" s="13"/>
      <c r="AV15" s="13"/>
      <c r="AW15" s="13"/>
      <c r="AX15" s="13"/>
      <c r="AY15" s="13"/>
      <c r="AZ15" s="13"/>
      <c r="BA15" s="13"/>
      <c r="BB15" s="13"/>
      <c r="BC15" s="13"/>
      <c r="BD15" s="13"/>
      <c r="BE15" s="13"/>
      <c r="BF15" s="13"/>
      <c r="BG15" s="13"/>
      <c r="BH15" s="13"/>
      <c r="BI15" s="13"/>
      <c r="BJ15" s="13"/>
      <c r="BK15" s="13"/>
      <c r="BL15" s="13"/>
      <c r="BM15" s="13"/>
      <c r="BN15" s="13"/>
      <c r="BO15" s="13"/>
      <c r="BP15" s="13"/>
      <c r="BQ15" s="13"/>
      <c r="BR15" s="13"/>
      <c r="BS15" s="13"/>
      <c r="BT15" s="13"/>
      <c r="BU15" s="13"/>
      <c r="BV15" s="13"/>
      <c r="BW15" s="13"/>
      <c r="BX15" s="13"/>
      <c r="BY15" s="13"/>
      <c r="BZ15" s="13"/>
      <c r="CA15" s="13"/>
      <c r="CB15" s="13"/>
      <c r="CC15" s="13"/>
      <c r="CD15" s="13"/>
      <c r="CE15" s="13"/>
      <c r="CF15" s="13"/>
      <c r="CG15" s="13"/>
      <c r="CH15" s="13"/>
      <c r="CI15" s="13"/>
      <c r="CJ15" s="13"/>
      <c r="CK15" s="13"/>
      <c r="CL15" s="13"/>
      <c r="CM15" s="13"/>
      <c r="CN15" s="13"/>
      <c r="CO15" s="13"/>
      <c r="CP15" s="13"/>
      <c r="CQ15" s="13"/>
      <c r="CR15" s="13"/>
      <c r="CS15" s="13"/>
      <c r="CT15" s="13"/>
      <c r="CU15" s="13"/>
      <c r="CV15" s="13"/>
      <c r="CW15" s="13"/>
      <c r="CX15" s="13"/>
      <c r="CY15" s="13"/>
      <c r="CZ15" s="13"/>
      <c r="DA15" s="13"/>
      <c r="DB15" s="13"/>
      <c r="DC15" s="13"/>
      <c r="DD15" s="13"/>
      <c r="DE15" s="13"/>
      <c r="DF15" s="13"/>
      <c r="DG15" s="13"/>
      <c r="DH15" s="13"/>
      <c r="DI15" s="13"/>
      <c r="DJ15" s="13"/>
      <c r="DK15" s="13"/>
      <c r="DL15" s="13"/>
      <c r="DM15" s="13"/>
      <c r="DN15" s="13"/>
      <c r="DO15" s="13"/>
      <c r="DP15" s="13"/>
      <c r="DQ15" s="13"/>
      <c r="DR15" s="13"/>
      <c r="DS15" s="13"/>
      <c r="DT15" s="13"/>
      <c r="DU15" s="13"/>
      <c r="DV15" s="13"/>
      <c r="DW15" s="13"/>
    </row>
    <row r="16" spans="1:127">
      <c r="A16" s="13" t="str">
        <f>Schedule_Data_ScenarioA!A17</f>
        <v>V2</v>
      </c>
      <c r="B16" s="13" t="str">
        <f>Schedule_Data_ScenarioA!B17</f>
        <v>2.0</v>
      </c>
      <c r="C16" s="13" t="str">
        <f>Schedule_Data_ScenarioA!C17</f>
        <v>VOYAGE 2: TR2 Transport</v>
      </c>
      <c r="D16" s="34" t="str">
        <f>Schedule_Data_ScenarioA!D17</f>
        <v>MILESTONE</v>
      </c>
      <c r="E16" s="33">
        <f>Schedule_Data_ScenarioA!F17</f>
        <v>46051</v>
      </c>
      <c r="F16" s="33">
        <f>Schedule_Data_ScenarioA!G17</f>
        <v>46051</v>
      </c>
      <c r="G16" s="13">
        <f>Schedule_Data_ScenarioA!H17</f>
        <v>0</v>
      </c>
      <c r="H16" s="13"/>
      <c r="I16" s="13"/>
      <c r="J16" s="13"/>
      <c r="K16" s="13"/>
      <c r="L16" s="13"/>
      <c r="M16" s="13"/>
      <c r="N16" s="13"/>
      <c r="O16" s="13"/>
      <c r="P16" s="13"/>
      <c r="Q16" s="13"/>
      <c r="R16" s="13"/>
      <c r="S16" s="13"/>
      <c r="T16" s="13"/>
      <c r="U16" s="13"/>
      <c r="V16" s="35" t="s">
        <v>270</v>
      </c>
      <c r="W16" s="13"/>
      <c r="X16" s="13"/>
      <c r="Y16" s="13"/>
      <c r="Z16" s="13"/>
      <c r="AA16" s="13"/>
      <c r="AB16" s="13"/>
      <c r="AC16" s="13"/>
      <c r="AD16" s="13"/>
      <c r="AE16" s="13"/>
      <c r="AF16" s="13"/>
      <c r="AG16" s="13"/>
      <c r="AH16" s="13"/>
      <c r="AI16" s="13"/>
      <c r="AJ16" s="13"/>
      <c r="AK16" s="13"/>
      <c r="AL16" s="13"/>
      <c r="AM16" s="13"/>
      <c r="AN16" s="13"/>
      <c r="AO16" s="13"/>
      <c r="AP16" s="13"/>
      <c r="AQ16" s="13"/>
      <c r="AR16" s="13"/>
      <c r="AS16" s="13"/>
      <c r="AT16" s="13"/>
      <c r="AU16" s="13"/>
      <c r="AV16" s="13"/>
      <c r="AW16" s="13"/>
      <c r="AX16" s="13"/>
      <c r="AY16" s="13"/>
      <c r="AZ16" s="13"/>
      <c r="BA16" s="13"/>
      <c r="BB16" s="13"/>
      <c r="BC16" s="13"/>
      <c r="BD16" s="13"/>
      <c r="BE16" s="13"/>
      <c r="BF16" s="13"/>
      <c r="BG16" s="13"/>
      <c r="BH16" s="13"/>
      <c r="BI16" s="13"/>
      <c r="BJ16" s="13"/>
      <c r="BK16" s="13"/>
      <c r="BL16" s="13"/>
      <c r="BM16" s="13"/>
      <c r="BN16" s="13"/>
      <c r="BO16" s="13"/>
      <c r="BP16" s="13"/>
      <c r="BQ16" s="13"/>
      <c r="BR16" s="13"/>
      <c r="BS16" s="13"/>
      <c r="BT16" s="13"/>
      <c r="BU16" s="13"/>
      <c r="BV16" s="13"/>
      <c r="BW16" s="13"/>
      <c r="BX16" s="13"/>
      <c r="BY16" s="13"/>
      <c r="BZ16" s="13"/>
      <c r="CA16" s="13"/>
      <c r="CB16" s="13"/>
      <c r="CC16" s="13"/>
      <c r="CD16" s="13"/>
      <c r="CE16" s="13"/>
      <c r="CF16" s="13"/>
      <c r="CG16" s="13"/>
      <c r="CH16" s="13"/>
      <c r="CI16" s="13"/>
      <c r="CJ16" s="13"/>
      <c r="CK16" s="13"/>
      <c r="CL16" s="13"/>
      <c r="CM16" s="13"/>
      <c r="CN16" s="13"/>
      <c r="CO16" s="13"/>
      <c r="CP16" s="13"/>
      <c r="CQ16" s="13"/>
      <c r="CR16" s="13"/>
      <c r="CS16" s="13"/>
      <c r="CT16" s="13"/>
      <c r="CU16" s="13"/>
      <c r="CV16" s="13"/>
      <c r="CW16" s="13"/>
      <c r="CX16" s="13"/>
      <c r="CY16" s="13"/>
      <c r="CZ16" s="13"/>
      <c r="DA16" s="13"/>
      <c r="DB16" s="13"/>
      <c r="DC16" s="13"/>
      <c r="DD16" s="13"/>
      <c r="DE16" s="13"/>
      <c r="DF16" s="13"/>
      <c r="DG16" s="13"/>
      <c r="DH16" s="13"/>
      <c r="DI16" s="13"/>
      <c r="DJ16" s="13"/>
      <c r="DK16" s="13"/>
      <c r="DL16" s="13"/>
      <c r="DM16" s="13"/>
      <c r="DN16" s="13"/>
      <c r="DO16" s="13"/>
      <c r="DP16" s="13"/>
      <c r="DQ16" s="13"/>
      <c r="DR16" s="13"/>
      <c r="DS16" s="13"/>
      <c r="DT16" s="13"/>
      <c r="DU16" s="13"/>
      <c r="DV16" s="13"/>
      <c r="DW16" s="13"/>
    </row>
    <row r="17" spans="1:127">
      <c r="A17" s="13" t="str">
        <f>Schedule_Data_ScenarioA!A18</f>
        <v>LO-02</v>
      </c>
      <c r="B17" s="13" t="str">
        <f>Schedule_Data_ScenarioA!B18</f>
        <v>2.0</v>
      </c>
      <c r="C17" s="13" t="str">
        <f>Schedule_Data_ScenarioA!C18</f>
        <v>Loadout TR2 onto LCT</v>
      </c>
      <c r="D17" s="20" t="str">
        <f>Schedule_Data_ScenarioA!D18</f>
        <v>LOADOUT</v>
      </c>
      <c r="E17" s="33">
        <f>Schedule_Data_ScenarioA!F18</f>
        <v>46051</v>
      </c>
      <c r="F17" s="33">
        <f>Schedule_Data_ScenarioA!G18</f>
        <v>46051</v>
      </c>
      <c r="G17" s="13">
        <f>Schedule_Data_ScenarioA!H18</f>
        <v>0</v>
      </c>
      <c r="H17" s="13"/>
      <c r="I17" s="13"/>
      <c r="J17" s="13"/>
      <c r="K17" s="13"/>
      <c r="L17" s="13"/>
      <c r="M17" s="13"/>
      <c r="N17" s="13"/>
      <c r="O17" s="13"/>
      <c r="P17" s="13"/>
      <c r="Q17" s="13"/>
      <c r="R17" s="13"/>
      <c r="S17" s="13"/>
      <c r="T17" s="13"/>
      <c r="U17" s="13"/>
      <c r="V17" s="20"/>
      <c r="W17" s="13"/>
      <c r="X17" s="13"/>
      <c r="Y17" s="13"/>
      <c r="Z17" s="13"/>
      <c r="AA17" s="13"/>
      <c r="AB17" s="13"/>
      <c r="AC17" s="13"/>
      <c r="AD17" s="13"/>
      <c r="AE17" s="13"/>
      <c r="AF17" s="13"/>
      <c r="AG17" s="13"/>
      <c r="AH17" s="13"/>
      <c r="AI17" s="13"/>
      <c r="AJ17" s="13"/>
      <c r="AK17" s="13"/>
      <c r="AL17" s="13"/>
      <c r="AM17" s="13"/>
      <c r="AN17" s="13"/>
      <c r="AO17" s="13"/>
      <c r="AP17" s="13"/>
      <c r="AQ17" s="13"/>
      <c r="AR17" s="13"/>
      <c r="AS17" s="13"/>
      <c r="AT17" s="13"/>
      <c r="AU17" s="13"/>
      <c r="AV17" s="13"/>
      <c r="AW17" s="13"/>
      <c r="AX17" s="13"/>
      <c r="AY17" s="13"/>
      <c r="AZ17" s="13"/>
      <c r="BA17" s="13"/>
      <c r="BB17" s="13"/>
      <c r="BC17" s="13"/>
      <c r="BD17" s="13"/>
      <c r="BE17" s="13"/>
      <c r="BF17" s="13"/>
      <c r="BG17" s="13"/>
      <c r="BH17" s="13"/>
      <c r="BI17" s="13"/>
      <c r="BJ17" s="13"/>
      <c r="BK17" s="13"/>
      <c r="BL17" s="13"/>
      <c r="BM17" s="13"/>
      <c r="BN17" s="13"/>
      <c r="BO17" s="13"/>
      <c r="BP17" s="13"/>
      <c r="BQ17" s="13"/>
      <c r="BR17" s="13"/>
      <c r="BS17" s="13"/>
      <c r="BT17" s="13"/>
      <c r="BU17" s="13"/>
      <c r="BV17" s="13"/>
      <c r="BW17" s="13"/>
      <c r="BX17" s="13"/>
      <c r="BY17" s="13"/>
      <c r="BZ17" s="13"/>
      <c r="CA17" s="13"/>
      <c r="CB17" s="13"/>
      <c r="CC17" s="13"/>
      <c r="CD17" s="13"/>
      <c r="CE17" s="13"/>
      <c r="CF17" s="13"/>
      <c r="CG17" s="13"/>
      <c r="CH17" s="13"/>
      <c r="CI17" s="13"/>
      <c r="CJ17" s="13"/>
      <c r="CK17" s="13"/>
      <c r="CL17" s="13"/>
      <c r="CM17" s="13"/>
      <c r="CN17" s="13"/>
      <c r="CO17" s="13"/>
      <c r="CP17" s="13"/>
      <c r="CQ17" s="13"/>
      <c r="CR17" s="13"/>
      <c r="CS17" s="13"/>
      <c r="CT17" s="13"/>
      <c r="CU17" s="13"/>
      <c r="CV17" s="13"/>
      <c r="CW17" s="13"/>
      <c r="CX17" s="13"/>
      <c r="CY17" s="13"/>
      <c r="CZ17" s="13"/>
      <c r="DA17" s="13"/>
      <c r="DB17" s="13"/>
      <c r="DC17" s="13"/>
      <c r="DD17" s="13"/>
      <c r="DE17" s="13"/>
      <c r="DF17" s="13"/>
      <c r="DG17" s="13"/>
      <c r="DH17" s="13"/>
      <c r="DI17" s="13"/>
      <c r="DJ17" s="13"/>
      <c r="DK17" s="13"/>
      <c r="DL17" s="13"/>
      <c r="DM17" s="13"/>
      <c r="DN17" s="13"/>
      <c r="DO17" s="13"/>
      <c r="DP17" s="13"/>
      <c r="DQ17" s="13"/>
      <c r="DR17" s="13"/>
      <c r="DS17" s="13"/>
      <c r="DT17" s="13"/>
      <c r="DU17" s="13"/>
      <c r="DV17" s="13"/>
      <c r="DW17" s="13"/>
    </row>
    <row r="18" spans="1:127">
      <c r="A18" s="13" t="str">
        <f>Schedule_Data_ScenarioA!A19</f>
        <v>SF-02</v>
      </c>
      <c r="B18" s="13" t="str">
        <f>Schedule_Data_ScenarioA!B19</f>
        <v>2.0</v>
      </c>
      <c r="C18" s="13" t="str">
        <f>Schedule_Data_ScenarioA!C19</f>
        <v>Sea fastening + MWS checks (TR2)</v>
      </c>
      <c r="D18" s="21" t="str">
        <f>Schedule_Data_ScenarioA!D19</f>
        <v>SEAFAST</v>
      </c>
      <c r="E18" s="33">
        <f>Schedule_Data_ScenarioA!F19</f>
        <v>46052</v>
      </c>
      <c r="F18" s="33">
        <f>Schedule_Data_ScenarioA!G19</f>
        <v>46052</v>
      </c>
      <c r="G18" s="13">
        <f>Schedule_Data_ScenarioA!H19</f>
        <v>0</v>
      </c>
      <c r="H18" s="13"/>
      <c r="I18" s="13"/>
      <c r="J18" s="13"/>
      <c r="K18" s="13"/>
      <c r="L18" s="13"/>
      <c r="M18" s="13"/>
      <c r="N18" s="13"/>
      <c r="O18" s="13"/>
      <c r="P18" s="13"/>
      <c r="Q18" s="13"/>
      <c r="R18" s="13"/>
      <c r="S18" s="13"/>
      <c r="T18" s="13"/>
      <c r="U18" s="13"/>
      <c r="V18" s="13"/>
      <c r="W18" s="21"/>
      <c r="X18" s="13"/>
      <c r="Y18" s="13"/>
      <c r="Z18" s="13"/>
      <c r="AA18" s="13"/>
      <c r="AB18" s="13"/>
      <c r="AC18" s="13"/>
      <c r="AD18" s="13"/>
      <c r="AE18" s="13"/>
      <c r="AF18" s="13"/>
      <c r="AG18" s="13"/>
      <c r="AH18" s="13"/>
      <c r="AI18" s="13"/>
      <c r="AJ18" s="13"/>
      <c r="AK18" s="13"/>
      <c r="AL18" s="13"/>
      <c r="AM18" s="13"/>
      <c r="AN18" s="13"/>
      <c r="AO18" s="13"/>
      <c r="AP18" s="13"/>
      <c r="AQ18" s="13"/>
      <c r="AR18" s="13"/>
      <c r="AS18" s="13"/>
      <c r="AT18" s="13"/>
      <c r="AU18" s="13"/>
      <c r="AV18" s="13"/>
      <c r="AW18" s="13"/>
      <c r="AX18" s="13"/>
      <c r="AY18" s="13"/>
      <c r="AZ18" s="13"/>
      <c r="BA18" s="13"/>
      <c r="BB18" s="13"/>
      <c r="BC18" s="13"/>
      <c r="BD18" s="13"/>
      <c r="BE18" s="13"/>
      <c r="BF18" s="13"/>
      <c r="BG18" s="13"/>
      <c r="BH18" s="13"/>
      <c r="BI18" s="13"/>
      <c r="BJ18" s="13"/>
      <c r="BK18" s="13"/>
      <c r="BL18" s="13"/>
      <c r="BM18" s="13"/>
      <c r="BN18" s="13"/>
      <c r="BO18" s="13"/>
      <c r="BP18" s="13"/>
      <c r="BQ18" s="13"/>
      <c r="BR18" s="13"/>
      <c r="BS18" s="13"/>
      <c r="BT18" s="13"/>
      <c r="BU18" s="13"/>
      <c r="BV18" s="13"/>
      <c r="BW18" s="13"/>
      <c r="BX18" s="13"/>
      <c r="BY18" s="13"/>
      <c r="BZ18" s="13"/>
      <c r="CA18" s="13"/>
      <c r="CB18" s="13"/>
      <c r="CC18" s="13"/>
      <c r="CD18" s="13"/>
      <c r="CE18" s="13"/>
      <c r="CF18" s="13"/>
      <c r="CG18" s="13"/>
      <c r="CH18" s="13"/>
      <c r="CI18" s="13"/>
      <c r="CJ18" s="13"/>
      <c r="CK18" s="13"/>
      <c r="CL18" s="13"/>
      <c r="CM18" s="13"/>
      <c r="CN18" s="13"/>
      <c r="CO18" s="13"/>
      <c r="CP18" s="13"/>
      <c r="CQ18" s="13"/>
      <c r="CR18" s="13"/>
      <c r="CS18" s="13"/>
      <c r="CT18" s="13"/>
      <c r="CU18" s="13"/>
      <c r="CV18" s="13"/>
      <c r="CW18" s="13"/>
      <c r="CX18" s="13"/>
      <c r="CY18" s="13"/>
      <c r="CZ18" s="13"/>
      <c r="DA18" s="13"/>
      <c r="DB18" s="13"/>
      <c r="DC18" s="13"/>
      <c r="DD18" s="13"/>
      <c r="DE18" s="13"/>
      <c r="DF18" s="13"/>
      <c r="DG18" s="13"/>
      <c r="DH18" s="13"/>
      <c r="DI18" s="13"/>
      <c r="DJ18" s="13"/>
      <c r="DK18" s="13"/>
      <c r="DL18" s="13"/>
      <c r="DM18" s="13"/>
      <c r="DN18" s="13"/>
      <c r="DO18" s="13"/>
      <c r="DP18" s="13"/>
      <c r="DQ18" s="13"/>
      <c r="DR18" s="13"/>
      <c r="DS18" s="13"/>
      <c r="DT18" s="13"/>
      <c r="DU18" s="13"/>
      <c r="DV18" s="13"/>
      <c r="DW18" s="13"/>
    </row>
    <row r="19" spans="1:127">
      <c r="A19" s="13" t="str">
        <f>Schedule_Data_ScenarioA!A20</f>
        <v>SAIL-02</v>
      </c>
      <c r="B19" s="13" t="str">
        <f>Schedule_Data_ScenarioA!B20</f>
        <v>2.0</v>
      </c>
      <c r="C19" s="13" t="str">
        <f>Schedule_Data_ScenarioA!C20</f>
        <v>Sail-away MZP→AGI</v>
      </c>
      <c r="D19" s="23" t="str">
        <f>Schedule_Data_ScenarioA!D20</f>
        <v>SAIL</v>
      </c>
      <c r="E19" s="33">
        <f>Schedule_Data_ScenarioA!F20</f>
        <v>46053</v>
      </c>
      <c r="F19" s="33">
        <f>Schedule_Data_ScenarioA!G20</f>
        <v>46053</v>
      </c>
      <c r="G19" s="13">
        <f>Schedule_Data_ScenarioA!H20</f>
        <v>0</v>
      </c>
      <c r="H19" s="13"/>
      <c r="I19" s="13"/>
      <c r="J19" s="13"/>
      <c r="K19" s="13"/>
      <c r="L19" s="13"/>
      <c r="M19" s="13"/>
      <c r="N19" s="13"/>
      <c r="O19" s="13"/>
      <c r="P19" s="13"/>
      <c r="Q19" s="13"/>
      <c r="R19" s="13"/>
      <c r="S19" s="13"/>
      <c r="T19" s="13"/>
      <c r="U19" s="13"/>
      <c r="V19" s="13"/>
      <c r="W19" s="13"/>
      <c r="X19" s="23"/>
      <c r="Y19" s="13"/>
      <c r="Z19" s="13"/>
      <c r="AA19" s="13"/>
      <c r="AB19" s="13"/>
      <c r="AC19" s="13"/>
      <c r="AD19" s="13"/>
      <c r="AE19" s="13"/>
      <c r="AF19" s="13"/>
      <c r="AG19" s="13"/>
      <c r="AH19" s="13"/>
      <c r="AI19" s="13"/>
      <c r="AJ19" s="13"/>
      <c r="AK19" s="13"/>
      <c r="AL19" s="13"/>
      <c r="AM19" s="13"/>
      <c r="AN19" s="13"/>
      <c r="AO19" s="13"/>
      <c r="AP19" s="13"/>
      <c r="AQ19" s="13"/>
      <c r="AR19" s="13"/>
      <c r="AS19" s="13"/>
      <c r="AT19" s="13"/>
      <c r="AU19" s="13"/>
      <c r="AV19" s="13"/>
      <c r="AW19" s="13"/>
      <c r="AX19" s="13"/>
      <c r="AY19" s="13"/>
      <c r="AZ19" s="13"/>
      <c r="BA19" s="13"/>
      <c r="BB19" s="13"/>
      <c r="BC19" s="13"/>
      <c r="BD19" s="13"/>
      <c r="BE19" s="13"/>
      <c r="BF19" s="13"/>
      <c r="BG19" s="13"/>
      <c r="BH19" s="13"/>
      <c r="BI19" s="13"/>
      <c r="BJ19" s="13"/>
      <c r="BK19" s="13"/>
      <c r="BL19" s="13"/>
      <c r="BM19" s="13"/>
      <c r="BN19" s="13"/>
      <c r="BO19" s="13"/>
      <c r="BP19" s="13"/>
      <c r="BQ19" s="13"/>
      <c r="BR19" s="13"/>
      <c r="BS19" s="13"/>
      <c r="BT19" s="13"/>
      <c r="BU19" s="13"/>
      <c r="BV19" s="13"/>
      <c r="BW19" s="13"/>
      <c r="BX19" s="13"/>
      <c r="BY19" s="13"/>
      <c r="BZ19" s="13"/>
      <c r="CA19" s="13"/>
      <c r="CB19" s="13"/>
      <c r="CC19" s="13"/>
      <c r="CD19" s="13"/>
      <c r="CE19" s="13"/>
      <c r="CF19" s="13"/>
      <c r="CG19" s="13"/>
      <c r="CH19" s="13"/>
      <c r="CI19" s="13"/>
      <c r="CJ19" s="13"/>
      <c r="CK19" s="13"/>
      <c r="CL19" s="13"/>
      <c r="CM19" s="13"/>
      <c r="CN19" s="13"/>
      <c r="CO19" s="13"/>
      <c r="CP19" s="13"/>
      <c r="CQ19" s="13"/>
      <c r="CR19" s="13"/>
      <c r="CS19" s="13"/>
      <c r="CT19" s="13"/>
      <c r="CU19" s="13"/>
      <c r="CV19" s="13"/>
      <c r="CW19" s="13"/>
      <c r="CX19" s="13"/>
      <c r="CY19" s="13"/>
      <c r="CZ19" s="13"/>
      <c r="DA19" s="13"/>
      <c r="DB19" s="13"/>
      <c r="DC19" s="13"/>
      <c r="DD19" s="13"/>
      <c r="DE19" s="13"/>
      <c r="DF19" s="13"/>
      <c r="DG19" s="13"/>
      <c r="DH19" s="13"/>
      <c r="DI19" s="13"/>
      <c r="DJ19" s="13"/>
      <c r="DK19" s="13"/>
      <c r="DL19" s="13"/>
      <c r="DM19" s="13"/>
      <c r="DN19" s="13"/>
      <c r="DO19" s="13"/>
      <c r="DP19" s="13"/>
      <c r="DQ19" s="13"/>
      <c r="DR19" s="13"/>
      <c r="DS19" s="13"/>
      <c r="DT19" s="13"/>
      <c r="DU19" s="13"/>
      <c r="DV19" s="13"/>
      <c r="DW19" s="13"/>
    </row>
    <row r="20" spans="1:127">
      <c r="A20" s="13" t="str">
        <f>Schedule_Data_ScenarioA!A21</f>
        <v>UL-02-1</v>
      </c>
      <c r="B20" s="13" t="str">
        <f>Schedule_Data_ScenarioA!B21</f>
        <v>2.0</v>
      </c>
      <c r="C20" s="13" t="str">
        <f>Schedule_Data_ScenarioA!C21</f>
        <v>Unload TR2 at AGI (1 unit/day)</v>
      </c>
      <c r="D20" s="24" t="str">
        <f>Schedule_Data_ScenarioA!D21</f>
        <v>AGI_UNLOAD</v>
      </c>
      <c r="E20" s="33">
        <f>Schedule_Data_ScenarioA!F21</f>
        <v>46054</v>
      </c>
      <c r="F20" s="33">
        <f>Schedule_Data_ScenarioA!G21</f>
        <v>46054</v>
      </c>
      <c r="G20" s="13">
        <f>Schedule_Data_ScenarioA!H21</f>
        <v>0</v>
      </c>
      <c r="H20" s="13"/>
      <c r="I20" s="13"/>
      <c r="J20" s="13"/>
      <c r="K20" s="13"/>
      <c r="L20" s="13"/>
      <c r="M20" s="13"/>
      <c r="N20" s="13"/>
      <c r="O20" s="13"/>
      <c r="P20" s="13"/>
      <c r="Q20" s="13"/>
      <c r="R20" s="13"/>
      <c r="S20" s="13"/>
      <c r="T20" s="13"/>
      <c r="U20" s="13"/>
      <c r="V20" s="13"/>
      <c r="W20" s="13"/>
      <c r="X20" s="13"/>
      <c r="Y20" s="24"/>
      <c r="Z20" s="13"/>
      <c r="AA20" s="13"/>
      <c r="AB20" s="13"/>
      <c r="AC20" s="13"/>
      <c r="AD20" s="13"/>
      <c r="AE20" s="13"/>
      <c r="AF20" s="13"/>
      <c r="AG20" s="13"/>
      <c r="AH20" s="13"/>
      <c r="AI20" s="13"/>
      <c r="AJ20" s="13"/>
      <c r="AK20" s="13"/>
      <c r="AL20" s="13"/>
      <c r="AM20" s="13"/>
      <c r="AN20" s="13"/>
      <c r="AO20" s="13"/>
      <c r="AP20" s="13"/>
      <c r="AQ20" s="13"/>
      <c r="AR20" s="13"/>
      <c r="AS20" s="13"/>
      <c r="AT20" s="13"/>
      <c r="AU20" s="13"/>
      <c r="AV20" s="13"/>
      <c r="AW20" s="13"/>
      <c r="AX20" s="13"/>
      <c r="AY20" s="13"/>
      <c r="AZ20" s="13"/>
      <c r="BA20" s="13"/>
      <c r="BB20" s="13"/>
      <c r="BC20" s="13"/>
      <c r="BD20" s="13"/>
      <c r="BE20" s="13"/>
      <c r="BF20" s="13"/>
      <c r="BG20" s="13"/>
      <c r="BH20" s="13"/>
      <c r="BI20" s="13"/>
      <c r="BJ20" s="13"/>
      <c r="BK20" s="13"/>
      <c r="BL20" s="13"/>
      <c r="BM20" s="13"/>
      <c r="BN20" s="13"/>
      <c r="BO20" s="13"/>
      <c r="BP20" s="13"/>
      <c r="BQ20" s="13"/>
      <c r="BR20" s="13"/>
      <c r="BS20" s="13"/>
      <c r="BT20" s="13"/>
      <c r="BU20" s="13"/>
      <c r="BV20" s="13"/>
      <c r="BW20" s="13"/>
      <c r="BX20" s="13"/>
      <c r="BY20" s="13"/>
      <c r="BZ20" s="13"/>
      <c r="CA20" s="13"/>
      <c r="CB20" s="13"/>
      <c r="CC20" s="13"/>
      <c r="CD20" s="13"/>
      <c r="CE20" s="13"/>
      <c r="CF20" s="13"/>
      <c r="CG20" s="13"/>
      <c r="CH20" s="13"/>
      <c r="CI20" s="13"/>
      <c r="CJ20" s="13"/>
      <c r="CK20" s="13"/>
      <c r="CL20" s="13"/>
      <c r="CM20" s="13"/>
      <c r="CN20" s="13"/>
      <c r="CO20" s="13"/>
      <c r="CP20" s="13"/>
      <c r="CQ20" s="13"/>
      <c r="CR20" s="13"/>
      <c r="CS20" s="13"/>
      <c r="CT20" s="13"/>
      <c r="CU20" s="13"/>
      <c r="CV20" s="13"/>
      <c r="CW20" s="13"/>
      <c r="CX20" s="13"/>
      <c r="CY20" s="13"/>
      <c r="CZ20" s="13"/>
      <c r="DA20" s="13"/>
      <c r="DB20" s="13"/>
      <c r="DC20" s="13"/>
      <c r="DD20" s="13"/>
      <c r="DE20" s="13"/>
      <c r="DF20" s="13"/>
      <c r="DG20" s="13"/>
      <c r="DH20" s="13"/>
      <c r="DI20" s="13"/>
      <c r="DJ20" s="13"/>
      <c r="DK20" s="13"/>
      <c r="DL20" s="13"/>
      <c r="DM20" s="13"/>
      <c r="DN20" s="13"/>
      <c r="DO20" s="13"/>
      <c r="DP20" s="13"/>
      <c r="DQ20" s="13"/>
      <c r="DR20" s="13"/>
      <c r="DS20" s="13"/>
      <c r="DT20" s="13"/>
      <c r="DU20" s="13"/>
      <c r="DV20" s="13"/>
      <c r="DW20" s="13"/>
    </row>
    <row r="21" spans="1:127">
      <c r="A21" s="13" t="str">
        <f>Schedule_Data_ScenarioA!A22</f>
        <v>TURN-02-1</v>
      </c>
      <c r="B21" s="13" t="str">
        <f>Schedule_Data_ScenarioA!B22</f>
        <v>2.0</v>
      </c>
      <c r="C21" s="13" t="str">
        <f>Schedule_Data_ScenarioA!C22</f>
        <v>Turning TR2 (90°)</v>
      </c>
      <c r="D21" s="26" t="str">
        <f>Schedule_Data_ScenarioA!D22</f>
        <v>TURNING</v>
      </c>
      <c r="E21" s="33">
        <f>Schedule_Data_ScenarioA!F22</f>
        <v>46055</v>
      </c>
      <c r="F21" s="33">
        <f>Schedule_Data_ScenarioA!G22</f>
        <v>46055</v>
      </c>
      <c r="G21" s="13">
        <f>Schedule_Data_ScenarioA!H22</f>
        <v>0</v>
      </c>
      <c r="H21" s="13"/>
      <c r="I21" s="13"/>
      <c r="J21" s="13"/>
      <c r="K21" s="13"/>
      <c r="L21" s="13"/>
      <c r="M21" s="13"/>
      <c r="N21" s="13"/>
      <c r="O21" s="13"/>
      <c r="P21" s="13"/>
      <c r="Q21" s="13"/>
      <c r="R21" s="13"/>
      <c r="S21" s="13"/>
      <c r="T21" s="13"/>
      <c r="U21" s="13"/>
      <c r="V21" s="13"/>
      <c r="W21" s="13"/>
      <c r="X21" s="13"/>
      <c r="Y21" s="13"/>
      <c r="Z21" s="26"/>
      <c r="AA21" s="13"/>
      <c r="AB21" s="13"/>
      <c r="AC21" s="13"/>
      <c r="AD21" s="13"/>
      <c r="AE21" s="13"/>
      <c r="AF21" s="13"/>
      <c r="AG21" s="13"/>
      <c r="AH21" s="13"/>
      <c r="AI21" s="13"/>
      <c r="AJ21" s="13"/>
      <c r="AK21" s="13"/>
      <c r="AL21" s="13"/>
      <c r="AM21" s="13"/>
      <c r="AN21" s="13"/>
      <c r="AO21" s="13"/>
      <c r="AP21" s="13"/>
      <c r="AQ21" s="13"/>
      <c r="AR21" s="13"/>
      <c r="AS21" s="13"/>
      <c r="AT21" s="13"/>
      <c r="AU21" s="13"/>
      <c r="AV21" s="13"/>
      <c r="AW21" s="13"/>
      <c r="AX21" s="13"/>
      <c r="AY21" s="13"/>
      <c r="AZ21" s="13"/>
      <c r="BA21" s="13"/>
      <c r="BB21" s="13"/>
      <c r="BC21" s="13"/>
      <c r="BD21" s="13"/>
      <c r="BE21" s="13"/>
      <c r="BF21" s="13"/>
      <c r="BG21" s="13"/>
      <c r="BH21" s="13"/>
      <c r="BI21" s="13"/>
      <c r="BJ21" s="13"/>
      <c r="BK21" s="13"/>
      <c r="BL21" s="13"/>
      <c r="BM21" s="13"/>
      <c r="BN21" s="13"/>
      <c r="BO21" s="13"/>
      <c r="BP21" s="13"/>
      <c r="BQ21" s="13"/>
      <c r="BR21" s="13"/>
      <c r="BS21" s="13"/>
      <c r="BT21" s="13"/>
      <c r="BU21" s="13"/>
      <c r="BV21" s="13"/>
      <c r="BW21" s="13"/>
      <c r="BX21" s="13"/>
      <c r="BY21" s="13"/>
      <c r="BZ21" s="13"/>
      <c r="CA21" s="13"/>
      <c r="CB21" s="13"/>
      <c r="CC21" s="13"/>
      <c r="CD21" s="13"/>
      <c r="CE21" s="13"/>
      <c r="CF21" s="13"/>
      <c r="CG21" s="13"/>
      <c r="CH21" s="13"/>
      <c r="CI21" s="13"/>
      <c r="CJ21" s="13"/>
      <c r="CK21" s="13"/>
      <c r="CL21" s="13"/>
      <c r="CM21" s="13"/>
      <c r="CN21" s="13"/>
      <c r="CO21" s="13"/>
      <c r="CP21" s="13"/>
      <c r="CQ21" s="13"/>
      <c r="CR21" s="13"/>
      <c r="CS21" s="13"/>
      <c r="CT21" s="13"/>
      <c r="CU21" s="13"/>
      <c r="CV21" s="13"/>
      <c r="CW21" s="13"/>
      <c r="CX21" s="13"/>
      <c r="CY21" s="13"/>
      <c r="CZ21" s="13"/>
      <c r="DA21" s="13"/>
      <c r="DB21" s="13"/>
      <c r="DC21" s="13"/>
      <c r="DD21" s="13"/>
      <c r="DE21" s="13"/>
      <c r="DF21" s="13"/>
      <c r="DG21" s="13"/>
      <c r="DH21" s="13"/>
      <c r="DI21" s="13"/>
      <c r="DJ21" s="13"/>
      <c r="DK21" s="13"/>
      <c r="DL21" s="13"/>
      <c r="DM21" s="13"/>
      <c r="DN21" s="13"/>
      <c r="DO21" s="13"/>
      <c r="DP21" s="13"/>
      <c r="DQ21" s="13"/>
      <c r="DR21" s="13"/>
      <c r="DS21" s="13"/>
      <c r="DT21" s="13"/>
      <c r="DU21" s="13"/>
      <c r="DV21" s="13"/>
      <c r="DW21" s="13"/>
    </row>
    <row r="22" spans="1:127">
      <c r="A22" s="13" t="str">
        <f>Schedule_Data_ScenarioA!A23</f>
        <v>JD-02-1</v>
      </c>
      <c r="B22" s="13" t="str">
        <f>Schedule_Data_ScenarioA!B23</f>
        <v>2.0</v>
      </c>
      <c r="C22" s="13" t="str">
        <f>Schedule_Data_ScenarioA!C23</f>
        <v>Jackdown TR2</v>
      </c>
      <c r="D22" s="42" t="str">
        <f>Schedule_Data_ScenarioA!D23</f>
        <v>JACKDOWN</v>
      </c>
      <c r="E22" s="33">
        <f>Schedule_Data_ScenarioA!F23</f>
        <v>46058</v>
      </c>
      <c r="F22" s="33">
        <f>Schedule_Data_ScenarioA!G23</f>
        <v>46058</v>
      </c>
      <c r="G22" s="13">
        <f>Schedule_Data_ScenarioA!H23</f>
        <v>0</v>
      </c>
      <c r="H22" s="13"/>
      <c r="I22" s="13"/>
      <c r="J22" s="13"/>
      <c r="K22" s="13"/>
      <c r="L22" s="13"/>
      <c r="M22" s="13"/>
      <c r="N22" s="13"/>
      <c r="O22" s="13"/>
      <c r="P22" s="13"/>
      <c r="Q22" s="13"/>
      <c r="R22" s="13"/>
      <c r="S22" s="13"/>
      <c r="T22" s="13"/>
      <c r="U22" s="13"/>
      <c r="V22" s="13"/>
      <c r="W22" s="13"/>
      <c r="X22" s="13"/>
      <c r="Y22" s="13"/>
      <c r="Z22" s="13"/>
      <c r="AA22" s="13"/>
      <c r="AB22" s="13"/>
      <c r="AC22" s="42"/>
      <c r="AD22" s="13"/>
      <c r="AE22" s="13"/>
      <c r="AF22" s="13"/>
      <c r="AG22" s="13"/>
      <c r="AH22" s="13"/>
      <c r="AI22" s="13"/>
      <c r="AJ22" s="13"/>
      <c r="AK22" s="13"/>
      <c r="AL22" s="13"/>
      <c r="AM22" s="13"/>
      <c r="AN22" s="13"/>
      <c r="AO22" s="13"/>
      <c r="AP22" s="13"/>
      <c r="AQ22" s="13"/>
      <c r="AR22" s="13"/>
      <c r="AS22" s="13"/>
      <c r="AT22" s="13"/>
      <c r="AU22" s="13"/>
      <c r="AV22" s="13"/>
      <c r="AW22" s="13"/>
      <c r="AX22" s="13"/>
      <c r="AY22" s="13"/>
      <c r="AZ22" s="13"/>
      <c r="BA22" s="13"/>
      <c r="BB22" s="13"/>
      <c r="BC22" s="13"/>
      <c r="BD22" s="13"/>
      <c r="BE22" s="13"/>
      <c r="BF22" s="13"/>
      <c r="BG22" s="13"/>
      <c r="BH22" s="13"/>
      <c r="BI22" s="13"/>
      <c r="BJ22" s="13"/>
      <c r="BK22" s="13"/>
      <c r="BL22" s="13"/>
      <c r="BM22" s="13"/>
      <c r="BN22" s="13"/>
      <c r="BO22" s="13"/>
      <c r="BP22" s="13"/>
      <c r="BQ22" s="13"/>
      <c r="BR22" s="13"/>
      <c r="BS22" s="13"/>
      <c r="BT22" s="13"/>
      <c r="BU22" s="13"/>
      <c r="BV22" s="13"/>
      <c r="BW22" s="13"/>
      <c r="BX22" s="13"/>
      <c r="BY22" s="13"/>
      <c r="BZ22" s="13"/>
      <c r="CA22" s="13"/>
      <c r="CB22" s="13"/>
      <c r="CC22" s="13"/>
      <c r="CD22" s="13"/>
      <c r="CE22" s="13"/>
      <c r="CF22" s="13"/>
      <c r="CG22" s="13"/>
      <c r="CH22" s="13"/>
      <c r="CI22" s="13"/>
      <c r="CJ22" s="13"/>
      <c r="CK22" s="13"/>
      <c r="CL22" s="13"/>
      <c r="CM22" s="13"/>
      <c r="CN22" s="13"/>
      <c r="CO22" s="13"/>
      <c r="CP22" s="13"/>
      <c r="CQ22" s="13"/>
      <c r="CR22" s="13"/>
      <c r="CS22" s="13"/>
      <c r="CT22" s="13"/>
      <c r="CU22" s="13"/>
      <c r="CV22" s="13"/>
      <c r="CW22" s="13"/>
      <c r="CX22" s="13"/>
      <c r="CY22" s="13"/>
      <c r="CZ22" s="13"/>
      <c r="DA22" s="13"/>
      <c r="DB22" s="13"/>
      <c r="DC22" s="13"/>
      <c r="DD22" s="13"/>
      <c r="DE22" s="13"/>
      <c r="DF22" s="13"/>
      <c r="DG22" s="13"/>
      <c r="DH22" s="13"/>
      <c r="DI22" s="13"/>
      <c r="DJ22" s="13"/>
      <c r="DK22" s="13"/>
      <c r="DL22" s="13"/>
      <c r="DM22" s="13"/>
      <c r="DN22" s="13"/>
      <c r="DO22" s="13"/>
      <c r="DP22" s="13"/>
      <c r="DQ22" s="13"/>
      <c r="DR22" s="13"/>
      <c r="DS22" s="13"/>
      <c r="DT22" s="13"/>
      <c r="DU22" s="13"/>
      <c r="DV22" s="13"/>
      <c r="DW22" s="13"/>
    </row>
    <row r="23" spans="1:127">
      <c r="A23" s="13" t="str">
        <f>Schedule_Data_ScenarioA!A24</f>
        <v>RET-02</v>
      </c>
      <c r="B23" s="13" t="str">
        <f>Schedule_Data_ScenarioA!B24</f>
        <v>2.0</v>
      </c>
      <c r="C23" s="13" t="str">
        <f>Schedule_Data_ScenarioA!C24</f>
        <v>LCT Return AGI→MZP</v>
      </c>
      <c r="D23" s="25" t="str">
        <f>Schedule_Data_ScenarioA!D24</f>
        <v>RETURN</v>
      </c>
      <c r="E23" s="33">
        <f>Schedule_Data_ScenarioA!F24</f>
        <v>46059</v>
      </c>
      <c r="F23" s="33">
        <f>Schedule_Data_ScenarioA!G24</f>
        <v>46059</v>
      </c>
      <c r="G23" s="13">
        <f>Schedule_Data_ScenarioA!H24</f>
        <v>0</v>
      </c>
      <c r="H23" s="13"/>
      <c r="I23" s="13"/>
      <c r="J23" s="13"/>
      <c r="K23" s="13"/>
      <c r="L23" s="13"/>
      <c r="M23" s="13"/>
      <c r="N23" s="13"/>
      <c r="O23" s="13"/>
      <c r="P23" s="13"/>
      <c r="Q23" s="13"/>
      <c r="R23" s="13"/>
      <c r="S23" s="13"/>
      <c r="T23" s="13"/>
      <c r="U23" s="13"/>
      <c r="V23" s="13"/>
      <c r="W23" s="13"/>
      <c r="X23" s="13"/>
      <c r="Y23" s="13"/>
      <c r="Z23" s="13"/>
      <c r="AA23" s="13"/>
      <c r="AB23" s="13"/>
      <c r="AC23" s="13"/>
      <c r="AD23" s="25"/>
      <c r="AE23" s="13"/>
      <c r="AF23" s="13"/>
      <c r="AG23" s="13"/>
      <c r="AH23" s="13"/>
      <c r="AI23" s="13"/>
      <c r="AJ23" s="13"/>
      <c r="AK23" s="13"/>
      <c r="AL23" s="13"/>
      <c r="AM23" s="13"/>
      <c r="AN23" s="13"/>
      <c r="AO23" s="13"/>
      <c r="AP23" s="13"/>
      <c r="AQ23" s="13"/>
      <c r="AR23" s="13"/>
      <c r="AS23" s="13"/>
      <c r="AT23" s="13"/>
      <c r="AU23" s="13"/>
      <c r="AV23" s="13"/>
      <c r="AW23" s="13"/>
      <c r="AX23" s="13"/>
      <c r="AY23" s="13"/>
      <c r="AZ23" s="13"/>
      <c r="BA23" s="13"/>
      <c r="BB23" s="13"/>
      <c r="BC23" s="13"/>
      <c r="BD23" s="13"/>
      <c r="BE23" s="13"/>
      <c r="BF23" s="13"/>
      <c r="BG23" s="13"/>
      <c r="BH23" s="13"/>
      <c r="BI23" s="13"/>
      <c r="BJ23" s="13"/>
      <c r="BK23" s="13"/>
      <c r="BL23" s="13"/>
      <c r="BM23" s="13"/>
      <c r="BN23" s="13"/>
      <c r="BO23" s="13"/>
      <c r="BP23" s="13"/>
      <c r="BQ23" s="13"/>
      <c r="BR23" s="13"/>
      <c r="BS23" s="13"/>
      <c r="BT23" s="13"/>
      <c r="BU23" s="13"/>
      <c r="BV23" s="13"/>
      <c r="BW23" s="13"/>
      <c r="BX23" s="13"/>
      <c r="BY23" s="13"/>
      <c r="BZ23" s="13"/>
      <c r="CA23" s="13"/>
      <c r="CB23" s="13"/>
      <c r="CC23" s="13"/>
      <c r="CD23" s="13"/>
      <c r="CE23" s="13"/>
      <c r="CF23" s="13"/>
      <c r="CG23" s="13"/>
      <c r="CH23" s="13"/>
      <c r="CI23" s="13"/>
      <c r="CJ23" s="13"/>
      <c r="CK23" s="13"/>
      <c r="CL23" s="13"/>
      <c r="CM23" s="13"/>
      <c r="CN23" s="13"/>
      <c r="CO23" s="13"/>
      <c r="CP23" s="13"/>
      <c r="CQ23" s="13"/>
      <c r="CR23" s="13"/>
      <c r="CS23" s="13"/>
      <c r="CT23" s="13"/>
      <c r="CU23" s="13"/>
      <c r="CV23" s="13"/>
      <c r="CW23" s="13"/>
      <c r="CX23" s="13"/>
      <c r="CY23" s="13"/>
      <c r="CZ23" s="13"/>
      <c r="DA23" s="13"/>
      <c r="DB23" s="13"/>
      <c r="DC23" s="13"/>
      <c r="DD23" s="13"/>
      <c r="DE23" s="13"/>
      <c r="DF23" s="13"/>
      <c r="DG23" s="13"/>
      <c r="DH23" s="13"/>
      <c r="DI23" s="13"/>
      <c r="DJ23" s="13"/>
      <c r="DK23" s="13"/>
      <c r="DL23" s="13"/>
      <c r="DM23" s="13"/>
      <c r="DN23" s="13"/>
      <c r="DO23" s="13"/>
      <c r="DP23" s="13"/>
      <c r="DQ23" s="13"/>
      <c r="DR23" s="13"/>
      <c r="DS23" s="13"/>
      <c r="DT23" s="13"/>
      <c r="DU23" s="13"/>
      <c r="DV23" s="13"/>
      <c r="DW23" s="13"/>
    </row>
    <row r="24" spans="1:127">
      <c r="A24" s="13" t="str">
        <f>Schedule_Data_ScenarioA!A25</f>
        <v>BUF-02</v>
      </c>
      <c r="B24" s="13" t="str">
        <f>Schedule_Data_ScenarioA!B25</f>
        <v>2.0</v>
      </c>
      <c r="C24" s="13" t="str">
        <f>Schedule_Data_ScenarioA!C25</f>
        <v>Buffer / reset</v>
      </c>
      <c r="D24" s="22" t="str">
        <f>Schedule_Data_ScenarioA!D25</f>
        <v>BUFFER</v>
      </c>
      <c r="E24" s="33">
        <f>Schedule_Data_ScenarioA!F25</f>
        <v>46060</v>
      </c>
      <c r="F24" s="33">
        <f>Schedule_Data_ScenarioA!G25</f>
        <v>46060</v>
      </c>
      <c r="G24" s="13">
        <f>Schedule_Data_ScenarioA!H25</f>
        <v>0</v>
      </c>
      <c r="H24" s="13"/>
      <c r="I24" s="13"/>
      <c r="J24" s="13"/>
      <c r="K24" s="13"/>
      <c r="L24" s="13"/>
      <c r="M24" s="13"/>
      <c r="N24" s="13"/>
      <c r="O24" s="13"/>
      <c r="P24" s="13"/>
      <c r="Q24" s="13"/>
      <c r="R24" s="13"/>
      <c r="S24" s="13"/>
      <c r="T24" s="13"/>
      <c r="U24" s="13"/>
      <c r="V24" s="13"/>
      <c r="W24" s="13"/>
      <c r="X24" s="13"/>
      <c r="Y24" s="13"/>
      <c r="Z24" s="13"/>
      <c r="AA24" s="13"/>
      <c r="AB24" s="13"/>
      <c r="AC24" s="13"/>
      <c r="AD24" s="13"/>
      <c r="AE24" s="22"/>
      <c r="AF24" s="13"/>
      <c r="AG24" s="13"/>
      <c r="AH24" s="13"/>
      <c r="AI24" s="13"/>
      <c r="AJ24" s="13"/>
      <c r="AK24" s="13"/>
      <c r="AL24" s="13"/>
      <c r="AM24" s="13"/>
      <c r="AN24" s="13"/>
      <c r="AO24" s="13"/>
      <c r="AP24" s="13"/>
      <c r="AQ24" s="13"/>
      <c r="AR24" s="13"/>
      <c r="AS24" s="13"/>
      <c r="AT24" s="13"/>
      <c r="AU24" s="13"/>
      <c r="AV24" s="13"/>
      <c r="AW24" s="13"/>
      <c r="AX24" s="13"/>
      <c r="AY24" s="13"/>
      <c r="AZ24" s="13"/>
      <c r="BA24" s="13"/>
      <c r="BB24" s="13"/>
      <c r="BC24" s="13"/>
      <c r="BD24" s="13"/>
      <c r="BE24" s="13"/>
      <c r="BF24" s="13"/>
      <c r="BG24" s="13"/>
      <c r="BH24" s="13"/>
      <c r="BI24" s="13"/>
      <c r="BJ24" s="13"/>
      <c r="BK24" s="13"/>
      <c r="BL24" s="13"/>
      <c r="BM24" s="13"/>
      <c r="BN24" s="13"/>
      <c r="BO24" s="13"/>
      <c r="BP24" s="13"/>
      <c r="BQ24" s="13"/>
      <c r="BR24" s="13"/>
      <c r="BS24" s="13"/>
      <c r="BT24" s="13"/>
      <c r="BU24" s="13"/>
      <c r="BV24" s="13"/>
      <c r="BW24" s="13"/>
      <c r="BX24" s="13"/>
      <c r="BY24" s="13"/>
      <c r="BZ24" s="13"/>
      <c r="CA24" s="13"/>
      <c r="CB24" s="13"/>
      <c r="CC24" s="13"/>
      <c r="CD24" s="13"/>
      <c r="CE24" s="13"/>
      <c r="CF24" s="13"/>
      <c r="CG24" s="13"/>
      <c r="CH24" s="13"/>
      <c r="CI24" s="13"/>
      <c r="CJ24" s="13"/>
      <c r="CK24" s="13"/>
      <c r="CL24" s="13"/>
      <c r="CM24" s="13"/>
      <c r="CN24" s="13"/>
      <c r="CO24" s="13"/>
      <c r="CP24" s="13"/>
      <c r="CQ24" s="13"/>
      <c r="CR24" s="13"/>
      <c r="CS24" s="13"/>
      <c r="CT24" s="13"/>
      <c r="CU24" s="13"/>
      <c r="CV24" s="13"/>
      <c r="CW24" s="13"/>
      <c r="CX24" s="13"/>
      <c r="CY24" s="13"/>
      <c r="CZ24" s="13"/>
      <c r="DA24" s="13"/>
      <c r="DB24" s="13"/>
      <c r="DC24" s="13"/>
      <c r="DD24" s="13"/>
      <c r="DE24" s="13"/>
      <c r="DF24" s="13"/>
      <c r="DG24" s="13"/>
      <c r="DH24" s="13"/>
      <c r="DI24" s="13"/>
      <c r="DJ24" s="13"/>
      <c r="DK24" s="13"/>
      <c r="DL24" s="13"/>
      <c r="DM24" s="13"/>
      <c r="DN24" s="13"/>
      <c r="DO24" s="13"/>
      <c r="DP24" s="13"/>
      <c r="DQ24" s="13"/>
      <c r="DR24" s="13"/>
      <c r="DS24" s="13"/>
      <c r="DT24" s="13"/>
      <c r="DU24" s="13"/>
      <c r="DV24" s="13"/>
      <c r="DW24" s="13"/>
    </row>
    <row r="25" spans="1:127">
      <c r="A25" s="13" t="str">
        <f>Schedule_Data_ScenarioA!A26</f>
        <v>V3</v>
      </c>
      <c r="B25" s="13" t="str">
        <f>Schedule_Data_ScenarioA!B26</f>
        <v>3.0</v>
      </c>
      <c r="C25" s="13" t="str">
        <f>Schedule_Data_ScenarioA!C26</f>
        <v>VOYAGE 3: TR3 Transport</v>
      </c>
      <c r="D25" s="34" t="str">
        <f>Schedule_Data_ScenarioA!D26</f>
        <v>MILESTONE</v>
      </c>
      <c r="E25" s="33">
        <f>Schedule_Data_ScenarioA!F26</f>
        <v>46068</v>
      </c>
      <c r="F25" s="33">
        <f>Schedule_Data_ScenarioA!G26</f>
        <v>46068</v>
      </c>
      <c r="G25" s="13">
        <f>Schedule_Data_ScenarioA!H26</f>
        <v>0</v>
      </c>
      <c r="H25" s="13"/>
      <c r="I25" s="13"/>
      <c r="J25" s="13"/>
      <c r="K25" s="13"/>
      <c r="L25" s="13"/>
      <c r="M25" s="13"/>
      <c r="N25" s="13"/>
      <c r="O25" s="13"/>
      <c r="P25" s="13"/>
      <c r="Q25" s="13"/>
      <c r="R25" s="13"/>
      <c r="S25" s="13"/>
      <c r="T25" s="13"/>
      <c r="U25" s="13"/>
      <c r="V25" s="13"/>
      <c r="W25" s="13"/>
      <c r="X25" s="13"/>
      <c r="Y25" s="13"/>
      <c r="Z25" s="13"/>
      <c r="AA25" s="13"/>
      <c r="AB25" s="13"/>
      <c r="AC25" s="13"/>
      <c r="AD25" s="13"/>
      <c r="AE25" s="13"/>
      <c r="AF25" s="13"/>
      <c r="AG25" s="13"/>
      <c r="AH25" s="13"/>
      <c r="AI25" s="13"/>
      <c r="AJ25" s="13"/>
      <c r="AK25" s="13"/>
      <c r="AL25" s="13"/>
      <c r="AM25" s="35" t="s">
        <v>270</v>
      </c>
      <c r="AN25" s="13"/>
      <c r="AO25" s="13"/>
      <c r="AP25" s="13"/>
      <c r="AQ25" s="13"/>
      <c r="AR25" s="13"/>
      <c r="AS25" s="13"/>
      <c r="AT25" s="13"/>
      <c r="AU25" s="13"/>
      <c r="AV25" s="13"/>
      <c r="AW25" s="13"/>
      <c r="AX25" s="13"/>
      <c r="AY25" s="13"/>
      <c r="AZ25" s="13"/>
      <c r="BA25" s="13"/>
      <c r="BB25" s="13"/>
      <c r="BC25" s="13"/>
      <c r="BD25" s="13"/>
      <c r="BE25" s="13"/>
      <c r="BF25" s="13"/>
      <c r="BG25" s="13"/>
      <c r="BH25" s="13"/>
      <c r="BI25" s="13"/>
      <c r="BJ25" s="13"/>
      <c r="BK25" s="13"/>
      <c r="BL25" s="13"/>
      <c r="BM25" s="13"/>
      <c r="BN25" s="13"/>
      <c r="BO25" s="13"/>
      <c r="BP25" s="13"/>
      <c r="BQ25" s="13"/>
      <c r="BR25" s="13"/>
      <c r="BS25" s="13"/>
      <c r="BT25" s="13"/>
      <c r="BU25" s="13"/>
      <c r="BV25" s="13"/>
      <c r="BW25" s="13"/>
      <c r="BX25" s="13"/>
      <c r="BY25" s="13"/>
      <c r="BZ25" s="13"/>
      <c r="CA25" s="13"/>
      <c r="CB25" s="13"/>
      <c r="CC25" s="13"/>
      <c r="CD25" s="13"/>
      <c r="CE25" s="13"/>
      <c r="CF25" s="13"/>
      <c r="CG25" s="13"/>
      <c r="CH25" s="13"/>
      <c r="CI25" s="13"/>
      <c r="CJ25" s="13"/>
      <c r="CK25" s="13"/>
      <c r="CL25" s="13"/>
      <c r="CM25" s="13"/>
      <c r="CN25" s="13"/>
      <c r="CO25" s="13"/>
      <c r="CP25" s="13"/>
      <c r="CQ25" s="13"/>
      <c r="CR25" s="13"/>
      <c r="CS25" s="13"/>
      <c r="CT25" s="13"/>
      <c r="CU25" s="13"/>
      <c r="CV25" s="13"/>
      <c r="CW25" s="13"/>
      <c r="CX25" s="13"/>
      <c r="CY25" s="13"/>
      <c r="CZ25" s="13"/>
      <c r="DA25" s="13"/>
      <c r="DB25" s="13"/>
      <c r="DC25" s="13"/>
      <c r="DD25" s="13"/>
      <c r="DE25" s="13"/>
      <c r="DF25" s="13"/>
      <c r="DG25" s="13"/>
      <c r="DH25" s="13"/>
      <c r="DI25" s="13"/>
      <c r="DJ25" s="13"/>
      <c r="DK25" s="13"/>
      <c r="DL25" s="13"/>
      <c r="DM25" s="13"/>
      <c r="DN25" s="13"/>
      <c r="DO25" s="13"/>
      <c r="DP25" s="13"/>
      <c r="DQ25" s="13"/>
      <c r="DR25" s="13"/>
      <c r="DS25" s="13"/>
      <c r="DT25" s="13"/>
      <c r="DU25" s="13"/>
      <c r="DV25" s="13"/>
      <c r="DW25" s="13"/>
    </row>
    <row r="26" spans="1:127">
      <c r="A26" s="13" t="str">
        <f>Schedule_Data_ScenarioA!A27</f>
        <v>LO-03</v>
      </c>
      <c r="B26" s="13" t="str">
        <f>Schedule_Data_ScenarioA!B27</f>
        <v>3.0</v>
      </c>
      <c r="C26" s="13" t="str">
        <f>Schedule_Data_ScenarioA!C27</f>
        <v>Loadout TR3 onto LCT</v>
      </c>
      <c r="D26" s="20" t="str">
        <f>Schedule_Data_ScenarioA!D27</f>
        <v>LOADOUT</v>
      </c>
      <c r="E26" s="33">
        <f>Schedule_Data_ScenarioA!F27</f>
        <v>46068</v>
      </c>
      <c r="F26" s="33">
        <f>Schedule_Data_ScenarioA!G27</f>
        <v>46068</v>
      </c>
      <c r="G26" s="13">
        <f>Schedule_Data_ScenarioA!H27</f>
        <v>0</v>
      </c>
      <c r="H26" s="13"/>
      <c r="I26" s="13"/>
      <c r="J26" s="13"/>
      <c r="K26" s="13"/>
      <c r="L26" s="13"/>
      <c r="M26" s="13"/>
      <c r="N26" s="13"/>
      <c r="O26" s="13"/>
      <c r="P26" s="13"/>
      <c r="Q26" s="13"/>
      <c r="R26" s="13"/>
      <c r="S26" s="13"/>
      <c r="T26" s="13"/>
      <c r="U26" s="13"/>
      <c r="V26" s="13"/>
      <c r="W26" s="13"/>
      <c r="X26" s="13"/>
      <c r="Y26" s="13"/>
      <c r="Z26" s="13"/>
      <c r="AA26" s="13"/>
      <c r="AB26" s="13"/>
      <c r="AC26" s="13"/>
      <c r="AD26" s="13"/>
      <c r="AE26" s="13"/>
      <c r="AF26" s="13"/>
      <c r="AG26" s="13"/>
      <c r="AH26" s="13"/>
      <c r="AI26" s="13"/>
      <c r="AJ26" s="13"/>
      <c r="AK26" s="13"/>
      <c r="AL26" s="13"/>
      <c r="AM26" s="20"/>
      <c r="AN26" s="13"/>
      <c r="AO26" s="13"/>
      <c r="AP26" s="13"/>
      <c r="AQ26" s="13"/>
      <c r="AR26" s="13"/>
      <c r="AS26" s="13"/>
      <c r="AT26" s="13"/>
      <c r="AU26" s="13"/>
      <c r="AV26" s="13"/>
      <c r="AW26" s="13"/>
      <c r="AX26" s="13"/>
      <c r="AY26" s="13"/>
      <c r="AZ26" s="13"/>
      <c r="BA26" s="13"/>
      <c r="BB26" s="13"/>
      <c r="BC26" s="13"/>
      <c r="BD26" s="13"/>
      <c r="BE26" s="13"/>
      <c r="BF26" s="13"/>
      <c r="BG26" s="13"/>
      <c r="BH26" s="13"/>
      <c r="BI26" s="13"/>
      <c r="BJ26" s="13"/>
      <c r="BK26" s="13"/>
      <c r="BL26" s="13"/>
      <c r="BM26" s="13"/>
      <c r="BN26" s="13"/>
      <c r="BO26" s="13"/>
      <c r="BP26" s="13"/>
      <c r="BQ26" s="13"/>
      <c r="BR26" s="13"/>
      <c r="BS26" s="13"/>
      <c r="BT26" s="13"/>
      <c r="BU26" s="13"/>
      <c r="BV26" s="13"/>
      <c r="BW26" s="13"/>
      <c r="BX26" s="13"/>
      <c r="BY26" s="13"/>
      <c r="BZ26" s="13"/>
      <c r="CA26" s="13"/>
      <c r="CB26" s="13"/>
      <c r="CC26" s="13"/>
      <c r="CD26" s="13"/>
      <c r="CE26" s="13"/>
      <c r="CF26" s="13"/>
      <c r="CG26" s="13"/>
      <c r="CH26" s="13"/>
      <c r="CI26" s="13"/>
      <c r="CJ26" s="13"/>
      <c r="CK26" s="13"/>
      <c r="CL26" s="13"/>
      <c r="CM26" s="13"/>
      <c r="CN26" s="13"/>
      <c r="CO26" s="13"/>
      <c r="CP26" s="13"/>
      <c r="CQ26" s="13"/>
      <c r="CR26" s="13"/>
      <c r="CS26" s="13"/>
      <c r="CT26" s="13"/>
      <c r="CU26" s="13"/>
      <c r="CV26" s="13"/>
      <c r="CW26" s="13"/>
      <c r="CX26" s="13"/>
      <c r="CY26" s="13"/>
      <c r="CZ26" s="13"/>
      <c r="DA26" s="13"/>
      <c r="DB26" s="13"/>
      <c r="DC26" s="13"/>
      <c r="DD26" s="13"/>
      <c r="DE26" s="13"/>
      <c r="DF26" s="13"/>
      <c r="DG26" s="13"/>
      <c r="DH26" s="13"/>
      <c r="DI26" s="13"/>
      <c r="DJ26" s="13"/>
      <c r="DK26" s="13"/>
      <c r="DL26" s="13"/>
      <c r="DM26" s="13"/>
      <c r="DN26" s="13"/>
      <c r="DO26" s="13"/>
      <c r="DP26" s="13"/>
      <c r="DQ26" s="13"/>
      <c r="DR26" s="13"/>
      <c r="DS26" s="13"/>
      <c r="DT26" s="13"/>
      <c r="DU26" s="13"/>
      <c r="DV26" s="13"/>
      <c r="DW26" s="13"/>
    </row>
    <row r="27" spans="1:127">
      <c r="A27" s="13" t="str">
        <f>Schedule_Data_ScenarioA!A28</f>
        <v>SF-03</v>
      </c>
      <c r="B27" s="13" t="str">
        <f>Schedule_Data_ScenarioA!B28</f>
        <v>3.0</v>
      </c>
      <c r="C27" s="13" t="str">
        <f>Schedule_Data_ScenarioA!C28</f>
        <v>Sea fastening + MWS checks (TR3)</v>
      </c>
      <c r="D27" s="21" t="str">
        <f>Schedule_Data_ScenarioA!D28</f>
        <v>SEAFAST</v>
      </c>
      <c r="E27" s="33">
        <f>Schedule_Data_ScenarioA!F28</f>
        <v>46069</v>
      </c>
      <c r="F27" s="33">
        <f>Schedule_Data_ScenarioA!G28</f>
        <v>46069</v>
      </c>
      <c r="G27" s="13">
        <f>Schedule_Data_ScenarioA!H28</f>
        <v>0</v>
      </c>
      <c r="H27" s="13"/>
      <c r="I27" s="13"/>
      <c r="J27" s="13"/>
      <c r="K27" s="13"/>
      <c r="L27" s="13"/>
      <c r="M27" s="13"/>
      <c r="N27" s="13"/>
      <c r="O27" s="13"/>
      <c r="P27" s="13"/>
      <c r="Q27" s="13"/>
      <c r="R27" s="13"/>
      <c r="S27" s="13"/>
      <c r="T27" s="13"/>
      <c r="U27" s="13"/>
      <c r="V27" s="13"/>
      <c r="W27" s="13"/>
      <c r="X27" s="13"/>
      <c r="Y27" s="13"/>
      <c r="Z27" s="13"/>
      <c r="AA27" s="13"/>
      <c r="AB27" s="13"/>
      <c r="AC27" s="13"/>
      <c r="AD27" s="13"/>
      <c r="AE27" s="13"/>
      <c r="AF27" s="13"/>
      <c r="AG27" s="13"/>
      <c r="AH27" s="13"/>
      <c r="AI27" s="13"/>
      <c r="AJ27" s="13"/>
      <c r="AK27" s="13"/>
      <c r="AL27" s="13"/>
      <c r="AM27" s="13"/>
      <c r="AN27" s="21"/>
      <c r="AO27" s="13"/>
      <c r="AP27" s="13"/>
      <c r="AQ27" s="13"/>
      <c r="AR27" s="13"/>
      <c r="AS27" s="13"/>
      <c r="AT27" s="13"/>
      <c r="AU27" s="13"/>
      <c r="AV27" s="13"/>
      <c r="AW27" s="13"/>
      <c r="AX27" s="13"/>
      <c r="AY27" s="13"/>
      <c r="AZ27" s="13"/>
      <c r="BA27" s="13"/>
      <c r="BB27" s="13"/>
      <c r="BC27" s="13"/>
      <c r="BD27" s="13"/>
      <c r="BE27" s="13"/>
      <c r="BF27" s="13"/>
      <c r="BG27" s="13"/>
      <c r="BH27" s="13"/>
      <c r="BI27" s="13"/>
      <c r="BJ27" s="13"/>
      <c r="BK27" s="13"/>
      <c r="BL27" s="13"/>
      <c r="BM27" s="13"/>
      <c r="BN27" s="13"/>
      <c r="BO27" s="13"/>
      <c r="BP27" s="13"/>
      <c r="BQ27" s="13"/>
      <c r="BR27" s="13"/>
      <c r="BS27" s="13"/>
      <c r="BT27" s="13"/>
      <c r="BU27" s="13"/>
      <c r="BV27" s="13"/>
      <c r="BW27" s="13"/>
      <c r="BX27" s="13"/>
      <c r="BY27" s="13"/>
      <c r="BZ27" s="13"/>
      <c r="CA27" s="13"/>
      <c r="CB27" s="13"/>
      <c r="CC27" s="13"/>
      <c r="CD27" s="13"/>
      <c r="CE27" s="13"/>
      <c r="CF27" s="13"/>
      <c r="CG27" s="13"/>
      <c r="CH27" s="13"/>
      <c r="CI27" s="13"/>
      <c r="CJ27" s="13"/>
      <c r="CK27" s="13"/>
      <c r="CL27" s="13"/>
      <c r="CM27" s="13"/>
      <c r="CN27" s="13"/>
      <c r="CO27" s="13"/>
      <c r="CP27" s="13"/>
      <c r="CQ27" s="13"/>
      <c r="CR27" s="13"/>
      <c r="CS27" s="13"/>
      <c r="CT27" s="13"/>
      <c r="CU27" s="13"/>
      <c r="CV27" s="13"/>
      <c r="CW27" s="13"/>
      <c r="CX27" s="13"/>
      <c r="CY27" s="13"/>
      <c r="CZ27" s="13"/>
      <c r="DA27" s="13"/>
      <c r="DB27" s="13"/>
      <c r="DC27" s="13"/>
      <c r="DD27" s="13"/>
      <c r="DE27" s="13"/>
      <c r="DF27" s="13"/>
      <c r="DG27" s="13"/>
      <c r="DH27" s="13"/>
      <c r="DI27" s="13"/>
      <c r="DJ27" s="13"/>
      <c r="DK27" s="13"/>
      <c r="DL27" s="13"/>
      <c r="DM27" s="13"/>
      <c r="DN27" s="13"/>
      <c r="DO27" s="13"/>
      <c r="DP27" s="13"/>
      <c r="DQ27" s="13"/>
      <c r="DR27" s="13"/>
      <c r="DS27" s="13"/>
      <c r="DT27" s="13"/>
      <c r="DU27" s="13"/>
      <c r="DV27" s="13"/>
      <c r="DW27" s="13"/>
    </row>
    <row r="28" spans="1:127">
      <c r="A28" s="13" t="str">
        <f>Schedule_Data_ScenarioA!A29</f>
        <v>SAIL-03</v>
      </c>
      <c r="B28" s="13" t="str">
        <f>Schedule_Data_ScenarioA!B29</f>
        <v>3.0</v>
      </c>
      <c r="C28" s="13" t="str">
        <f>Schedule_Data_ScenarioA!C29</f>
        <v>Sail-away MZP→AGI</v>
      </c>
      <c r="D28" s="23" t="str">
        <f>Schedule_Data_ScenarioA!D29</f>
        <v>SAIL</v>
      </c>
      <c r="E28" s="33">
        <f>Schedule_Data_ScenarioA!F29</f>
        <v>46070</v>
      </c>
      <c r="F28" s="33">
        <f>Schedule_Data_ScenarioA!G29</f>
        <v>46070</v>
      </c>
      <c r="G28" s="13">
        <f>Schedule_Data_ScenarioA!H29</f>
        <v>0</v>
      </c>
      <c r="H28" s="13"/>
      <c r="I28" s="13"/>
      <c r="J28" s="13"/>
      <c r="K28" s="13"/>
      <c r="L28" s="13"/>
      <c r="M28" s="13"/>
      <c r="N28" s="13"/>
      <c r="O28" s="13"/>
      <c r="P28" s="13"/>
      <c r="Q28" s="13"/>
      <c r="R28" s="13"/>
      <c r="S28" s="13"/>
      <c r="T28" s="13"/>
      <c r="U28" s="13"/>
      <c r="V28" s="13"/>
      <c r="W28" s="13"/>
      <c r="X28" s="13"/>
      <c r="Y28" s="13"/>
      <c r="Z28" s="13"/>
      <c r="AA28" s="13"/>
      <c r="AB28" s="13"/>
      <c r="AC28" s="13"/>
      <c r="AD28" s="13"/>
      <c r="AE28" s="13"/>
      <c r="AF28" s="13"/>
      <c r="AG28" s="13"/>
      <c r="AH28" s="13"/>
      <c r="AI28" s="13"/>
      <c r="AJ28" s="13"/>
      <c r="AK28" s="13"/>
      <c r="AL28" s="13"/>
      <c r="AM28" s="13"/>
      <c r="AN28" s="13"/>
      <c r="AO28" s="23"/>
      <c r="AP28" s="13"/>
      <c r="AQ28" s="13"/>
      <c r="AR28" s="13"/>
      <c r="AS28" s="13"/>
      <c r="AT28" s="13"/>
      <c r="AU28" s="13"/>
      <c r="AV28" s="13"/>
      <c r="AW28" s="13"/>
      <c r="AX28" s="13"/>
      <c r="AY28" s="13"/>
      <c r="AZ28" s="13"/>
      <c r="BA28" s="13"/>
      <c r="BB28" s="13"/>
      <c r="BC28" s="13"/>
      <c r="BD28" s="13"/>
      <c r="BE28" s="13"/>
      <c r="BF28" s="13"/>
      <c r="BG28" s="13"/>
      <c r="BH28" s="13"/>
      <c r="BI28" s="13"/>
      <c r="BJ28" s="13"/>
      <c r="BK28" s="13"/>
      <c r="BL28" s="13"/>
      <c r="BM28" s="13"/>
      <c r="BN28" s="13"/>
      <c r="BO28" s="13"/>
      <c r="BP28" s="13"/>
      <c r="BQ28" s="13"/>
      <c r="BR28" s="13"/>
      <c r="BS28" s="13"/>
      <c r="BT28" s="13"/>
      <c r="BU28" s="13"/>
      <c r="BV28" s="13"/>
      <c r="BW28" s="13"/>
      <c r="BX28" s="13"/>
      <c r="BY28" s="13"/>
      <c r="BZ28" s="13"/>
      <c r="CA28" s="13"/>
      <c r="CB28" s="13"/>
      <c r="CC28" s="13"/>
      <c r="CD28" s="13"/>
      <c r="CE28" s="13"/>
      <c r="CF28" s="13"/>
      <c r="CG28" s="13"/>
      <c r="CH28" s="13"/>
      <c r="CI28" s="13"/>
      <c r="CJ28" s="13"/>
      <c r="CK28" s="13"/>
      <c r="CL28" s="13"/>
      <c r="CM28" s="13"/>
      <c r="CN28" s="13"/>
      <c r="CO28" s="13"/>
      <c r="CP28" s="13"/>
      <c r="CQ28" s="13"/>
      <c r="CR28" s="13"/>
      <c r="CS28" s="13"/>
      <c r="CT28" s="13"/>
      <c r="CU28" s="13"/>
      <c r="CV28" s="13"/>
      <c r="CW28" s="13"/>
      <c r="CX28" s="13"/>
      <c r="CY28" s="13"/>
      <c r="CZ28" s="13"/>
      <c r="DA28" s="13"/>
      <c r="DB28" s="13"/>
      <c r="DC28" s="13"/>
      <c r="DD28" s="13"/>
      <c r="DE28" s="13"/>
      <c r="DF28" s="13"/>
      <c r="DG28" s="13"/>
      <c r="DH28" s="13"/>
      <c r="DI28" s="13"/>
      <c r="DJ28" s="13"/>
      <c r="DK28" s="13"/>
      <c r="DL28" s="13"/>
      <c r="DM28" s="13"/>
      <c r="DN28" s="13"/>
      <c r="DO28" s="13"/>
      <c r="DP28" s="13"/>
      <c r="DQ28" s="13"/>
      <c r="DR28" s="13"/>
      <c r="DS28" s="13"/>
      <c r="DT28" s="13"/>
      <c r="DU28" s="13"/>
      <c r="DV28" s="13"/>
      <c r="DW28" s="13"/>
    </row>
    <row r="29" spans="1:127">
      <c r="A29" s="13" t="str">
        <f>Schedule_Data_ScenarioA!A30</f>
        <v>UL-03-1</v>
      </c>
      <c r="B29" s="13" t="str">
        <f>Schedule_Data_ScenarioA!B30</f>
        <v>3.0</v>
      </c>
      <c r="C29" s="13" t="str">
        <f>Schedule_Data_ScenarioA!C30</f>
        <v>Unload TR3 at AGI (1 unit/day)</v>
      </c>
      <c r="D29" s="24" t="str">
        <f>Schedule_Data_ScenarioA!D30</f>
        <v>AGI_UNLOAD</v>
      </c>
      <c r="E29" s="33">
        <f>Schedule_Data_ScenarioA!F30</f>
        <v>46071</v>
      </c>
      <c r="F29" s="33">
        <f>Schedule_Data_ScenarioA!G30</f>
        <v>46071</v>
      </c>
      <c r="G29" s="13">
        <f>Schedule_Data_ScenarioA!H30</f>
        <v>0</v>
      </c>
      <c r="H29" s="13"/>
      <c r="I29" s="13"/>
      <c r="J29" s="13"/>
      <c r="K29" s="13"/>
      <c r="L29" s="13"/>
      <c r="M29" s="13"/>
      <c r="N29" s="13"/>
      <c r="O29" s="13"/>
      <c r="P29" s="13"/>
      <c r="Q29" s="13"/>
      <c r="R29" s="13"/>
      <c r="S29" s="13"/>
      <c r="T29" s="13"/>
      <c r="U29" s="13"/>
      <c r="V29" s="13"/>
      <c r="W29" s="13"/>
      <c r="X29" s="13"/>
      <c r="Y29" s="13"/>
      <c r="Z29" s="13"/>
      <c r="AA29" s="13"/>
      <c r="AB29" s="13"/>
      <c r="AC29" s="13"/>
      <c r="AD29" s="13"/>
      <c r="AE29" s="13"/>
      <c r="AF29" s="13"/>
      <c r="AG29" s="13"/>
      <c r="AH29" s="13"/>
      <c r="AI29" s="13"/>
      <c r="AJ29" s="13"/>
      <c r="AK29" s="13"/>
      <c r="AL29" s="13"/>
      <c r="AM29" s="13"/>
      <c r="AN29" s="13"/>
      <c r="AO29" s="13"/>
      <c r="AP29" s="24"/>
      <c r="AQ29" s="13"/>
      <c r="AR29" s="13"/>
      <c r="AS29" s="13"/>
      <c r="AT29" s="13"/>
      <c r="AU29" s="13"/>
      <c r="AV29" s="13"/>
      <c r="AW29" s="13"/>
      <c r="AX29" s="13"/>
      <c r="AY29" s="13"/>
      <c r="AZ29" s="13"/>
      <c r="BA29" s="13"/>
      <c r="BB29" s="13"/>
      <c r="BC29" s="13"/>
      <c r="BD29" s="13"/>
      <c r="BE29" s="13"/>
      <c r="BF29" s="13"/>
      <c r="BG29" s="13"/>
      <c r="BH29" s="13"/>
      <c r="BI29" s="13"/>
      <c r="BJ29" s="13"/>
      <c r="BK29" s="13"/>
      <c r="BL29" s="13"/>
      <c r="BM29" s="13"/>
      <c r="BN29" s="13"/>
      <c r="BO29" s="13"/>
      <c r="BP29" s="13"/>
      <c r="BQ29" s="13"/>
      <c r="BR29" s="13"/>
      <c r="BS29" s="13"/>
      <c r="BT29" s="13"/>
      <c r="BU29" s="13"/>
      <c r="BV29" s="13"/>
      <c r="BW29" s="13"/>
      <c r="BX29" s="13"/>
      <c r="BY29" s="13"/>
      <c r="BZ29" s="13"/>
      <c r="CA29" s="13"/>
      <c r="CB29" s="13"/>
      <c r="CC29" s="13"/>
      <c r="CD29" s="13"/>
      <c r="CE29" s="13"/>
      <c r="CF29" s="13"/>
      <c r="CG29" s="13"/>
      <c r="CH29" s="13"/>
      <c r="CI29" s="13"/>
      <c r="CJ29" s="13"/>
      <c r="CK29" s="13"/>
      <c r="CL29" s="13"/>
      <c r="CM29" s="13"/>
      <c r="CN29" s="13"/>
      <c r="CO29" s="13"/>
      <c r="CP29" s="13"/>
      <c r="CQ29" s="13"/>
      <c r="CR29" s="13"/>
      <c r="CS29" s="13"/>
      <c r="CT29" s="13"/>
      <c r="CU29" s="13"/>
      <c r="CV29" s="13"/>
      <c r="CW29" s="13"/>
      <c r="CX29" s="13"/>
      <c r="CY29" s="13"/>
      <c r="CZ29" s="13"/>
      <c r="DA29" s="13"/>
      <c r="DB29" s="13"/>
      <c r="DC29" s="13"/>
      <c r="DD29" s="13"/>
      <c r="DE29" s="13"/>
      <c r="DF29" s="13"/>
      <c r="DG29" s="13"/>
      <c r="DH29" s="13"/>
      <c r="DI29" s="13"/>
      <c r="DJ29" s="13"/>
      <c r="DK29" s="13"/>
      <c r="DL29" s="13"/>
      <c r="DM29" s="13"/>
      <c r="DN29" s="13"/>
      <c r="DO29" s="13"/>
      <c r="DP29" s="13"/>
      <c r="DQ29" s="13"/>
      <c r="DR29" s="13"/>
      <c r="DS29" s="13"/>
      <c r="DT29" s="13"/>
      <c r="DU29" s="13"/>
      <c r="DV29" s="13"/>
      <c r="DW29" s="13"/>
    </row>
    <row r="30" spans="1:127">
      <c r="A30" s="13" t="str">
        <f>Schedule_Data_ScenarioA!A31</f>
        <v>TURN-03-1</v>
      </c>
      <c r="B30" s="13" t="str">
        <f>Schedule_Data_ScenarioA!B31</f>
        <v>3.0</v>
      </c>
      <c r="C30" s="13" t="str">
        <f>Schedule_Data_ScenarioA!C31</f>
        <v>Turning TR3 (90°)</v>
      </c>
      <c r="D30" s="26" t="str">
        <f>Schedule_Data_ScenarioA!D31</f>
        <v>TURNING</v>
      </c>
      <c r="E30" s="33">
        <f>Schedule_Data_ScenarioA!F31</f>
        <v>46072</v>
      </c>
      <c r="F30" s="33">
        <f>Schedule_Data_ScenarioA!G31</f>
        <v>46072</v>
      </c>
      <c r="G30" s="13">
        <f>Schedule_Data_ScenarioA!H31</f>
        <v>0</v>
      </c>
      <c r="H30" s="13"/>
      <c r="I30" s="13"/>
      <c r="J30" s="13"/>
      <c r="K30" s="13"/>
      <c r="L30" s="13"/>
      <c r="M30" s="13"/>
      <c r="N30" s="13"/>
      <c r="O30" s="13"/>
      <c r="P30" s="13"/>
      <c r="Q30" s="13"/>
      <c r="R30" s="13"/>
      <c r="S30" s="13"/>
      <c r="T30" s="13"/>
      <c r="U30" s="13"/>
      <c r="V30" s="13"/>
      <c r="W30" s="13"/>
      <c r="X30" s="13"/>
      <c r="Y30" s="13"/>
      <c r="Z30" s="13"/>
      <c r="AA30" s="13"/>
      <c r="AB30" s="13"/>
      <c r="AC30" s="13"/>
      <c r="AD30" s="13"/>
      <c r="AE30" s="13"/>
      <c r="AF30" s="13"/>
      <c r="AG30" s="13"/>
      <c r="AH30" s="13"/>
      <c r="AI30" s="13"/>
      <c r="AJ30" s="13"/>
      <c r="AK30" s="13"/>
      <c r="AL30" s="13"/>
      <c r="AM30" s="13"/>
      <c r="AN30" s="13"/>
      <c r="AO30" s="13"/>
      <c r="AP30" s="13"/>
      <c r="AQ30" s="26"/>
      <c r="AR30" s="13"/>
      <c r="AS30" s="13"/>
      <c r="AT30" s="13"/>
      <c r="AU30" s="13"/>
      <c r="AV30" s="13"/>
      <c r="AW30" s="13"/>
      <c r="AX30" s="13"/>
      <c r="AY30" s="13"/>
      <c r="AZ30" s="13"/>
      <c r="BA30" s="13"/>
      <c r="BB30" s="13"/>
      <c r="BC30" s="13"/>
      <c r="BD30" s="13"/>
      <c r="BE30" s="13"/>
      <c r="BF30" s="13"/>
      <c r="BG30" s="13"/>
      <c r="BH30" s="13"/>
      <c r="BI30" s="13"/>
      <c r="BJ30" s="13"/>
      <c r="BK30" s="13"/>
      <c r="BL30" s="13"/>
      <c r="BM30" s="13"/>
      <c r="BN30" s="13"/>
      <c r="BO30" s="13"/>
      <c r="BP30" s="13"/>
      <c r="BQ30" s="13"/>
      <c r="BR30" s="13"/>
      <c r="BS30" s="13"/>
      <c r="BT30" s="13"/>
      <c r="BU30" s="13"/>
      <c r="BV30" s="13"/>
      <c r="BW30" s="13"/>
      <c r="BX30" s="13"/>
      <c r="BY30" s="13"/>
      <c r="BZ30" s="13"/>
      <c r="CA30" s="13"/>
      <c r="CB30" s="13"/>
      <c r="CC30" s="13"/>
      <c r="CD30" s="13"/>
      <c r="CE30" s="13"/>
      <c r="CF30" s="13"/>
      <c r="CG30" s="13"/>
      <c r="CH30" s="13"/>
      <c r="CI30" s="13"/>
      <c r="CJ30" s="13"/>
      <c r="CK30" s="13"/>
      <c r="CL30" s="13"/>
      <c r="CM30" s="13"/>
      <c r="CN30" s="13"/>
      <c r="CO30" s="13"/>
      <c r="CP30" s="13"/>
      <c r="CQ30" s="13"/>
      <c r="CR30" s="13"/>
      <c r="CS30" s="13"/>
      <c r="CT30" s="13"/>
      <c r="CU30" s="13"/>
      <c r="CV30" s="13"/>
      <c r="CW30" s="13"/>
      <c r="CX30" s="13"/>
      <c r="CY30" s="13"/>
      <c r="CZ30" s="13"/>
      <c r="DA30" s="13"/>
      <c r="DB30" s="13"/>
      <c r="DC30" s="13"/>
      <c r="DD30" s="13"/>
      <c r="DE30" s="13"/>
      <c r="DF30" s="13"/>
      <c r="DG30" s="13"/>
      <c r="DH30" s="13"/>
      <c r="DI30" s="13"/>
      <c r="DJ30" s="13"/>
      <c r="DK30" s="13"/>
      <c r="DL30" s="13"/>
      <c r="DM30" s="13"/>
      <c r="DN30" s="13"/>
      <c r="DO30" s="13"/>
      <c r="DP30" s="13"/>
      <c r="DQ30" s="13"/>
      <c r="DR30" s="13"/>
      <c r="DS30" s="13"/>
      <c r="DT30" s="13"/>
      <c r="DU30" s="13"/>
      <c r="DV30" s="13"/>
      <c r="DW30" s="13"/>
    </row>
    <row r="31" spans="1:127">
      <c r="A31" s="13" t="str">
        <f>Schedule_Data_ScenarioA!A32</f>
        <v>JD-03-1</v>
      </c>
      <c r="B31" s="13" t="str">
        <f>Schedule_Data_ScenarioA!B32</f>
        <v>3.0</v>
      </c>
      <c r="C31" s="13" t="str">
        <f>Schedule_Data_ScenarioA!C32</f>
        <v>Jackdown TR3</v>
      </c>
      <c r="D31" s="42" t="str">
        <f>Schedule_Data_ScenarioA!D32</f>
        <v>JACKDOWN</v>
      </c>
      <c r="E31" s="33">
        <f>Schedule_Data_ScenarioA!F32</f>
        <v>46075</v>
      </c>
      <c r="F31" s="33">
        <f>Schedule_Data_ScenarioA!G32</f>
        <v>46075</v>
      </c>
      <c r="G31" s="13">
        <f>Schedule_Data_ScenarioA!H32</f>
        <v>0</v>
      </c>
      <c r="H31" s="13"/>
      <c r="I31" s="13"/>
      <c r="J31" s="13"/>
      <c r="K31" s="13"/>
      <c r="L31" s="13"/>
      <c r="M31" s="13"/>
      <c r="N31" s="13"/>
      <c r="O31" s="13"/>
      <c r="P31" s="13"/>
      <c r="Q31" s="13"/>
      <c r="R31" s="13"/>
      <c r="S31" s="13"/>
      <c r="T31" s="13"/>
      <c r="U31" s="13"/>
      <c r="V31" s="13"/>
      <c r="W31" s="13"/>
      <c r="X31" s="13"/>
      <c r="Y31" s="13"/>
      <c r="Z31" s="13"/>
      <c r="AA31" s="13"/>
      <c r="AB31" s="13"/>
      <c r="AC31" s="13"/>
      <c r="AD31" s="13"/>
      <c r="AE31" s="13"/>
      <c r="AF31" s="13"/>
      <c r="AG31" s="13"/>
      <c r="AH31" s="13"/>
      <c r="AI31" s="13"/>
      <c r="AJ31" s="13"/>
      <c r="AK31" s="13"/>
      <c r="AL31" s="13"/>
      <c r="AM31" s="13"/>
      <c r="AN31" s="13"/>
      <c r="AO31" s="13"/>
      <c r="AP31" s="13"/>
      <c r="AQ31" s="13"/>
      <c r="AR31" s="13"/>
      <c r="AS31" s="13"/>
      <c r="AT31" s="42"/>
      <c r="AU31" s="13"/>
      <c r="AV31" s="13"/>
      <c r="AW31" s="13"/>
      <c r="AX31" s="13"/>
      <c r="AY31" s="13"/>
      <c r="AZ31" s="13"/>
      <c r="BA31" s="13"/>
      <c r="BB31" s="13"/>
      <c r="BC31" s="13"/>
      <c r="BD31" s="13"/>
      <c r="BE31" s="13"/>
      <c r="BF31" s="13"/>
      <c r="BG31" s="13"/>
      <c r="BH31" s="13"/>
      <c r="BI31" s="13"/>
      <c r="BJ31" s="13"/>
      <c r="BK31" s="13"/>
      <c r="BL31" s="13"/>
      <c r="BM31" s="13"/>
      <c r="BN31" s="13"/>
      <c r="BO31" s="13"/>
      <c r="BP31" s="13"/>
      <c r="BQ31" s="13"/>
      <c r="BR31" s="13"/>
      <c r="BS31" s="13"/>
      <c r="BT31" s="13"/>
      <c r="BU31" s="13"/>
      <c r="BV31" s="13"/>
      <c r="BW31" s="13"/>
      <c r="BX31" s="13"/>
      <c r="BY31" s="13"/>
      <c r="BZ31" s="13"/>
      <c r="CA31" s="13"/>
      <c r="CB31" s="13"/>
      <c r="CC31" s="13"/>
      <c r="CD31" s="13"/>
      <c r="CE31" s="13"/>
      <c r="CF31" s="13"/>
      <c r="CG31" s="13"/>
      <c r="CH31" s="13"/>
      <c r="CI31" s="13"/>
      <c r="CJ31" s="13"/>
      <c r="CK31" s="13"/>
      <c r="CL31" s="13"/>
      <c r="CM31" s="13"/>
      <c r="CN31" s="13"/>
      <c r="CO31" s="13"/>
      <c r="CP31" s="13"/>
      <c r="CQ31" s="13"/>
      <c r="CR31" s="13"/>
      <c r="CS31" s="13"/>
      <c r="CT31" s="13"/>
      <c r="CU31" s="13"/>
      <c r="CV31" s="13"/>
      <c r="CW31" s="13"/>
      <c r="CX31" s="13"/>
      <c r="CY31" s="13"/>
      <c r="CZ31" s="13"/>
      <c r="DA31" s="13"/>
      <c r="DB31" s="13"/>
      <c r="DC31" s="13"/>
      <c r="DD31" s="13"/>
      <c r="DE31" s="13"/>
      <c r="DF31" s="13"/>
      <c r="DG31" s="13"/>
      <c r="DH31" s="13"/>
      <c r="DI31" s="13"/>
      <c r="DJ31" s="13"/>
      <c r="DK31" s="13"/>
      <c r="DL31" s="13"/>
      <c r="DM31" s="13"/>
      <c r="DN31" s="13"/>
      <c r="DO31" s="13"/>
      <c r="DP31" s="13"/>
      <c r="DQ31" s="13"/>
      <c r="DR31" s="13"/>
      <c r="DS31" s="13"/>
      <c r="DT31" s="13"/>
      <c r="DU31" s="13"/>
      <c r="DV31" s="13"/>
      <c r="DW31" s="13"/>
    </row>
    <row r="32" spans="1:127">
      <c r="A32" s="13" t="str">
        <f>Schedule_Data_ScenarioA!A33</f>
        <v>RET-03</v>
      </c>
      <c r="B32" s="13" t="str">
        <f>Schedule_Data_ScenarioA!B33</f>
        <v>3.0</v>
      </c>
      <c r="C32" s="13" t="str">
        <f>Schedule_Data_ScenarioA!C33</f>
        <v>LCT Return AGI→MZP</v>
      </c>
      <c r="D32" s="25" t="str">
        <f>Schedule_Data_ScenarioA!D33</f>
        <v>RETURN</v>
      </c>
      <c r="E32" s="33">
        <f>Schedule_Data_ScenarioA!F33</f>
        <v>46076</v>
      </c>
      <c r="F32" s="33">
        <f>Schedule_Data_ScenarioA!G33</f>
        <v>46076</v>
      </c>
      <c r="G32" s="13">
        <f>Schedule_Data_ScenarioA!H33</f>
        <v>0</v>
      </c>
      <c r="H32" s="13"/>
      <c r="I32" s="13"/>
      <c r="J32" s="13"/>
      <c r="K32" s="13"/>
      <c r="L32" s="13"/>
      <c r="M32" s="13"/>
      <c r="N32" s="13"/>
      <c r="O32" s="13"/>
      <c r="P32" s="13"/>
      <c r="Q32" s="13"/>
      <c r="R32" s="13"/>
      <c r="S32" s="13"/>
      <c r="T32" s="13"/>
      <c r="U32" s="13"/>
      <c r="V32" s="13"/>
      <c r="W32" s="13"/>
      <c r="X32" s="13"/>
      <c r="Y32" s="13"/>
      <c r="Z32" s="13"/>
      <c r="AA32" s="13"/>
      <c r="AB32" s="13"/>
      <c r="AC32" s="13"/>
      <c r="AD32" s="13"/>
      <c r="AE32" s="13"/>
      <c r="AF32" s="13"/>
      <c r="AG32" s="13"/>
      <c r="AH32" s="13"/>
      <c r="AI32" s="13"/>
      <c r="AJ32" s="13"/>
      <c r="AK32" s="13"/>
      <c r="AL32" s="13"/>
      <c r="AM32" s="13"/>
      <c r="AN32" s="13"/>
      <c r="AO32" s="13"/>
      <c r="AP32" s="13"/>
      <c r="AQ32" s="13"/>
      <c r="AR32" s="13"/>
      <c r="AS32" s="13"/>
      <c r="AT32" s="13"/>
      <c r="AU32" s="25"/>
      <c r="AV32" s="13"/>
      <c r="AW32" s="13"/>
      <c r="AX32" s="13"/>
      <c r="AY32" s="13"/>
      <c r="AZ32" s="13"/>
      <c r="BA32" s="13"/>
      <c r="BB32" s="13"/>
      <c r="BC32" s="13"/>
      <c r="BD32" s="13"/>
      <c r="BE32" s="13"/>
      <c r="BF32" s="13"/>
      <c r="BG32" s="13"/>
      <c r="BH32" s="13"/>
      <c r="BI32" s="13"/>
      <c r="BJ32" s="13"/>
      <c r="BK32" s="13"/>
      <c r="BL32" s="13"/>
      <c r="BM32" s="13"/>
      <c r="BN32" s="13"/>
      <c r="BO32" s="13"/>
      <c r="BP32" s="13"/>
      <c r="BQ32" s="13"/>
      <c r="BR32" s="13"/>
      <c r="BS32" s="13"/>
      <c r="BT32" s="13"/>
      <c r="BU32" s="13"/>
      <c r="BV32" s="13"/>
      <c r="BW32" s="13"/>
      <c r="BX32" s="13"/>
      <c r="BY32" s="13"/>
      <c r="BZ32" s="13"/>
      <c r="CA32" s="13"/>
      <c r="CB32" s="13"/>
      <c r="CC32" s="13"/>
      <c r="CD32" s="13"/>
      <c r="CE32" s="13"/>
      <c r="CF32" s="13"/>
      <c r="CG32" s="13"/>
      <c r="CH32" s="13"/>
      <c r="CI32" s="13"/>
      <c r="CJ32" s="13"/>
      <c r="CK32" s="13"/>
      <c r="CL32" s="13"/>
      <c r="CM32" s="13"/>
      <c r="CN32" s="13"/>
      <c r="CO32" s="13"/>
      <c r="CP32" s="13"/>
      <c r="CQ32" s="13"/>
      <c r="CR32" s="13"/>
      <c r="CS32" s="13"/>
      <c r="CT32" s="13"/>
      <c r="CU32" s="13"/>
      <c r="CV32" s="13"/>
      <c r="CW32" s="13"/>
      <c r="CX32" s="13"/>
      <c r="CY32" s="13"/>
      <c r="CZ32" s="13"/>
      <c r="DA32" s="13"/>
      <c r="DB32" s="13"/>
      <c r="DC32" s="13"/>
      <c r="DD32" s="13"/>
      <c r="DE32" s="13"/>
      <c r="DF32" s="13"/>
      <c r="DG32" s="13"/>
      <c r="DH32" s="13"/>
      <c r="DI32" s="13"/>
      <c r="DJ32" s="13"/>
      <c r="DK32" s="13"/>
      <c r="DL32" s="13"/>
      <c r="DM32" s="13"/>
      <c r="DN32" s="13"/>
      <c r="DO32" s="13"/>
      <c r="DP32" s="13"/>
      <c r="DQ32" s="13"/>
      <c r="DR32" s="13"/>
      <c r="DS32" s="13"/>
      <c r="DT32" s="13"/>
      <c r="DU32" s="13"/>
      <c r="DV32" s="13"/>
      <c r="DW32" s="13"/>
    </row>
    <row r="33" spans="1:127">
      <c r="A33" s="13" t="str">
        <f>Schedule_Data_ScenarioA!A34</f>
        <v>BUF-03</v>
      </c>
      <c r="B33" s="13" t="str">
        <f>Schedule_Data_ScenarioA!B34</f>
        <v>3.0</v>
      </c>
      <c r="C33" s="13" t="str">
        <f>Schedule_Data_ScenarioA!C34</f>
        <v>Buffer / reset</v>
      </c>
      <c r="D33" s="22" t="str">
        <f>Schedule_Data_ScenarioA!D34</f>
        <v>BUFFER</v>
      </c>
      <c r="E33" s="33">
        <f>Schedule_Data_ScenarioA!F34</f>
        <v>46077</v>
      </c>
      <c r="F33" s="33">
        <f>Schedule_Data_ScenarioA!G34</f>
        <v>46077</v>
      </c>
      <c r="G33" s="13">
        <f>Schedule_Data_ScenarioA!H34</f>
        <v>0</v>
      </c>
      <c r="H33" s="13"/>
      <c r="I33" s="13"/>
      <c r="J33" s="13"/>
      <c r="K33" s="13"/>
      <c r="L33" s="13"/>
      <c r="M33" s="13"/>
      <c r="N33" s="13"/>
      <c r="O33" s="13"/>
      <c r="P33" s="13"/>
      <c r="Q33" s="13"/>
      <c r="R33" s="13"/>
      <c r="S33" s="13"/>
      <c r="T33" s="13"/>
      <c r="U33" s="13"/>
      <c r="V33" s="13"/>
      <c r="W33" s="13"/>
      <c r="X33" s="13"/>
      <c r="Y33" s="13"/>
      <c r="Z33" s="13"/>
      <c r="AA33" s="13"/>
      <c r="AB33" s="13"/>
      <c r="AC33" s="13"/>
      <c r="AD33" s="13"/>
      <c r="AE33" s="13"/>
      <c r="AF33" s="13"/>
      <c r="AG33" s="13"/>
      <c r="AH33" s="13"/>
      <c r="AI33" s="13"/>
      <c r="AJ33" s="13"/>
      <c r="AK33" s="13"/>
      <c r="AL33" s="13"/>
      <c r="AM33" s="13"/>
      <c r="AN33" s="13"/>
      <c r="AO33" s="13"/>
      <c r="AP33" s="13"/>
      <c r="AQ33" s="13"/>
      <c r="AR33" s="13"/>
      <c r="AS33" s="13"/>
      <c r="AT33" s="13"/>
      <c r="AU33" s="13"/>
      <c r="AV33" s="22"/>
      <c r="AW33" s="13"/>
      <c r="AX33" s="13"/>
      <c r="AY33" s="13"/>
      <c r="AZ33" s="13"/>
      <c r="BA33" s="13"/>
      <c r="BB33" s="13"/>
      <c r="BC33" s="13"/>
      <c r="BD33" s="13"/>
      <c r="BE33" s="13"/>
      <c r="BF33" s="13"/>
      <c r="BG33" s="13"/>
      <c r="BH33" s="13"/>
      <c r="BI33" s="13"/>
      <c r="BJ33" s="13"/>
      <c r="BK33" s="13"/>
      <c r="BL33" s="13"/>
      <c r="BM33" s="13"/>
      <c r="BN33" s="13"/>
      <c r="BO33" s="13"/>
      <c r="BP33" s="13"/>
      <c r="BQ33" s="13"/>
      <c r="BR33" s="13"/>
      <c r="BS33" s="13"/>
      <c r="BT33" s="13"/>
      <c r="BU33" s="13"/>
      <c r="BV33" s="13"/>
      <c r="BW33" s="13"/>
      <c r="BX33" s="13"/>
      <c r="BY33" s="13"/>
      <c r="BZ33" s="13"/>
      <c r="CA33" s="13"/>
      <c r="CB33" s="13"/>
      <c r="CC33" s="13"/>
      <c r="CD33" s="13"/>
      <c r="CE33" s="13"/>
      <c r="CF33" s="13"/>
      <c r="CG33" s="13"/>
      <c r="CH33" s="13"/>
      <c r="CI33" s="13"/>
      <c r="CJ33" s="13"/>
      <c r="CK33" s="13"/>
      <c r="CL33" s="13"/>
      <c r="CM33" s="13"/>
      <c r="CN33" s="13"/>
      <c r="CO33" s="13"/>
      <c r="CP33" s="13"/>
      <c r="CQ33" s="13"/>
      <c r="CR33" s="13"/>
      <c r="CS33" s="13"/>
      <c r="CT33" s="13"/>
      <c r="CU33" s="13"/>
      <c r="CV33" s="13"/>
      <c r="CW33" s="13"/>
      <c r="CX33" s="13"/>
      <c r="CY33" s="13"/>
      <c r="CZ33" s="13"/>
      <c r="DA33" s="13"/>
      <c r="DB33" s="13"/>
      <c r="DC33" s="13"/>
      <c r="DD33" s="13"/>
      <c r="DE33" s="13"/>
      <c r="DF33" s="13"/>
      <c r="DG33" s="13"/>
      <c r="DH33" s="13"/>
      <c r="DI33" s="13"/>
      <c r="DJ33" s="13"/>
      <c r="DK33" s="13"/>
      <c r="DL33" s="13"/>
      <c r="DM33" s="13"/>
      <c r="DN33" s="13"/>
      <c r="DO33" s="13"/>
      <c r="DP33" s="13"/>
      <c r="DQ33" s="13"/>
      <c r="DR33" s="13"/>
      <c r="DS33" s="13"/>
      <c r="DT33" s="13"/>
      <c r="DU33" s="13"/>
      <c r="DV33" s="13"/>
      <c r="DW33" s="13"/>
    </row>
    <row r="34" spans="1:127">
      <c r="A34" s="13" t="str">
        <f>Schedule_Data_ScenarioA!A35</f>
        <v>V4</v>
      </c>
      <c r="B34" s="13" t="str">
        <f>Schedule_Data_ScenarioA!B35</f>
        <v>4.0</v>
      </c>
      <c r="C34" s="13" t="str">
        <f>Schedule_Data_ScenarioA!C35</f>
        <v>VOYAGE 4: TR4 Transport</v>
      </c>
      <c r="D34" s="34" t="str">
        <f>Schedule_Data_ScenarioA!D35</f>
        <v>MILESTONE</v>
      </c>
      <c r="E34" s="33">
        <f>Schedule_Data_ScenarioA!F35</f>
        <v>46078</v>
      </c>
      <c r="F34" s="33">
        <f>Schedule_Data_ScenarioA!G35</f>
        <v>46078</v>
      </c>
      <c r="G34" s="13">
        <f>Schedule_Data_ScenarioA!H35</f>
        <v>0</v>
      </c>
      <c r="H34" s="13"/>
      <c r="I34" s="13"/>
      <c r="J34" s="13"/>
      <c r="K34" s="13"/>
      <c r="L34" s="13"/>
      <c r="M34" s="13"/>
      <c r="N34" s="13"/>
      <c r="O34" s="13"/>
      <c r="P34" s="13"/>
      <c r="Q34" s="13"/>
      <c r="R34" s="13"/>
      <c r="S34" s="13"/>
      <c r="T34" s="13"/>
      <c r="U34" s="13"/>
      <c r="V34" s="13"/>
      <c r="W34" s="13"/>
      <c r="X34" s="13"/>
      <c r="Y34" s="13"/>
      <c r="Z34" s="13"/>
      <c r="AA34" s="13"/>
      <c r="AB34" s="13"/>
      <c r="AC34" s="13"/>
      <c r="AD34" s="13"/>
      <c r="AE34" s="13"/>
      <c r="AF34" s="13"/>
      <c r="AG34" s="13"/>
      <c r="AH34" s="13"/>
      <c r="AI34" s="13"/>
      <c r="AJ34" s="13"/>
      <c r="AK34" s="13"/>
      <c r="AL34" s="13"/>
      <c r="AM34" s="13"/>
      <c r="AN34" s="13"/>
      <c r="AO34" s="13"/>
      <c r="AP34" s="13"/>
      <c r="AQ34" s="13"/>
      <c r="AR34" s="13"/>
      <c r="AS34" s="13"/>
      <c r="AT34" s="13"/>
      <c r="AU34" s="13"/>
      <c r="AV34" s="13"/>
      <c r="AW34" s="35" t="s">
        <v>270</v>
      </c>
      <c r="AX34" s="13"/>
      <c r="AY34" s="13"/>
      <c r="AZ34" s="13"/>
      <c r="BA34" s="13"/>
      <c r="BB34" s="13"/>
      <c r="BC34" s="13"/>
      <c r="BD34" s="13"/>
      <c r="BE34" s="13"/>
      <c r="BF34" s="13"/>
      <c r="BG34" s="13"/>
      <c r="BH34" s="13"/>
      <c r="BI34" s="13"/>
      <c r="BJ34" s="13"/>
      <c r="BK34" s="13"/>
      <c r="BL34" s="13"/>
      <c r="BM34" s="13"/>
      <c r="BN34" s="13"/>
      <c r="BO34" s="13"/>
      <c r="BP34" s="13"/>
      <c r="BQ34" s="13"/>
      <c r="BR34" s="13"/>
      <c r="BS34" s="13"/>
      <c r="BT34" s="13"/>
      <c r="BU34" s="13"/>
      <c r="BV34" s="13"/>
      <c r="BW34" s="13"/>
      <c r="BX34" s="13"/>
      <c r="BY34" s="13"/>
      <c r="BZ34" s="13"/>
      <c r="CA34" s="13"/>
      <c r="CB34" s="13"/>
      <c r="CC34" s="13"/>
      <c r="CD34" s="13"/>
      <c r="CE34" s="13"/>
      <c r="CF34" s="13"/>
      <c r="CG34" s="13"/>
      <c r="CH34" s="13"/>
      <c r="CI34" s="13"/>
      <c r="CJ34" s="13"/>
      <c r="CK34" s="13"/>
      <c r="CL34" s="13"/>
      <c r="CM34" s="13"/>
      <c r="CN34" s="13"/>
      <c r="CO34" s="13"/>
      <c r="CP34" s="13"/>
      <c r="CQ34" s="13"/>
      <c r="CR34" s="13"/>
      <c r="CS34" s="13"/>
      <c r="CT34" s="13"/>
      <c r="CU34" s="13"/>
      <c r="CV34" s="13"/>
      <c r="CW34" s="13"/>
      <c r="CX34" s="13"/>
      <c r="CY34" s="13"/>
      <c r="CZ34" s="13"/>
      <c r="DA34" s="13"/>
      <c r="DB34" s="13"/>
      <c r="DC34" s="13"/>
      <c r="DD34" s="13"/>
      <c r="DE34" s="13"/>
      <c r="DF34" s="13"/>
      <c r="DG34" s="13"/>
      <c r="DH34" s="13"/>
      <c r="DI34" s="13"/>
      <c r="DJ34" s="13"/>
      <c r="DK34" s="13"/>
      <c r="DL34" s="13"/>
      <c r="DM34" s="13"/>
      <c r="DN34" s="13"/>
      <c r="DO34" s="13"/>
      <c r="DP34" s="13"/>
      <c r="DQ34" s="13"/>
      <c r="DR34" s="13"/>
      <c r="DS34" s="13"/>
      <c r="DT34" s="13"/>
      <c r="DU34" s="13"/>
      <c r="DV34" s="13"/>
      <c r="DW34" s="13"/>
    </row>
    <row r="35" spans="1:127">
      <c r="A35" s="13" t="str">
        <f>Schedule_Data_ScenarioA!A36</f>
        <v>LO-04</v>
      </c>
      <c r="B35" s="13" t="str">
        <f>Schedule_Data_ScenarioA!B36</f>
        <v>4.0</v>
      </c>
      <c r="C35" s="13" t="str">
        <f>Schedule_Data_ScenarioA!C36</f>
        <v>Loadout TR4 onto LCT</v>
      </c>
      <c r="D35" s="20" t="str">
        <f>Schedule_Data_ScenarioA!D36</f>
        <v>LOADOUT</v>
      </c>
      <c r="E35" s="33">
        <f>Schedule_Data_ScenarioA!F36</f>
        <v>46078</v>
      </c>
      <c r="F35" s="33">
        <f>Schedule_Data_ScenarioA!G36</f>
        <v>46078</v>
      </c>
      <c r="G35" s="13">
        <f>Schedule_Data_ScenarioA!H36</f>
        <v>0</v>
      </c>
      <c r="H35" s="13"/>
      <c r="I35" s="13"/>
      <c r="J35" s="13"/>
      <c r="K35" s="13"/>
      <c r="L35" s="13"/>
      <c r="M35" s="13"/>
      <c r="N35" s="13"/>
      <c r="O35" s="13"/>
      <c r="P35" s="13"/>
      <c r="Q35" s="13"/>
      <c r="R35" s="13"/>
      <c r="S35" s="13"/>
      <c r="T35" s="13"/>
      <c r="U35" s="13"/>
      <c r="V35" s="13"/>
      <c r="W35" s="13"/>
      <c r="X35" s="13"/>
      <c r="Y35" s="13"/>
      <c r="Z35" s="13"/>
      <c r="AA35" s="13"/>
      <c r="AB35" s="13"/>
      <c r="AC35" s="13"/>
      <c r="AD35" s="13"/>
      <c r="AE35" s="13"/>
      <c r="AF35" s="13"/>
      <c r="AG35" s="13"/>
      <c r="AH35" s="13"/>
      <c r="AI35" s="13"/>
      <c r="AJ35" s="13"/>
      <c r="AK35" s="13"/>
      <c r="AL35" s="13"/>
      <c r="AM35" s="13"/>
      <c r="AN35" s="13"/>
      <c r="AO35" s="13"/>
      <c r="AP35" s="13"/>
      <c r="AQ35" s="13"/>
      <c r="AR35" s="13"/>
      <c r="AS35" s="13"/>
      <c r="AT35" s="13"/>
      <c r="AU35" s="13"/>
      <c r="AV35" s="13"/>
      <c r="AW35" s="20"/>
      <c r="AX35" s="13"/>
      <c r="AY35" s="13"/>
      <c r="AZ35" s="13"/>
      <c r="BA35" s="13"/>
      <c r="BB35" s="13"/>
      <c r="BC35" s="13"/>
      <c r="BD35" s="13"/>
      <c r="BE35" s="13"/>
      <c r="BF35" s="13"/>
      <c r="BG35" s="13"/>
      <c r="BH35" s="13"/>
      <c r="BI35" s="13"/>
      <c r="BJ35" s="13"/>
      <c r="BK35" s="13"/>
      <c r="BL35" s="13"/>
      <c r="BM35" s="13"/>
      <c r="BN35" s="13"/>
      <c r="BO35" s="13"/>
      <c r="BP35" s="13"/>
      <c r="BQ35" s="13"/>
      <c r="BR35" s="13"/>
      <c r="BS35" s="13"/>
      <c r="BT35" s="13"/>
      <c r="BU35" s="13"/>
      <c r="BV35" s="13"/>
      <c r="BW35" s="13"/>
      <c r="BX35" s="13"/>
      <c r="BY35" s="13"/>
      <c r="BZ35" s="13"/>
      <c r="CA35" s="13"/>
      <c r="CB35" s="13"/>
      <c r="CC35" s="13"/>
      <c r="CD35" s="13"/>
      <c r="CE35" s="13"/>
      <c r="CF35" s="13"/>
      <c r="CG35" s="13"/>
      <c r="CH35" s="13"/>
      <c r="CI35" s="13"/>
      <c r="CJ35" s="13"/>
      <c r="CK35" s="13"/>
      <c r="CL35" s="13"/>
      <c r="CM35" s="13"/>
      <c r="CN35" s="13"/>
      <c r="CO35" s="13"/>
      <c r="CP35" s="13"/>
      <c r="CQ35" s="13"/>
      <c r="CR35" s="13"/>
      <c r="CS35" s="13"/>
      <c r="CT35" s="13"/>
      <c r="CU35" s="13"/>
      <c r="CV35" s="13"/>
      <c r="CW35" s="13"/>
      <c r="CX35" s="13"/>
      <c r="CY35" s="13"/>
      <c r="CZ35" s="13"/>
      <c r="DA35" s="13"/>
      <c r="DB35" s="13"/>
      <c r="DC35" s="13"/>
      <c r="DD35" s="13"/>
      <c r="DE35" s="13"/>
      <c r="DF35" s="13"/>
      <c r="DG35" s="13"/>
      <c r="DH35" s="13"/>
      <c r="DI35" s="13"/>
      <c r="DJ35" s="13"/>
      <c r="DK35" s="13"/>
      <c r="DL35" s="13"/>
      <c r="DM35" s="13"/>
      <c r="DN35" s="13"/>
      <c r="DO35" s="13"/>
      <c r="DP35" s="13"/>
      <c r="DQ35" s="13"/>
      <c r="DR35" s="13"/>
      <c r="DS35" s="13"/>
      <c r="DT35" s="13"/>
      <c r="DU35" s="13"/>
      <c r="DV35" s="13"/>
      <c r="DW35" s="13"/>
    </row>
    <row r="36" spans="1:127">
      <c r="A36" s="13" t="str">
        <f>Schedule_Data_ScenarioA!A37</f>
        <v>SF-04</v>
      </c>
      <c r="B36" s="13" t="str">
        <f>Schedule_Data_ScenarioA!B37</f>
        <v>4.0</v>
      </c>
      <c r="C36" s="13" t="str">
        <f>Schedule_Data_ScenarioA!C37</f>
        <v>Sea fastening + MWS checks (TR4)</v>
      </c>
      <c r="D36" s="21" t="str">
        <f>Schedule_Data_ScenarioA!D37</f>
        <v>SEAFAST</v>
      </c>
      <c r="E36" s="33">
        <f>Schedule_Data_ScenarioA!F37</f>
        <v>46079</v>
      </c>
      <c r="F36" s="33">
        <f>Schedule_Data_ScenarioA!G37</f>
        <v>46079</v>
      </c>
      <c r="G36" s="13">
        <f>Schedule_Data_ScenarioA!H37</f>
        <v>0</v>
      </c>
      <c r="H36" s="13"/>
      <c r="I36" s="13"/>
      <c r="J36" s="13"/>
      <c r="K36" s="13"/>
      <c r="L36" s="13"/>
      <c r="M36" s="13"/>
      <c r="N36" s="13"/>
      <c r="O36" s="13"/>
      <c r="P36" s="13"/>
      <c r="Q36" s="13"/>
      <c r="R36" s="13"/>
      <c r="S36" s="13"/>
      <c r="T36" s="13"/>
      <c r="U36" s="13"/>
      <c r="V36" s="13"/>
      <c r="W36" s="13"/>
      <c r="X36" s="13"/>
      <c r="Y36" s="13"/>
      <c r="Z36" s="13"/>
      <c r="AA36" s="13"/>
      <c r="AB36" s="13"/>
      <c r="AC36" s="13"/>
      <c r="AD36" s="13"/>
      <c r="AE36" s="13"/>
      <c r="AF36" s="13"/>
      <c r="AG36" s="13"/>
      <c r="AH36" s="13"/>
      <c r="AI36" s="13"/>
      <c r="AJ36" s="13"/>
      <c r="AK36" s="13"/>
      <c r="AL36" s="13"/>
      <c r="AM36" s="13"/>
      <c r="AN36" s="13"/>
      <c r="AO36" s="13"/>
      <c r="AP36" s="13"/>
      <c r="AQ36" s="13"/>
      <c r="AR36" s="13"/>
      <c r="AS36" s="13"/>
      <c r="AT36" s="13"/>
      <c r="AU36" s="13"/>
      <c r="AV36" s="13"/>
      <c r="AW36" s="13"/>
      <c r="AX36" s="21"/>
      <c r="AY36" s="13"/>
      <c r="AZ36" s="13"/>
      <c r="BA36" s="13"/>
      <c r="BB36" s="13"/>
      <c r="BC36" s="13"/>
      <c r="BD36" s="13"/>
      <c r="BE36" s="13"/>
      <c r="BF36" s="13"/>
      <c r="BG36" s="13"/>
      <c r="BH36" s="13"/>
      <c r="BI36" s="13"/>
      <c r="BJ36" s="13"/>
      <c r="BK36" s="13"/>
      <c r="BL36" s="13"/>
      <c r="BM36" s="13"/>
      <c r="BN36" s="13"/>
      <c r="BO36" s="13"/>
      <c r="BP36" s="13"/>
      <c r="BQ36" s="13"/>
      <c r="BR36" s="13"/>
      <c r="BS36" s="13"/>
      <c r="BT36" s="13"/>
      <c r="BU36" s="13"/>
      <c r="BV36" s="13"/>
      <c r="BW36" s="13"/>
      <c r="BX36" s="13"/>
      <c r="BY36" s="13"/>
      <c r="BZ36" s="13"/>
      <c r="CA36" s="13"/>
      <c r="CB36" s="13"/>
      <c r="CC36" s="13"/>
      <c r="CD36" s="13"/>
      <c r="CE36" s="13"/>
      <c r="CF36" s="13"/>
      <c r="CG36" s="13"/>
      <c r="CH36" s="13"/>
      <c r="CI36" s="13"/>
      <c r="CJ36" s="13"/>
      <c r="CK36" s="13"/>
      <c r="CL36" s="13"/>
      <c r="CM36" s="13"/>
      <c r="CN36" s="13"/>
      <c r="CO36" s="13"/>
      <c r="CP36" s="13"/>
      <c r="CQ36" s="13"/>
      <c r="CR36" s="13"/>
      <c r="CS36" s="13"/>
      <c r="CT36" s="13"/>
      <c r="CU36" s="13"/>
      <c r="CV36" s="13"/>
      <c r="CW36" s="13"/>
      <c r="CX36" s="13"/>
      <c r="CY36" s="13"/>
      <c r="CZ36" s="13"/>
      <c r="DA36" s="13"/>
      <c r="DB36" s="13"/>
      <c r="DC36" s="13"/>
      <c r="DD36" s="13"/>
      <c r="DE36" s="13"/>
      <c r="DF36" s="13"/>
      <c r="DG36" s="13"/>
      <c r="DH36" s="13"/>
      <c r="DI36" s="13"/>
      <c r="DJ36" s="13"/>
      <c r="DK36" s="13"/>
      <c r="DL36" s="13"/>
      <c r="DM36" s="13"/>
      <c r="DN36" s="13"/>
      <c r="DO36" s="13"/>
      <c r="DP36" s="13"/>
      <c r="DQ36" s="13"/>
      <c r="DR36" s="13"/>
      <c r="DS36" s="13"/>
      <c r="DT36" s="13"/>
      <c r="DU36" s="13"/>
      <c r="DV36" s="13"/>
      <c r="DW36" s="13"/>
    </row>
    <row r="37" spans="1:127">
      <c r="A37" s="13" t="str">
        <f>Schedule_Data_ScenarioA!A38</f>
        <v>SAIL-04</v>
      </c>
      <c r="B37" s="13" t="str">
        <f>Schedule_Data_ScenarioA!B38</f>
        <v>4.0</v>
      </c>
      <c r="C37" s="13" t="str">
        <f>Schedule_Data_ScenarioA!C38</f>
        <v>Sail-away MZP→AGI</v>
      </c>
      <c r="D37" s="23" t="str">
        <f>Schedule_Data_ScenarioA!D38</f>
        <v>SAIL</v>
      </c>
      <c r="E37" s="33">
        <f>Schedule_Data_ScenarioA!F38</f>
        <v>46080</v>
      </c>
      <c r="F37" s="33">
        <f>Schedule_Data_ScenarioA!G38</f>
        <v>46080</v>
      </c>
      <c r="G37" s="13">
        <f>Schedule_Data_ScenarioA!H38</f>
        <v>0</v>
      </c>
      <c r="H37" s="13"/>
      <c r="I37" s="13"/>
      <c r="J37" s="13"/>
      <c r="K37" s="13"/>
      <c r="L37" s="13"/>
      <c r="M37" s="13"/>
      <c r="N37" s="13"/>
      <c r="O37" s="13"/>
      <c r="P37" s="13"/>
      <c r="Q37" s="13"/>
      <c r="R37" s="13"/>
      <c r="S37" s="13"/>
      <c r="T37" s="13"/>
      <c r="U37" s="13"/>
      <c r="V37" s="13"/>
      <c r="W37" s="13"/>
      <c r="X37" s="13"/>
      <c r="Y37" s="13"/>
      <c r="Z37" s="13"/>
      <c r="AA37" s="13"/>
      <c r="AB37" s="13"/>
      <c r="AC37" s="13"/>
      <c r="AD37" s="13"/>
      <c r="AE37" s="13"/>
      <c r="AF37" s="13"/>
      <c r="AG37" s="13"/>
      <c r="AH37" s="13"/>
      <c r="AI37" s="13"/>
      <c r="AJ37" s="13"/>
      <c r="AK37" s="13"/>
      <c r="AL37" s="13"/>
      <c r="AM37" s="13"/>
      <c r="AN37" s="13"/>
      <c r="AO37" s="13"/>
      <c r="AP37" s="13"/>
      <c r="AQ37" s="13"/>
      <c r="AR37" s="13"/>
      <c r="AS37" s="13"/>
      <c r="AT37" s="13"/>
      <c r="AU37" s="13"/>
      <c r="AV37" s="13"/>
      <c r="AW37" s="13"/>
      <c r="AX37" s="13"/>
      <c r="AY37" s="23"/>
      <c r="AZ37" s="13"/>
      <c r="BA37" s="13"/>
      <c r="BB37" s="13"/>
      <c r="BC37" s="13"/>
      <c r="BD37" s="13"/>
      <c r="BE37" s="13"/>
      <c r="BF37" s="13"/>
      <c r="BG37" s="13"/>
      <c r="BH37" s="13"/>
      <c r="BI37" s="13"/>
      <c r="BJ37" s="13"/>
      <c r="BK37" s="13"/>
      <c r="BL37" s="13"/>
      <c r="BM37" s="13"/>
      <c r="BN37" s="13"/>
      <c r="BO37" s="13"/>
      <c r="BP37" s="13"/>
      <c r="BQ37" s="13"/>
      <c r="BR37" s="13"/>
      <c r="BS37" s="13"/>
      <c r="BT37" s="13"/>
      <c r="BU37" s="13"/>
      <c r="BV37" s="13"/>
      <c r="BW37" s="13"/>
      <c r="BX37" s="13"/>
      <c r="BY37" s="13"/>
      <c r="BZ37" s="13"/>
      <c r="CA37" s="13"/>
      <c r="CB37" s="13"/>
      <c r="CC37" s="13"/>
      <c r="CD37" s="13"/>
      <c r="CE37" s="13"/>
      <c r="CF37" s="13"/>
      <c r="CG37" s="13"/>
      <c r="CH37" s="13"/>
      <c r="CI37" s="13"/>
      <c r="CJ37" s="13"/>
      <c r="CK37" s="13"/>
      <c r="CL37" s="13"/>
      <c r="CM37" s="13"/>
      <c r="CN37" s="13"/>
      <c r="CO37" s="13"/>
      <c r="CP37" s="13"/>
      <c r="CQ37" s="13"/>
      <c r="CR37" s="13"/>
      <c r="CS37" s="13"/>
      <c r="CT37" s="13"/>
      <c r="CU37" s="13"/>
      <c r="CV37" s="13"/>
      <c r="CW37" s="13"/>
      <c r="CX37" s="13"/>
      <c r="CY37" s="13"/>
      <c r="CZ37" s="13"/>
      <c r="DA37" s="13"/>
      <c r="DB37" s="13"/>
      <c r="DC37" s="13"/>
      <c r="DD37" s="13"/>
      <c r="DE37" s="13"/>
      <c r="DF37" s="13"/>
      <c r="DG37" s="13"/>
      <c r="DH37" s="13"/>
      <c r="DI37" s="13"/>
      <c r="DJ37" s="13"/>
      <c r="DK37" s="13"/>
      <c r="DL37" s="13"/>
      <c r="DM37" s="13"/>
      <c r="DN37" s="13"/>
      <c r="DO37" s="13"/>
      <c r="DP37" s="13"/>
      <c r="DQ37" s="13"/>
      <c r="DR37" s="13"/>
      <c r="DS37" s="13"/>
      <c r="DT37" s="13"/>
      <c r="DU37" s="13"/>
      <c r="DV37" s="13"/>
      <c r="DW37" s="13"/>
    </row>
    <row r="38" spans="1:127">
      <c r="A38" s="13" t="str">
        <f>Schedule_Data_ScenarioA!A39</f>
        <v>UL-04-1</v>
      </c>
      <c r="B38" s="13" t="str">
        <f>Schedule_Data_ScenarioA!B39</f>
        <v>4.0</v>
      </c>
      <c r="C38" s="13" t="str">
        <f>Schedule_Data_ScenarioA!C39</f>
        <v>Unload TR4 at AGI (1 unit/day)</v>
      </c>
      <c r="D38" s="24" t="str">
        <f>Schedule_Data_ScenarioA!D39</f>
        <v>AGI_UNLOAD</v>
      </c>
      <c r="E38" s="33">
        <f>Schedule_Data_ScenarioA!F39</f>
        <v>46081</v>
      </c>
      <c r="F38" s="33">
        <f>Schedule_Data_ScenarioA!G39</f>
        <v>46081</v>
      </c>
      <c r="G38" s="13">
        <f>Schedule_Data_ScenarioA!H39</f>
        <v>0</v>
      </c>
      <c r="H38" s="13"/>
      <c r="I38" s="13"/>
      <c r="J38" s="13"/>
      <c r="K38" s="13"/>
      <c r="L38" s="13"/>
      <c r="M38" s="13"/>
      <c r="N38" s="13"/>
      <c r="O38" s="13"/>
      <c r="P38" s="13"/>
      <c r="Q38" s="13"/>
      <c r="R38" s="13"/>
      <c r="S38" s="13"/>
      <c r="T38" s="13"/>
      <c r="U38" s="13"/>
      <c r="V38" s="13"/>
      <c r="W38" s="13"/>
      <c r="X38" s="13"/>
      <c r="Y38" s="13"/>
      <c r="Z38" s="13"/>
      <c r="AA38" s="13"/>
      <c r="AB38" s="13"/>
      <c r="AC38" s="13"/>
      <c r="AD38" s="13"/>
      <c r="AE38" s="13"/>
      <c r="AF38" s="13"/>
      <c r="AG38" s="13"/>
      <c r="AH38" s="13"/>
      <c r="AI38" s="13"/>
      <c r="AJ38" s="13"/>
      <c r="AK38" s="13"/>
      <c r="AL38" s="13"/>
      <c r="AM38" s="13"/>
      <c r="AN38" s="13"/>
      <c r="AO38" s="13"/>
      <c r="AP38" s="13"/>
      <c r="AQ38" s="13"/>
      <c r="AR38" s="13"/>
      <c r="AS38" s="13"/>
      <c r="AT38" s="13"/>
      <c r="AU38" s="13"/>
      <c r="AV38" s="13"/>
      <c r="AW38" s="13"/>
      <c r="AX38" s="13"/>
      <c r="AY38" s="13"/>
      <c r="AZ38" s="24"/>
      <c r="BA38" s="13"/>
      <c r="BB38" s="13"/>
      <c r="BC38" s="13"/>
      <c r="BD38" s="13"/>
      <c r="BE38" s="13"/>
      <c r="BF38" s="13"/>
      <c r="BG38" s="13"/>
      <c r="BH38" s="13"/>
      <c r="BI38" s="13"/>
      <c r="BJ38" s="13"/>
      <c r="BK38" s="13"/>
      <c r="BL38" s="13"/>
      <c r="BM38" s="13"/>
      <c r="BN38" s="13"/>
      <c r="BO38" s="13"/>
      <c r="BP38" s="13"/>
      <c r="BQ38" s="13"/>
      <c r="BR38" s="13"/>
      <c r="BS38" s="13"/>
      <c r="BT38" s="13"/>
      <c r="BU38" s="13"/>
      <c r="BV38" s="13"/>
      <c r="BW38" s="13"/>
      <c r="BX38" s="13"/>
      <c r="BY38" s="13"/>
      <c r="BZ38" s="13"/>
      <c r="CA38" s="13"/>
      <c r="CB38" s="13"/>
      <c r="CC38" s="13"/>
      <c r="CD38" s="13"/>
      <c r="CE38" s="13"/>
      <c r="CF38" s="13"/>
      <c r="CG38" s="13"/>
      <c r="CH38" s="13"/>
      <c r="CI38" s="13"/>
      <c r="CJ38" s="13"/>
      <c r="CK38" s="13"/>
      <c r="CL38" s="13"/>
      <c r="CM38" s="13"/>
      <c r="CN38" s="13"/>
      <c r="CO38" s="13"/>
      <c r="CP38" s="13"/>
      <c r="CQ38" s="13"/>
      <c r="CR38" s="13"/>
      <c r="CS38" s="13"/>
      <c r="CT38" s="13"/>
      <c r="CU38" s="13"/>
      <c r="CV38" s="13"/>
      <c r="CW38" s="13"/>
      <c r="CX38" s="13"/>
      <c r="CY38" s="13"/>
      <c r="CZ38" s="13"/>
      <c r="DA38" s="13"/>
      <c r="DB38" s="13"/>
      <c r="DC38" s="13"/>
      <c r="DD38" s="13"/>
      <c r="DE38" s="13"/>
      <c r="DF38" s="13"/>
      <c r="DG38" s="13"/>
      <c r="DH38" s="13"/>
      <c r="DI38" s="13"/>
      <c r="DJ38" s="13"/>
      <c r="DK38" s="13"/>
      <c r="DL38" s="13"/>
      <c r="DM38" s="13"/>
      <c r="DN38" s="13"/>
      <c r="DO38" s="13"/>
      <c r="DP38" s="13"/>
      <c r="DQ38" s="13"/>
      <c r="DR38" s="13"/>
      <c r="DS38" s="13"/>
      <c r="DT38" s="13"/>
      <c r="DU38" s="13"/>
      <c r="DV38" s="13"/>
      <c r="DW38" s="13"/>
    </row>
    <row r="39" spans="1:127">
      <c r="A39" s="13" t="str">
        <f>Schedule_Data_ScenarioA!A40</f>
        <v>TURN-04-1</v>
      </c>
      <c r="B39" s="13" t="str">
        <f>Schedule_Data_ScenarioA!B40</f>
        <v>4.0</v>
      </c>
      <c r="C39" s="13" t="str">
        <f>Schedule_Data_ScenarioA!C40</f>
        <v>Turning TR4 (90°)</v>
      </c>
      <c r="D39" s="26" t="str">
        <f>Schedule_Data_ScenarioA!D40</f>
        <v>TURNING</v>
      </c>
      <c r="E39" s="33">
        <f>Schedule_Data_ScenarioA!F40</f>
        <v>46082</v>
      </c>
      <c r="F39" s="33">
        <f>Schedule_Data_ScenarioA!G40</f>
        <v>46082</v>
      </c>
      <c r="G39" s="13">
        <f>Schedule_Data_ScenarioA!H40</f>
        <v>0</v>
      </c>
      <c r="H39" s="13"/>
      <c r="I39" s="13"/>
      <c r="J39" s="13"/>
      <c r="K39" s="13"/>
      <c r="L39" s="13"/>
      <c r="M39" s="13"/>
      <c r="N39" s="13"/>
      <c r="O39" s="13"/>
      <c r="P39" s="13"/>
      <c r="Q39" s="13"/>
      <c r="R39" s="13"/>
      <c r="S39" s="13"/>
      <c r="T39" s="13"/>
      <c r="U39" s="13"/>
      <c r="V39" s="13"/>
      <c r="W39" s="13"/>
      <c r="X39" s="13"/>
      <c r="Y39" s="13"/>
      <c r="Z39" s="13"/>
      <c r="AA39" s="13"/>
      <c r="AB39" s="13"/>
      <c r="AC39" s="13"/>
      <c r="AD39" s="13"/>
      <c r="AE39" s="13"/>
      <c r="AF39" s="13"/>
      <c r="AG39" s="13"/>
      <c r="AH39" s="13"/>
      <c r="AI39" s="13"/>
      <c r="AJ39" s="13"/>
      <c r="AK39" s="13"/>
      <c r="AL39" s="13"/>
      <c r="AM39" s="13"/>
      <c r="AN39" s="13"/>
      <c r="AO39" s="13"/>
      <c r="AP39" s="13"/>
      <c r="AQ39" s="13"/>
      <c r="AR39" s="13"/>
      <c r="AS39" s="13"/>
      <c r="AT39" s="13"/>
      <c r="AU39" s="13"/>
      <c r="AV39" s="13"/>
      <c r="AW39" s="13"/>
      <c r="AX39" s="13"/>
      <c r="AY39" s="13"/>
      <c r="AZ39" s="13"/>
      <c r="BA39" s="26"/>
      <c r="BB39" s="13"/>
      <c r="BC39" s="13"/>
      <c r="BD39" s="13"/>
      <c r="BE39" s="13"/>
      <c r="BF39" s="13"/>
      <c r="BG39" s="13"/>
      <c r="BH39" s="13"/>
      <c r="BI39" s="13"/>
      <c r="BJ39" s="13"/>
      <c r="BK39" s="13"/>
      <c r="BL39" s="13"/>
      <c r="BM39" s="13"/>
      <c r="BN39" s="13"/>
      <c r="BO39" s="13"/>
      <c r="BP39" s="13"/>
      <c r="BQ39" s="13"/>
      <c r="BR39" s="13"/>
      <c r="BS39" s="13"/>
      <c r="BT39" s="13"/>
      <c r="BU39" s="13"/>
      <c r="BV39" s="13"/>
      <c r="BW39" s="13"/>
      <c r="BX39" s="13"/>
      <c r="BY39" s="13"/>
      <c r="BZ39" s="13"/>
      <c r="CA39" s="13"/>
      <c r="CB39" s="13"/>
      <c r="CC39" s="13"/>
      <c r="CD39" s="13"/>
      <c r="CE39" s="13"/>
      <c r="CF39" s="13"/>
      <c r="CG39" s="13"/>
      <c r="CH39" s="13"/>
      <c r="CI39" s="13"/>
      <c r="CJ39" s="13"/>
      <c r="CK39" s="13"/>
      <c r="CL39" s="13"/>
      <c r="CM39" s="13"/>
      <c r="CN39" s="13"/>
      <c r="CO39" s="13"/>
      <c r="CP39" s="13"/>
      <c r="CQ39" s="13"/>
      <c r="CR39" s="13"/>
      <c r="CS39" s="13"/>
      <c r="CT39" s="13"/>
      <c r="CU39" s="13"/>
      <c r="CV39" s="13"/>
      <c r="CW39" s="13"/>
      <c r="CX39" s="13"/>
      <c r="CY39" s="13"/>
      <c r="CZ39" s="13"/>
      <c r="DA39" s="13"/>
      <c r="DB39" s="13"/>
      <c r="DC39" s="13"/>
      <c r="DD39" s="13"/>
      <c r="DE39" s="13"/>
      <c r="DF39" s="13"/>
      <c r="DG39" s="13"/>
      <c r="DH39" s="13"/>
      <c r="DI39" s="13"/>
      <c r="DJ39" s="13"/>
      <c r="DK39" s="13"/>
      <c r="DL39" s="13"/>
      <c r="DM39" s="13"/>
      <c r="DN39" s="13"/>
      <c r="DO39" s="13"/>
      <c r="DP39" s="13"/>
      <c r="DQ39" s="13"/>
      <c r="DR39" s="13"/>
      <c r="DS39" s="13"/>
      <c r="DT39" s="13"/>
      <c r="DU39" s="13"/>
      <c r="DV39" s="13"/>
      <c r="DW39" s="13"/>
    </row>
    <row r="40" spans="1:127">
      <c r="A40" s="13" t="str">
        <f>Schedule_Data_ScenarioA!A41</f>
        <v>JD-04-1</v>
      </c>
      <c r="B40" s="13" t="str">
        <f>Schedule_Data_ScenarioA!B41</f>
        <v>4.0</v>
      </c>
      <c r="C40" s="13" t="str">
        <f>Schedule_Data_ScenarioA!C41</f>
        <v>Jackdown TR4</v>
      </c>
      <c r="D40" s="42" t="str">
        <f>Schedule_Data_ScenarioA!D41</f>
        <v>JACKDOWN</v>
      </c>
      <c r="E40" s="33">
        <f>Schedule_Data_ScenarioA!F41</f>
        <v>46085</v>
      </c>
      <c r="F40" s="33">
        <f>Schedule_Data_ScenarioA!G41</f>
        <v>46085</v>
      </c>
      <c r="G40" s="13">
        <f>Schedule_Data_ScenarioA!H41</f>
        <v>0</v>
      </c>
      <c r="H40" s="13"/>
      <c r="I40" s="13"/>
      <c r="J40" s="13"/>
      <c r="K40" s="13"/>
      <c r="L40" s="13"/>
      <c r="M40" s="13"/>
      <c r="N40" s="13"/>
      <c r="O40" s="13"/>
      <c r="P40" s="13"/>
      <c r="Q40" s="13"/>
      <c r="R40" s="13"/>
      <c r="S40" s="13"/>
      <c r="T40" s="13"/>
      <c r="U40" s="13"/>
      <c r="V40" s="13"/>
      <c r="W40" s="13"/>
      <c r="X40" s="13"/>
      <c r="Y40" s="13"/>
      <c r="Z40" s="13"/>
      <c r="AA40" s="13"/>
      <c r="AB40" s="13"/>
      <c r="AC40" s="13"/>
      <c r="AD40" s="13"/>
      <c r="AE40" s="13"/>
      <c r="AF40" s="13"/>
      <c r="AG40" s="13"/>
      <c r="AH40" s="13"/>
      <c r="AI40" s="13"/>
      <c r="AJ40" s="13"/>
      <c r="AK40" s="13"/>
      <c r="AL40" s="13"/>
      <c r="AM40" s="13"/>
      <c r="AN40" s="13"/>
      <c r="AO40" s="13"/>
      <c r="AP40" s="13"/>
      <c r="AQ40" s="13"/>
      <c r="AR40" s="13"/>
      <c r="AS40" s="13"/>
      <c r="AT40" s="13"/>
      <c r="AU40" s="13"/>
      <c r="AV40" s="13"/>
      <c r="AW40" s="13"/>
      <c r="AX40" s="13"/>
      <c r="AY40" s="13"/>
      <c r="AZ40" s="13"/>
      <c r="BA40" s="13"/>
      <c r="BB40" s="13"/>
      <c r="BC40" s="13"/>
      <c r="BD40" s="42"/>
      <c r="BE40" s="13"/>
      <c r="BF40" s="13"/>
      <c r="BG40" s="13"/>
      <c r="BH40" s="13"/>
      <c r="BI40" s="13"/>
      <c r="BJ40" s="13"/>
      <c r="BK40" s="13"/>
      <c r="BL40" s="13"/>
      <c r="BM40" s="13"/>
      <c r="BN40" s="13"/>
      <c r="BO40" s="13"/>
      <c r="BP40" s="13"/>
      <c r="BQ40" s="13"/>
      <c r="BR40" s="13"/>
      <c r="BS40" s="13"/>
      <c r="BT40" s="13"/>
      <c r="BU40" s="13"/>
      <c r="BV40" s="13"/>
      <c r="BW40" s="13"/>
      <c r="BX40" s="13"/>
      <c r="BY40" s="13"/>
      <c r="BZ40" s="13"/>
      <c r="CA40" s="13"/>
      <c r="CB40" s="13"/>
      <c r="CC40" s="13"/>
      <c r="CD40" s="13"/>
      <c r="CE40" s="13"/>
      <c r="CF40" s="13"/>
      <c r="CG40" s="13"/>
      <c r="CH40" s="13"/>
      <c r="CI40" s="13"/>
      <c r="CJ40" s="13"/>
      <c r="CK40" s="13"/>
      <c r="CL40" s="13"/>
      <c r="CM40" s="13"/>
      <c r="CN40" s="13"/>
      <c r="CO40" s="13"/>
      <c r="CP40" s="13"/>
      <c r="CQ40" s="13"/>
      <c r="CR40" s="13"/>
      <c r="CS40" s="13"/>
      <c r="CT40" s="13"/>
      <c r="CU40" s="13"/>
      <c r="CV40" s="13"/>
      <c r="CW40" s="13"/>
      <c r="CX40" s="13"/>
      <c r="CY40" s="13"/>
      <c r="CZ40" s="13"/>
      <c r="DA40" s="13"/>
      <c r="DB40" s="13"/>
      <c r="DC40" s="13"/>
      <c r="DD40" s="13"/>
      <c r="DE40" s="13"/>
      <c r="DF40" s="13"/>
      <c r="DG40" s="13"/>
      <c r="DH40" s="13"/>
      <c r="DI40" s="13"/>
      <c r="DJ40" s="13"/>
      <c r="DK40" s="13"/>
      <c r="DL40" s="13"/>
      <c r="DM40" s="13"/>
      <c r="DN40" s="13"/>
      <c r="DO40" s="13"/>
      <c r="DP40" s="13"/>
      <c r="DQ40" s="13"/>
      <c r="DR40" s="13"/>
      <c r="DS40" s="13"/>
      <c r="DT40" s="13"/>
      <c r="DU40" s="13"/>
      <c r="DV40" s="13"/>
      <c r="DW40" s="13"/>
    </row>
    <row r="41" spans="1:127">
      <c r="A41" s="13" t="str">
        <f>Schedule_Data_ScenarioA!A42</f>
        <v>RET-04</v>
      </c>
      <c r="B41" s="13" t="str">
        <f>Schedule_Data_ScenarioA!B42</f>
        <v>4.0</v>
      </c>
      <c r="C41" s="13" t="str">
        <f>Schedule_Data_ScenarioA!C42</f>
        <v>LCT Return AGI→MZP</v>
      </c>
      <c r="D41" s="25" t="str">
        <f>Schedule_Data_ScenarioA!D42</f>
        <v>RETURN</v>
      </c>
      <c r="E41" s="33">
        <f>Schedule_Data_ScenarioA!F42</f>
        <v>46086</v>
      </c>
      <c r="F41" s="33">
        <f>Schedule_Data_ScenarioA!G42</f>
        <v>46086</v>
      </c>
      <c r="G41" s="13">
        <f>Schedule_Data_ScenarioA!H42</f>
        <v>0</v>
      </c>
      <c r="H41" s="13"/>
      <c r="I41" s="13"/>
      <c r="J41" s="13"/>
      <c r="K41" s="13"/>
      <c r="L41" s="13"/>
      <c r="M41" s="13"/>
      <c r="N41" s="13"/>
      <c r="O41" s="13"/>
      <c r="P41" s="13"/>
      <c r="Q41" s="13"/>
      <c r="R41" s="13"/>
      <c r="S41" s="13"/>
      <c r="T41" s="13"/>
      <c r="U41" s="13"/>
      <c r="V41" s="13"/>
      <c r="W41" s="13"/>
      <c r="X41" s="13"/>
      <c r="Y41" s="13"/>
      <c r="Z41" s="13"/>
      <c r="AA41" s="13"/>
      <c r="AB41" s="13"/>
      <c r="AC41" s="13"/>
      <c r="AD41" s="13"/>
      <c r="AE41" s="13"/>
      <c r="AF41" s="13"/>
      <c r="AG41" s="13"/>
      <c r="AH41" s="13"/>
      <c r="AI41" s="13"/>
      <c r="AJ41" s="13"/>
      <c r="AK41" s="13"/>
      <c r="AL41" s="13"/>
      <c r="AM41" s="13"/>
      <c r="AN41" s="13"/>
      <c r="AO41" s="13"/>
      <c r="AP41" s="13"/>
      <c r="AQ41" s="13"/>
      <c r="AR41" s="13"/>
      <c r="AS41" s="13"/>
      <c r="AT41" s="13"/>
      <c r="AU41" s="13"/>
      <c r="AV41" s="13"/>
      <c r="AW41" s="13"/>
      <c r="AX41" s="13"/>
      <c r="AY41" s="13"/>
      <c r="AZ41" s="13"/>
      <c r="BA41" s="13"/>
      <c r="BB41" s="13"/>
      <c r="BC41" s="13"/>
      <c r="BD41" s="13"/>
      <c r="BE41" s="25"/>
      <c r="BF41" s="13"/>
      <c r="BG41" s="13"/>
      <c r="BH41" s="13"/>
      <c r="BI41" s="13"/>
      <c r="BJ41" s="13"/>
      <c r="BK41" s="13"/>
      <c r="BL41" s="13"/>
      <c r="BM41" s="13"/>
      <c r="BN41" s="13"/>
      <c r="BO41" s="13"/>
      <c r="BP41" s="13"/>
      <c r="BQ41" s="13"/>
      <c r="BR41" s="13"/>
      <c r="BS41" s="13"/>
      <c r="BT41" s="13"/>
      <c r="BU41" s="13"/>
      <c r="BV41" s="13"/>
      <c r="BW41" s="13"/>
      <c r="BX41" s="13"/>
      <c r="BY41" s="13"/>
      <c r="BZ41" s="13"/>
      <c r="CA41" s="13"/>
      <c r="CB41" s="13"/>
      <c r="CC41" s="13"/>
      <c r="CD41" s="13"/>
      <c r="CE41" s="13"/>
      <c r="CF41" s="13"/>
      <c r="CG41" s="13"/>
      <c r="CH41" s="13"/>
      <c r="CI41" s="13"/>
      <c r="CJ41" s="13"/>
      <c r="CK41" s="13"/>
      <c r="CL41" s="13"/>
      <c r="CM41" s="13"/>
      <c r="CN41" s="13"/>
      <c r="CO41" s="13"/>
      <c r="CP41" s="13"/>
      <c r="CQ41" s="13"/>
      <c r="CR41" s="13"/>
      <c r="CS41" s="13"/>
      <c r="CT41" s="13"/>
      <c r="CU41" s="13"/>
      <c r="CV41" s="13"/>
      <c r="CW41" s="13"/>
      <c r="CX41" s="13"/>
      <c r="CY41" s="13"/>
      <c r="CZ41" s="13"/>
      <c r="DA41" s="13"/>
      <c r="DB41" s="13"/>
      <c r="DC41" s="13"/>
      <c r="DD41" s="13"/>
      <c r="DE41" s="13"/>
      <c r="DF41" s="13"/>
      <c r="DG41" s="13"/>
      <c r="DH41" s="13"/>
      <c r="DI41" s="13"/>
      <c r="DJ41" s="13"/>
      <c r="DK41" s="13"/>
      <c r="DL41" s="13"/>
      <c r="DM41" s="13"/>
      <c r="DN41" s="13"/>
      <c r="DO41" s="13"/>
      <c r="DP41" s="13"/>
      <c r="DQ41" s="13"/>
      <c r="DR41" s="13"/>
      <c r="DS41" s="13"/>
      <c r="DT41" s="13"/>
      <c r="DU41" s="13"/>
      <c r="DV41" s="13"/>
      <c r="DW41" s="13"/>
    </row>
    <row r="42" spans="1:127">
      <c r="A42" s="13" t="str">
        <f>Schedule_Data_ScenarioA!A43</f>
        <v>BUF-04</v>
      </c>
      <c r="B42" s="13" t="str">
        <f>Schedule_Data_ScenarioA!B43</f>
        <v>4.0</v>
      </c>
      <c r="C42" s="13" t="str">
        <f>Schedule_Data_ScenarioA!C43</f>
        <v>Buffer / reset</v>
      </c>
      <c r="D42" s="22" t="str">
        <f>Schedule_Data_ScenarioA!D43</f>
        <v>BUFFER</v>
      </c>
      <c r="E42" s="33">
        <f>Schedule_Data_ScenarioA!F43</f>
        <v>46087</v>
      </c>
      <c r="F42" s="33">
        <f>Schedule_Data_ScenarioA!G43</f>
        <v>46087</v>
      </c>
      <c r="G42" s="13">
        <f>Schedule_Data_ScenarioA!H43</f>
        <v>0</v>
      </c>
      <c r="H42" s="13"/>
      <c r="I42" s="13"/>
      <c r="J42" s="13"/>
      <c r="K42" s="13"/>
      <c r="L42" s="13"/>
      <c r="M42" s="13"/>
      <c r="N42" s="13"/>
      <c r="O42" s="13"/>
      <c r="P42" s="13"/>
      <c r="Q42" s="13"/>
      <c r="R42" s="13"/>
      <c r="S42" s="13"/>
      <c r="T42" s="13"/>
      <c r="U42" s="13"/>
      <c r="V42" s="13"/>
      <c r="W42" s="13"/>
      <c r="X42" s="13"/>
      <c r="Y42" s="13"/>
      <c r="Z42" s="13"/>
      <c r="AA42" s="13"/>
      <c r="AB42" s="13"/>
      <c r="AC42" s="13"/>
      <c r="AD42" s="13"/>
      <c r="AE42" s="13"/>
      <c r="AF42" s="13"/>
      <c r="AG42" s="13"/>
      <c r="AH42" s="13"/>
      <c r="AI42" s="13"/>
      <c r="AJ42" s="13"/>
      <c r="AK42" s="13"/>
      <c r="AL42" s="13"/>
      <c r="AM42" s="13"/>
      <c r="AN42" s="13"/>
      <c r="AO42" s="13"/>
      <c r="AP42" s="13"/>
      <c r="AQ42" s="13"/>
      <c r="AR42" s="13"/>
      <c r="AS42" s="13"/>
      <c r="AT42" s="13"/>
      <c r="AU42" s="13"/>
      <c r="AV42" s="13"/>
      <c r="AW42" s="13"/>
      <c r="AX42" s="13"/>
      <c r="AY42" s="13"/>
      <c r="AZ42" s="13"/>
      <c r="BA42" s="13"/>
      <c r="BB42" s="13"/>
      <c r="BC42" s="13"/>
      <c r="BD42" s="13"/>
      <c r="BE42" s="13"/>
      <c r="BF42" s="22"/>
      <c r="BG42" s="13"/>
      <c r="BH42" s="13"/>
      <c r="BI42" s="13"/>
      <c r="BJ42" s="13"/>
      <c r="BK42" s="13"/>
      <c r="BL42" s="13"/>
      <c r="BM42" s="13"/>
      <c r="BN42" s="13"/>
      <c r="BO42" s="13"/>
      <c r="BP42" s="13"/>
      <c r="BQ42" s="13"/>
      <c r="BR42" s="13"/>
      <c r="BS42" s="13"/>
      <c r="BT42" s="13"/>
      <c r="BU42" s="13"/>
      <c r="BV42" s="13"/>
      <c r="BW42" s="13"/>
      <c r="BX42" s="13"/>
      <c r="BY42" s="13"/>
      <c r="BZ42" s="13"/>
      <c r="CA42" s="13"/>
      <c r="CB42" s="13"/>
      <c r="CC42" s="13"/>
      <c r="CD42" s="13"/>
      <c r="CE42" s="13"/>
      <c r="CF42" s="13"/>
      <c r="CG42" s="13"/>
      <c r="CH42" s="13"/>
      <c r="CI42" s="13"/>
      <c r="CJ42" s="13"/>
      <c r="CK42" s="13"/>
      <c r="CL42" s="13"/>
      <c r="CM42" s="13"/>
      <c r="CN42" s="13"/>
      <c r="CO42" s="13"/>
      <c r="CP42" s="13"/>
      <c r="CQ42" s="13"/>
      <c r="CR42" s="13"/>
      <c r="CS42" s="13"/>
      <c r="CT42" s="13"/>
      <c r="CU42" s="13"/>
      <c r="CV42" s="13"/>
      <c r="CW42" s="13"/>
      <c r="CX42" s="13"/>
      <c r="CY42" s="13"/>
      <c r="CZ42" s="13"/>
      <c r="DA42" s="13"/>
      <c r="DB42" s="13"/>
      <c r="DC42" s="13"/>
      <c r="DD42" s="13"/>
      <c r="DE42" s="13"/>
      <c r="DF42" s="13"/>
      <c r="DG42" s="13"/>
      <c r="DH42" s="13"/>
      <c r="DI42" s="13"/>
      <c r="DJ42" s="13"/>
      <c r="DK42" s="13"/>
      <c r="DL42" s="13"/>
      <c r="DM42" s="13"/>
      <c r="DN42" s="13"/>
      <c r="DO42" s="13"/>
      <c r="DP42" s="13"/>
      <c r="DQ42" s="13"/>
      <c r="DR42" s="13"/>
      <c r="DS42" s="13"/>
      <c r="DT42" s="13"/>
      <c r="DU42" s="13"/>
      <c r="DV42" s="13"/>
      <c r="DW42" s="13"/>
    </row>
    <row r="43" spans="1:127">
      <c r="A43" s="13" t="str">
        <f>Schedule_Data_ScenarioA!A44</f>
        <v>V5</v>
      </c>
      <c r="B43" s="13" t="str">
        <f>Schedule_Data_ScenarioA!B44</f>
        <v>5.0</v>
      </c>
      <c r="C43" s="13" t="str">
        <f>Schedule_Data_ScenarioA!C44</f>
        <v>VOYAGE 5: TR5 Transport</v>
      </c>
      <c r="D43" s="34" t="str">
        <f>Schedule_Data_ScenarioA!D44</f>
        <v>MILESTONE</v>
      </c>
      <c r="E43" s="33">
        <f>Schedule_Data_ScenarioA!F44</f>
        <v>46088</v>
      </c>
      <c r="F43" s="33">
        <f>Schedule_Data_ScenarioA!G44</f>
        <v>46088</v>
      </c>
      <c r="G43" s="13">
        <f>Schedule_Data_ScenarioA!H44</f>
        <v>0</v>
      </c>
      <c r="H43" s="13"/>
      <c r="I43" s="13"/>
      <c r="J43" s="13"/>
      <c r="K43" s="13"/>
      <c r="L43" s="13"/>
      <c r="M43" s="13"/>
      <c r="N43" s="13"/>
      <c r="O43" s="13"/>
      <c r="P43" s="13"/>
      <c r="Q43" s="13"/>
      <c r="R43" s="13"/>
      <c r="S43" s="13"/>
      <c r="T43" s="13"/>
      <c r="U43" s="13"/>
      <c r="V43" s="13"/>
      <c r="W43" s="13"/>
      <c r="X43" s="13"/>
      <c r="Y43" s="13"/>
      <c r="Z43" s="13"/>
      <c r="AA43" s="13"/>
      <c r="AB43" s="13"/>
      <c r="AC43" s="13"/>
      <c r="AD43" s="13"/>
      <c r="AE43" s="13"/>
      <c r="AF43" s="13"/>
      <c r="AG43" s="13"/>
      <c r="AH43" s="13"/>
      <c r="AI43" s="13"/>
      <c r="AJ43" s="13"/>
      <c r="AK43" s="13"/>
      <c r="AL43" s="13"/>
      <c r="AM43" s="13"/>
      <c r="AN43" s="13"/>
      <c r="AO43" s="13"/>
      <c r="AP43" s="13"/>
      <c r="AQ43" s="13"/>
      <c r="AR43" s="13"/>
      <c r="AS43" s="13"/>
      <c r="AT43" s="13"/>
      <c r="AU43" s="13"/>
      <c r="AV43" s="13"/>
      <c r="AW43" s="13"/>
      <c r="AX43" s="13"/>
      <c r="AY43" s="13"/>
      <c r="AZ43" s="13"/>
      <c r="BA43" s="13"/>
      <c r="BB43" s="13"/>
      <c r="BC43" s="13"/>
      <c r="BD43" s="13"/>
      <c r="BE43" s="13"/>
      <c r="BF43" s="13"/>
      <c r="BG43" s="35" t="s">
        <v>270</v>
      </c>
      <c r="BH43" s="13"/>
      <c r="BI43" s="13"/>
      <c r="BJ43" s="13"/>
      <c r="BK43" s="13"/>
      <c r="BL43" s="13"/>
      <c r="BM43" s="13"/>
      <c r="BN43" s="13"/>
      <c r="BO43" s="13"/>
      <c r="BP43" s="13"/>
      <c r="BQ43" s="13"/>
      <c r="BR43" s="13"/>
      <c r="BS43" s="13"/>
      <c r="BT43" s="13"/>
      <c r="BU43" s="13"/>
      <c r="BV43" s="13"/>
      <c r="BW43" s="13"/>
      <c r="BX43" s="13"/>
      <c r="BY43" s="13"/>
      <c r="BZ43" s="13"/>
      <c r="CA43" s="13"/>
      <c r="CB43" s="13"/>
      <c r="CC43" s="13"/>
      <c r="CD43" s="13"/>
      <c r="CE43" s="13"/>
      <c r="CF43" s="13"/>
      <c r="CG43" s="13"/>
      <c r="CH43" s="13"/>
      <c r="CI43" s="13"/>
      <c r="CJ43" s="13"/>
      <c r="CK43" s="13"/>
      <c r="CL43" s="13"/>
      <c r="CM43" s="13"/>
      <c r="CN43" s="13"/>
      <c r="CO43" s="13"/>
      <c r="CP43" s="13"/>
      <c r="CQ43" s="13"/>
      <c r="CR43" s="13"/>
      <c r="CS43" s="13"/>
      <c r="CT43" s="13"/>
      <c r="CU43" s="13"/>
      <c r="CV43" s="13"/>
      <c r="CW43" s="13"/>
      <c r="CX43" s="13"/>
      <c r="CY43" s="13"/>
      <c r="CZ43" s="13"/>
      <c r="DA43" s="13"/>
      <c r="DB43" s="13"/>
      <c r="DC43" s="13"/>
      <c r="DD43" s="13"/>
      <c r="DE43" s="13"/>
      <c r="DF43" s="13"/>
      <c r="DG43" s="13"/>
      <c r="DH43" s="13"/>
      <c r="DI43" s="13"/>
      <c r="DJ43" s="13"/>
      <c r="DK43" s="13"/>
      <c r="DL43" s="13"/>
      <c r="DM43" s="13"/>
      <c r="DN43" s="13"/>
      <c r="DO43" s="13"/>
      <c r="DP43" s="13"/>
      <c r="DQ43" s="13"/>
      <c r="DR43" s="13"/>
      <c r="DS43" s="13"/>
      <c r="DT43" s="13"/>
      <c r="DU43" s="13"/>
      <c r="DV43" s="13"/>
      <c r="DW43" s="13"/>
    </row>
    <row r="44" spans="1:127">
      <c r="A44" s="13" t="str">
        <f>Schedule_Data_ScenarioA!A45</f>
        <v>LO-05</v>
      </c>
      <c r="B44" s="13" t="str">
        <f>Schedule_Data_ScenarioA!B45</f>
        <v>5.0</v>
      </c>
      <c r="C44" s="13" t="str">
        <f>Schedule_Data_ScenarioA!C45</f>
        <v>Loadout TR5 onto LCT</v>
      </c>
      <c r="D44" s="20" t="str">
        <f>Schedule_Data_ScenarioA!D45</f>
        <v>LOADOUT</v>
      </c>
      <c r="E44" s="33">
        <f>Schedule_Data_ScenarioA!F45</f>
        <v>46088</v>
      </c>
      <c r="F44" s="33">
        <f>Schedule_Data_ScenarioA!G45</f>
        <v>46088</v>
      </c>
      <c r="G44" s="13">
        <f>Schedule_Data_ScenarioA!H45</f>
        <v>0</v>
      </c>
      <c r="H44" s="13"/>
      <c r="I44" s="13"/>
      <c r="J44" s="13"/>
      <c r="K44" s="13"/>
      <c r="L44" s="13"/>
      <c r="M44" s="13"/>
      <c r="N44" s="13"/>
      <c r="O44" s="13"/>
      <c r="P44" s="13"/>
      <c r="Q44" s="13"/>
      <c r="R44" s="13"/>
      <c r="S44" s="13"/>
      <c r="T44" s="13"/>
      <c r="U44" s="13"/>
      <c r="V44" s="13"/>
      <c r="W44" s="13"/>
      <c r="X44" s="13"/>
      <c r="Y44" s="13"/>
      <c r="Z44" s="13"/>
      <c r="AA44" s="13"/>
      <c r="AB44" s="13"/>
      <c r="AC44" s="13"/>
      <c r="AD44" s="13"/>
      <c r="AE44" s="13"/>
      <c r="AF44" s="13"/>
      <c r="AG44" s="13"/>
      <c r="AH44" s="13"/>
      <c r="AI44" s="13"/>
      <c r="AJ44" s="13"/>
      <c r="AK44" s="13"/>
      <c r="AL44" s="13"/>
      <c r="AM44" s="13"/>
      <c r="AN44" s="13"/>
      <c r="AO44" s="13"/>
      <c r="AP44" s="13"/>
      <c r="AQ44" s="13"/>
      <c r="AR44" s="13"/>
      <c r="AS44" s="13"/>
      <c r="AT44" s="13"/>
      <c r="AU44" s="13"/>
      <c r="AV44" s="13"/>
      <c r="AW44" s="13"/>
      <c r="AX44" s="13"/>
      <c r="AY44" s="13"/>
      <c r="AZ44" s="13"/>
      <c r="BA44" s="13"/>
      <c r="BB44" s="13"/>
      <c r="BC44" s="13"/>
      <c r="BD44" s="13"/>
      <c r="BE44" s="13"/>
      <c r="BF44" s="13"/>
      <c r="BG44" s="20"/>
      <c r="BH44" s="13"/>
      <c r="BI44" s="13"/>
      <c r="BJ44" s="13"/>
      <c r="BK44" s="13"/>
      <c r="BL44" s="13"/>
      <c r="BM44" s="13"/>
      <c r="BN44" s="13"/>
      <c r="BO44" s="13"/>
      <c r="BP44" s="13"/>
      <c r="BQ44" s="13"/>
      <c r="BR44" s="13"/>
      <c r="BS44" s="13"/>
      <c r="BT44" s="13"/>
      <c r="BU44" s="13"/>
      <c r="BV44" s="13"/>
      <c r="BW44" s="13"/>
      <c r="BX44" s="13"/>
      <c r="BY44" s="13"/>
      <c r="BZ44" s="13"/>
      <c r="CA44" s="13"/>
      <c r="CB44" s="13"/>
      <c r="CC44" s="13"/>
      <c r="CD44" s="13"/>
      <c r="CE44" s="13"/>
      <c r="CF44" s="13"/>
      <c r="CG44" s="13"/>
      <c r="CH44" s="13"/>
      <c r="CI44" s="13"/>
      <c r="CJ44" s="13"/>
      <c r="CK44" s="13"/>
      <c r="CL44" s="13"/>
      <c r="CM44" s="13"/>
      <c r="CN44" s="13"/>
      <c r="CO44" s="13"/>
      <c r="CP44" s="13"/>
      <c r="CQ44" s="13"/>
      <c r="CR44" s="13"/>
      <c r="CS44" s="13"/>
      <c r="CT44" s="13"/>
      <c r="CU44" s="13"/>
      <c r="CV44" s="13"/>
      <c r="CW44" s="13"/>
      <c r="CX44" s="13"/>
      <c r="CY44" s="13"/>
      <c r="CZ44" s="13"/>
      <c r="DA44" s="13"/>
      <c r="DB44" s="13"/>
      <c r="DC44" s="13"/>
      <c r="DD44" s="13"/>
      <c r="DE44" s="13"/>
      <c r="DF44" s="13"/>
      <c r="DG44" s="13"/>
      <c r="DH44" s="13"/>
      <c r="DI44" s="13"/>
      <c r="DJ44" s="13"/>
      <c r="DK44" s="13"/>
      <c r="DL44" s="13"/>
      <c r="DM44" s="13"/>
      <c r="DN44" s="13"/>
      <c r="DO44" s="13"/>
      <c r="DP44" s="13"/>
      <c r="DQ44" s="13"/>
      <c r="DR44" s="13"/>
      <c r="DS44" s="13"/>
      <c r="DT44" s="13"/>
      <c r="DU44" s="13"/>
      <c r="DV44" s="13"/>
      <c r="DW44" s="13"/>
    </row>
    <row r="45" spans="1:127">
      <c r="A45" s="13" t="str">
        <f>Schedule_Data_ScenarioA!A46</f>
        <v>SF-05</v>
      </c>
      <c r="B45" s="13" t="str">
        <f>Schedule_Data_ScenarioA!B46</f>
        <v>5.0</v>
      </c>
      <c r="C45" s="13" t="str">
        <f>Schedule_Data_ScenarioA!C46</f>
        <v>Sea fastening + MWS checks (TR5)</v>
      </c>
      <c r="D45" s="21" t="str">
        <f>Schedule_Data_ScenarioA!D46</f>
        <v>SEAFAST</v>
      </c>
      <c r="E45" s="33">
        <f>Schedule_Data_ScenarioA!F46</f>
        <v>46089</v>
      </c>
      <c r="F45" s="33">
        <f>Schedule_Data_ScenarioA!G46</f>
        <v>46089</v>
      </c>
      <c r="G45" s="13">
        <f>Schedule_Data_ScenarioA!H46</f>
        <v>0</v>
      </c>
      <c r="H45" s="13"/>
      <c r="I45" s="13"/>
      <c r="J45" s="13"/>
      <c r="K45" s="13"/>
      <c r="L45" s="13"/>
      <c r="M45" s="13"/>
      <c r="N45" s="13"/>
      <c r="O45" s="13"/>
      <c r="P45" s="13"/>
      <c r="Q45" s="13"/>
      <c r="R45" s="13"/>
      <c r="S45" s="13"/>
      <c r="T45" s="13"/>
      <c r="U45" s="13"/>
      <c r="V45" s="13"/>
      <c r="W45" s="13"/>
      <c r="X45" s="13"/>
      <c r="Y45" s="13"/>
      <c r="Z45" s="13"/>
      <c r="AA45" s="13"/>
      <c r="AB45" s="13"/>
      <c r="AC45" s="13"/>
      <c r="AD45" s="13"/>
      <c r="AE45" s="13"/>
      <c r="AF45" s="13"/>
      <c r="AG45" s="13"/>
      <c r="AH45" s="13"/>
      <c r="AI45" s="13"/>
      <c r="AJ45" s="13"/>
      <c r="AK45" s="13"/>
      <c r="AL45" s="13"/>
      <c r="AM45" s="13"/>
      <c r="AN45" s="13"/>
      <c r="AO45" s="13"/>
      <c r="AP45" s="13"/>
      <c r="AQ45" s="13"/>
      <c r="AR45" s="13"/>
      <c r="AS45" s="13"/>
      <c r="AT45" s="13"/>
      <c r="AU45" s="13"/>
      <c r="AV45" s="13"/>
      <c r="AW45" s="13"/>
      <c r="AX45" s="13"/>
      <c r="AY45" s="13"/>
      <c r="AZ45" s="13"/>
      <c r="BA45" s="13"/>
      <c r="BB45" s="13"/>
      <c r="BC45" s="13"/>
      <c r="BD45" s="13"/>
      <c r="BE45" s="13"/>
      <c r="BF45" s="13"/>
      <c r="BG45" s="13"/>
      <c r="BH45" s="21"/>
      <c r="BI45" s="13"/>
      <c r="BJ45" s="13"/>
      <c r="BK45" s="13"/>
      <c r="BL45" s="13"/>
      <c r="BM45" s="13"/>
      <c r="BN45" s="13"/>
      <c r="BO45" s="13"/>
      <c r="BP45" s="13"/>
      <c r="BQ45" s="13"/>
      <c r="BR45" s="13"/>
      <c r="BS45" s="13"/>
      <c r="BT45" s="13"/>
      <c r="BU45" s="13"/>
      <c r="BV45" s="13"/>
      <c r="BW45" s="13"/>
      <c r="BX45" s="13"/>
      <c r="BY45" s="13"/>
      <c r="BZ45" s="13"/>
      <c r="CA45" s="13"/>
      <c r="CB45" s="13"/>
      <c r="CC45" s="13"/>
      <c r="CD45" s="13"/>
      <c r="CE45" s="13"/>
      <c r="CF45" s="13"/>
      <c r="CG45" s="13"/>
      <c r="CH45" s="13"/>
      <c r="CI45" s="13"/>
      <c r="CJ45" s="13"/>
      <c r="CK45" s="13"/>
      <c r="CL45" s="13"/>
      <c r="CM45" s="13"/>
      <c r="CN45" s="13"/>
      <c r="CO45" s="13"/>
      <c r="CP45" s="13"/>
      <c r="CQ45" s="13"/>
      <c r="CR45" s="13"/>
      <c r="CS45" s="13"/>
      <c r="CT45" s="13"/>
      <c r="CU45" s="13"/>
      <c r="CV45" s="13"/>
      <c r="CW45" s="13"/>
      <c r="CX45" s="13"/>
      <c r="CY45" s="13"/>
      <c r="CZ45" s="13"/>
      <c r="DA45" s="13"/>
      <c r="DB45" s="13"/>
      <c r="DC45" s="13"/>
      <c r="DD45" s="13"/>
      <c r="DE45" s="13"/>
      <c r="DF45" s="13"/>
      <c r="DG45" s="13"/>
      <c r="DH45" s="13"/>
      <c r="DI45" s="13"/>
      <c r="DJ45" s="13"/>
      <c r="DK45" s="13"/>
      <c r="DL45" s="13"/>
      <c r="DM45" s="13"/>
      <c r="DN45" s="13"/>
      <c r="DO45" s="13"/>
      <c r="DP45" s="13"/>
      <c r="DQ45" s="13"/>
      <c r="DR45" s="13"/>
      <c r="DS45" s="13"/>
      <c r="DT45" s="13"/>
      <c r="DU45" s="13"/>
      <c r="DV45" s="13"/>
      <c r="DW45" s="13"/>
    </row>
    <row r="46" spans="1:127">
      <c r="A46" s="13" t="str">
        <f>Schedule_Data_ScenarioA!A47</f>
        <v>SAIL-05</v>
      </c>
      <c r="B46" s="13" t="str">
        <f>Schedule_Data_ScenarioA!B47</f>
        <v>5.0</v>
      </c>
      <c r="C46" s="13" t="str">
        <f>Schedule_Data_ScenarioA!C47</f>
        <v>Sail-away MZP→AGI</v>
      </c>
      <c r="D46" s="23" t="str">
        <f>Schedule_Data_ScenarioA!D47</f>
        <v>SAIL</v>
      </c>
      <c r="E46" s="33">
        <f>Schedule_Data_ScenarioA!F47</f>
        <v>46090</v>
      </c>
      <c r="F46" s="33">
        <f>Schedule_Data_ScenarioA!G47</f>
        <v>46090</v>
      </c>
      <c r="G46" s="13">
        <f>Schedule_Data_ScenarioA!H47</f>
        <v>0</v>
      </c>
      <c r="H46" s="13"/>
      <c r="I46" s="13"/>
      <c r="J46" s="13"/>
      <c r="K46" s="13"/>
      <c r="L46" s="13"/>
      <c r="M46" s="13"/>
      <c r="N46" s="13"/>
      <c r="O46" s="13"/>
      <c r="P46" s="13"/>
      <c r="Q46" s="13"/>
      <c r="R46" s="13"/>
      <c r="S46" s="13"/>
      <c r="T46" s="13"/>
      <c r="U46" s="13"/>
      <c r="V46" s="13"/>
      <c r="W46" s="13"/>
      <c r="X46" s="13"/>
      <c r="Y46" s="13"/>
      <c r="Z46" s="13"/>
      <c r="AA46" s="13"/>
      <c r="AB46" s="13"/>
      <c r="AC46" s="13"/>
      <c r="AD46" s="13"/>
      <c r="AE46" s="13"/>
      <c r="AF46" s="13"/>
      <c r="AG46" s="13"/>
      <c r="AH46" s="13"/>
      <c r="AI46" s="13"/>
      <c r="AJ46" s="13"/>
      <c r="AK46" s="13"/>
      <c r="AL46" s="13"/>
      <c r="AM46" s="13"/>
      <c r="AN46" s="13"/>
      <c r="AO46" s="13"/>
      <c r="AP46" s="13"/>
      <c r="AQ46" s="13"/>
      <c r="AR46" s="13"/>
      <c r="AS46" s="13"/>
      <c r="AT46" s="13"/>
      <c r="AU46" s="13"/>
      <c r="AV46" s="13"/>
      <c r="AW46" s="13"/>
      <c r="AX46" s="13"/>
      <c r="AY46" s="13"/>
      <c r="AZ46" s="13"/>
      <c r="BA46" s="13"/>
      <c r="BB46" s="13"/>
      <c r="BC46" s="13"/>
      <c r="BD46" s="13"/>
      <c r="BE46" s="13"/>
      <c r="BF46" s="13"/>
      <c r="BG46" s="13"/>
      <c r="BH46" s="13"/>
      <c r="BI46" s="23"/>
      <c r="BJ46" s="13"/>
      <c r="BK46" s="13"/>
      <c r="BL46" s="13"/>
      <c r="BM46" s="13"/>
      <c r="BN46" s="13"/>
      <c r="BO46" s="13"/>
      <c r="BP46" s="13"/>
      <c r="BQ46" s="13"/>
      <c r="BR46" s="13"/>
      <c r="BS46" s="13"/>
      <c r="BT46" s="13"/>
      <c r="BU46" s="13"/>
      <c r="BV46" s="13"/>
      <c r="BW46" s="13"/>
      <c r="BX46" s="13"/>
      <c r="BY46" s="13"/>
      <c r="BZ46" s="13"/>
      <c r="CA46" s="13"/>
      <c r="CB46" s="13"/>
      <c r="CC46" s="13"/>
      <c r="CD46" s="13"/>
      <c r="CE46" s="13"/>
      <c r="CF46" s="13"/>
      <c r="CG46" s="13"/>
      <c r="CH46" s="13"/>
      <c r="CI46" s="13"/>
      <c r="CJ46" s="13"/>
      <c r="CK46" s="13"/>
      <c r="CL46" s="13"/>
      <c r="CM46" s="13"/>
      <c r="CN46" s="13"/>
      <c r="CO46" s="13"/>
      <c r="CP46" s="13"/>
      <c r="CQ46" s="13"/>
      <c r="CR46" s="13"/>
      <c r="CS46" s="13"/>
      <c r="CT46" s="13"/>
      <c r="CU46" s="13"/>
      <c r="CV46" s="13"/>
      <c r="CW46" s="13"/>
      <c r="CX46" s="13"/>
      <c r="CY46" s="13"/>
      <c r="CZ46" s="13"/>
      <c r="DA46" s="13"/>
      <c r="DB46" s="13"/>
      <c r="DC46" s="13"/>
      <c r="DD46" s="13"/>
      <c r="DE46" s="13"/>
      <c r="DF46" s="13"/>
      <c r="DG46" s="13"/>
      <c r="DH46" s="13"/>
      <c r="DI46" s="13"/>
      <c r="DJ46" s="13"/>
      <c r="DK46" s="13"/>
      <c r="DL46" s="13"/>
      <c r="DM46" s="13"/>
      <c r="DN46" s="13"/>
      <c r="DO46" s="13"/>
      <c r="DP46" s="13"/>
      <c r="DQ46" s="13"/>
      <c r="DR46" s="13"/>
      <c r="DS46" s="13"/>
      <c r="DT46" s="13"/>
      <c r="DU46" s="13"/>
      <c r="DV46" s="13"/>
      <c r="DW46" s="13"/>
    </row>
    <row r="47" spans="1:127">
      <c r="A47" s="13" t="str">
        <f>Schedule_Data_ScenarioA!A48</f>
        <v>UL-05-1</v>
      </c>
      <c r="B47" s="13" t="str">
        <f>Schedule_Data_ScenarioA!B48</f>
        <v>5.0</v>
      </c>
      <c r="C47" s="13" t="str">
        <f>Schedule_Data_ScenarioA!C48</f>
        <v>Unload TR5 at AGI (1 unit/day)</v>
      </c>
      <c r="D47" s="24" t="str">
        <f>Schedule_Data_ScenarioA!D48</f>
        <v>AGI_UNLOAD</v>
      </c>
      <c r="E47" s="33">
        <f>Schedule_Data_ScenarioA!F48</f>
        <v>46091</v>
      </c>
      <c r="F47" s="33">
        <f>Schedule_Data_ScenarioA!G48</f>
        <v>46091</v>
      </c>
      <c r="G47" s="13">
        <f>Schedule_Data_ScenarioA!H48</f>
        <v>0</v>
      </c>
      <c r="H47" s="13"/>
      <c r="I47" s="13"/>
      <c r="J47" s="13"/>
      <c r="K47" s="13"/>
      <c r="L47" s="13"/>
      <c r="M47" s="13"/>
      <c r="N47" s="13"/>
      <c r="O47" s="13"/>
      <c r="P47" s="13"/>
      <c r="Q47" s="13"/>
      <c r="R47" s="13"/>
      <c r="S47" s="13"/>
      <c r="T47" s="13"/>
      <c r="U47" s="13"/>
      <c r="V47" s="13"/>
      <c r="W47" s="13"/>
      <c r="X47" s="13"/>
      <c r="Y47" s="13"/>
      <c r="Z47" s="13"/>
      <c r="AA47" s="13"/>
      <c r="AB47" s="13"/>
      <c r="AC47" s="13"/>
      <c r="AD47" s="13"/>
      <c r="AE47" s="13"/>
      <c r="AF47" s="13"/>
      <c r="AG47" s="13"/>
      <c r="AH47" s="13"/>
      <c r="AI47" s="13"/>
      <c r="AJ47" s="13"/>
      <c r="AK47" s="13"/>
      <c r="AL47" s="13"/>
      <c r="AM47" s="13"/>
      <c r="AN47" s="13"/>
      <c r="AO47" s="13"/>
      <c r="AP47" s="13"/>
      <c r="AQ47" s="13"/>
      <c r="AR47" s="13"/>
      <c r="AS47" s="13"/>
      <c r="AT47" s="13"/>
      <c r="AU47" s="13"/>
      <c r="AV47" s="13"/>
      <c r="AW47" s="13"/>
      <c r="AX47" s="13"/>
      <c r="AY47" s="13"/>
      <c r="AZ47" s="13"/>
      <c r="BA47" s="13"/>
      <c r="BB47" s="13"/>
      <c r="BC47" s="13"/>
      <c r="BD47" s="13"/>
      <c r="BE47" s="13"/>
      <c r="BF47" s="13"/>
      <c r="BG47" s="13"/>
      <c r="BH47" s="13"/>
      <c r="BI47" s="13"/>
      <c r="BJ47" s="24"/>
      <c r="BK47" s="13"/>
      <c r="BL47" s="13"/>
      <c r="BM47" s="13"/>
      <c r="BN47" s="13"/>
      <c r="BO47" s="13"/>
      <c r="BP47" s="13"/>
      <c r="BQ47" s="13"/>
      <c r="BR47" s="13"/>
      <c r="BS47" s="13"/>
      <c r="BT47" s="13"/>
      <c r="BU47" s="13"/>
      <c r="BV47" s="13"/>
      <c r="BW47" s="13"/>
      <c r="BX47" s="13"/>
      <c r="BY47" s="13"/>
      <c r="BZ47" s="13"/>
      <c r="CA47" s="13"/>
      <c r="CB47" s="13"/>
      <c r="CC47" s="13"/>
      <c r="CD47" s="13"/>
      <c r="CE47" s="13"/>
      <c r="CF47" s="13"/>
      <c r="CG47" s="13"/>
      <c r="CH47" s="13"/>
      <c r="CI47" s="13"/>
      <c r="CJ47" s="13"/>
      <c r="CK47" s="13"/>
      <c r="CL47" s="13"/>
      <c r="CM47" s="13"/>
      <c r="CN47" s="13"/>
      <c r="CO47" s="13"/>
      <c r="CP47" s="13"/>
      <c r="CQ47" s="13"/>
      <c r="CR47" s="13"/>
      <c r="CS47" s="13"/>
      <c r="CT47" s="13"/>
      <c r="CU47" s="13"/>
      <c r="CV47" s="13"/>
      <c r="CW47" s="13"/>
      <c r="CX47" s="13"/>
      <c r="CY47" s="13"/>
      <c r="CZ47" s="13"/>
      <c r="DA47" s="13"/>
      <c r="DB47" s="13"/>
      <c r="DC47" s="13"/>
      <c r="DD47" s="13"/>
      <c r="DE47" s="13"/>
      <c r="DF47" s="13"/>
      <c r="DG47" s="13"/>
      <c r="DH47" s="13"/>
      <c r="DI47" s="13"/>
      <c r="DJ47" s="13"/>
      <c r="DK47" s="13"/>
      <c r="DL47" s="13"/>
      <c r="DM47" s="13"/>
      <c r="DN47" s="13"/>
      <c r="DO47" s="13"/>
      <c r="DP47" s="13"/>
      <c r="DQ47" s="13"/>
      <c r="DR47" s="13"/>
      <c r="DS47" s="13"/>
      <c r="DT47" s="13"/>
      <c r="DU47" s="13"/>
      <c r="DV47" s="13"/>
      <c r="DW47" s="13"/>
    </row>
    <row r="48" spans="1:127">
      <c r="A48" s="13" t="str">
        <f>Schedule_Data_ScenarioA!A49</f>
        <v>TURN-05-1</v>
      </c>
      <c r="B48" s="13" t="str">
        <f>Schedule_Data_ScenarioA!B49</f>
        <v>5.0</v>
      </c>
      <c r="C48" s="13" t="str">
        <f>Schedule_Data_ScenarioA!C49</f>
        <v>Turning TR5 (90°)</v>
      </c>
      <c r="D48" s="26" t="str">
        <f>Schedule_Data_ScenarioA!D49</f>
        <v>TURNING</v>
      </c>
      <c r="E48" s="33">
        <f>Schedule_Data_ScenarioA!F49</f>
        <v>46092</v>
      </c>
      <c r="F48" s="33">
        <f>Schedule_Data_ScenarioA!G49</f>
        <v>46092</v>
      </c>
      <c r="G48" s="13">
        <f>Schedule_Data_ScenarioA!H49</f>
        <v>0</v>
      </c>
      <c r="H48" s="13"/>
      <c r="I48" s="13"/>
      <c r="J48" s="13"/>
      <c r="K48" s="13"/>
      <c r="L48" s="13"/>
      <c r="M48" s="13"/>
      <c r="N48" s="13"/>
      <c r="O48" s="13"/>
      <c r="P48" s="13"/>
      <c r="Q48" s="13"/>
      <c r="R48" s="13"/>
      <c r="S48" s="13"/>
      <c r="T48" s="13"/>
      <c r="U48" s="13"/>
      <c r="V48" s="13"/>
      <c r="W48" s="13"/>
      <c r="X48" s="13"/>
      <c r="Y48" s="13"/>
      <c r="Z48" s="13"/>
      <c r="AA48" s="13"/>
      <c r="AB48" s="13"/>
      <c r="AC48" s="13"/>
      <c r="AD48" s="13"/>
      <c r="AE48" s="13"/>
      <c r="AF48" s="13"/>
      <c r="AG48" s="13"/>
      <c r="AH48" s="13"/>
      <c r="AI48" s="13"/>
      <c r="AJ48" s="13"/>
      <c r="AK48" s="13"/>
      <c r="AL48" s="13"/>
      <c r="AM48" s="13"/>
      <c r="AN48" s="13"/>
      <c r="AO48" s="13"/>
      <c r="AP48" s="13"/>
      <c r="AQ48" s="13"/>
      <c r="AR48" s="13"/>
      <c r="AS48" s="13"/>
      <c r="AT48" s="13"/>
      <c r="AU48" s="13"/>
      <c r="AV48" s="13"/>
      <c r="AW48" s="13"/>
      <c r="AX48" s="13"/>
      <c r="AY48" s="13"/>
      <c r="AZ48" s="13"/>
      <c r="BA48" s="13"/>
      <c r="BB48" s="13"/>
      <c r="BC48" s="13"/>
      <c r="BD48" s="13"/>
      <c r="BE48" s="13"/>
      <c r="BF48" s="13"/>
      <c r="BG48" s="13"/>
      <c r="BH48" s="13"/>
      <c r="BI48" s="13"/>
      <c r="BJ48" s="13"/>
      <c r="BK48" s="26"/>
      <c r="BL48" s="13"/>
      <c r="BM48" s="13"/>
      <c r="BN48" s="13"/>
      <c r="BO48" s="13"/>
      <c r="BP48" s="13"/>
      <c r="BQ48" s="13"/>
      <c r="BR48" s="13"/>
      <c r="BS48" s="13"/>
      <c r="BT48" s="13"/>
      <c r="BU48" s="13"/>
      <c r="BV48" s="13"/>
      <c r="BW48" s="13"/>
      <c r="BX48" s="13"/>
      <c r="BY48" s="13"/>
      <c r="BZ48" s="13"/>
      <c r="CA48" s="13"/>
      <c r="CB48" s="13"/>
      <c r="CC48" s="13"/>
      <c r="CD48" s="13"/>
      <c r="CE48" s="13"/>
      <c r="CF48" s="13"/>
      <c r="CG48" s="13"/>
      <c r="CH48" s="13"/>
      <c r="CI48" s="13"/>
      <c r="CJ48" s="13"/>
      <c r="CK48" s="13"/>
      <c r="CL48" s="13"/>
      <c r="CM48" s="13"/>
      <c r="CN48" s="13"/>
      <c r="CO48" s="13"/>
      <c r="CP48" s="13"/>
      <c r="CQ48" s="13"/>
      <c r="CR48" s="13"/>
      <c r="CS48" s="13"/>
      <c r="CT48" s="13"/>
      <c r="CU48" s="13"/>
      <c r="CV48" s="13"/>
      <c r="CW48" s="13"/>
      <c r="CX48" s="13"/>
      <c r="CY48" s="13"/>
      <c r="CZ48" s="13"/>
      <c r="DA48" s="13"/>
      <c r="DB48" s="13"/>
      <c r="DC48" s="13"/>
      <c r="DD48" s="13"/>
      <c r="DE48" s="13"/>
      <c r="DF48" s="13"/>
      <c r="DG48" s="13"/>
      <c r="DH48" s="13"/>
      <c r="DI48" s="13"/>
      <c r="DJ48" s="13"/>
      <c r="DK48" s="13"/>
      <c r="DL48" s="13"/>
      <c r="DM48" s="13"/>
      <c r="DN48" s="13"/>
      <c r="DO48" s="13"/>
      <c r="DP48" s="13"/>
      <c r="DQ48" s="13"/>
      <c r="DR48" s="13"/>
      <c r="DS48" s="13"/>
      <c r="DT48" s="13"/>
      <c r="DU48" s="13"/>
      <c r="DV48" s="13"/>
      <c r="DW48" s="13"/>
    </row>
    <row r="49" spans="1:127">
      <c r="A49" s="13" t="str">
        <f>Schedule_Data_ScenarioA!A50</f>
        <v>JD-05-1</v>
      </c>
      <c r="B49" s="13" t="str">
        <f>Schedule_Data_ScenarioA!B50</f>
        <v>5.0</v>
      </c>
      <c r="C49" s="13" t="str">
        <f>Schedule_Data_ScenarioA!C50</f>
        <v>Jackdown TR5</v>
      </c>
      <c r="D49" s="42" t="str">
        <f>Schedule_Data_ScenarioA!D50</f>
        <v>JACKDOWN</v>
      </c>
      <c r="E49" s="33">
        <f>Schedule_Data_ScenarioA!F50</f>
        <v>46095</v>
      </c>
      <c r="F49" s="33">
        <f>Schedule_Data_ScenarioA!G50</f>
        <v>46095</v>
      </c>
      <c r="G49" s="13">
        <f>Schedule_Data_ScenarioA!H50</f>
        <v>0</v>
      </c>
      <c r="H49" s="13"/>
      <c r="I49" s="13"/>
      <c r="J49" s="13"/>
      <c r="K49" s="13"/>
      <c r="L49" s="13"/>
      <c r="M49" s="13"/>
      <c r="N49" s="13"/>
      <c r="O49" s="13"/>
      <c r="P49" s="13"/>
      <c r="Q49" s="13"/>
      <c r="R49" s="13"/>
      <c r="S49" s="13"/>
      <c r="T49" s="13"/>
      <c r="U49" s="13"/>
      <c r="V49" s="13"/>
      <c r="W49" s="13"/>
      <c r="X49" s="13"/>
      <c r="Y49" s="13"/>
      <c r="Z49" s="13"/>
      <c r="AA49" s="13"/>
      <c r="AB49" s="13"/>
      <c r="AC49" s="13"/>
      <c r="AD49" s="13"/>
      <c r="AE49" s="13"/>
      <c r="AF49" s="13"/>
      <c r="AG49" s="13"/>
      <c r="AH49" s="13"/>
      <c r="AI49" s="13"/>
      <c r="AJ49" s="13"/>
      <c r="AK49" s="13"/>
      <c r="AL49" s="13"/>
      <c r="AM49" s="13"/>
      <c r="AN49" s="13"/>
      <c r="AO49" s="13"/>
      <c r="AP49" s="13"/>
      <c r="AQ49" s="13"/>
      <c r="AR49" s="13"/>
      <c r="AS49" s="13"/>
      <c r="AT49" s="13"/>
      <c r="AU49" s="13"/>
      <c r="AV49" s="13"/>
      <c r="AW49" s="13"/>
      <c r="AX49" s="13"/>
      <c r="AY49" s="13"/>
      <c r="AZ49" s="13"/>
      <c r="BA49" s="13"/>
      <c r="BB49" s="13"/>
      <c r="BC49" s="13"/>
      <c r="BD49" s="13"/>
      <c r="BE49" s="13"/>
      <c r="BF49" s="13"/>
      <c r="BG49" s="13"/>
      <c r="BH49" s="13"/>
      <c r="BI49" s="13"/>
      <c r="BJ49" s="13"/>
      <c r="BK49" s="13"/>
      <c r="BL49" s="13"/>
      <c r="BM49" s="13"/>
      <c r="BN49" s="42"/>
      <c r="BO49" s="13"/>
      <c r="BP49" s="13"/>
      <c r="BQ49" s="13"/>
      <c r="BR49" s="13"/>
      <c r="BS49" s="13"/>
      <c r="BT49" s="13"/>
      <c r="BU49" s="13"/>
      <c r="BV49" s="13"/>
      <c r="BW49" s="13"/>
      <c r="BX49" s="13"/>
      <c r="BY49" s="13"/>
      <c r="BZ49" s="13"/>
      <c r="CA49" s="13"/>
      <c r="CB49" s="13"/>
      <c r="CC49" s="13"/>
      <c r="CD49" s="13"/>
      <c r="CE49" s="13"/>
      <c r="CF49" s="13"/>
      <c r="CG49" s="13"/>
      <c r="CH49" s="13"/>
      <c r="CI49" s="13"/>
      <c r="CJ49" s="13"/>
      <c r="CK49" s="13"/>
      <c r="CL49" s="13"/>
      <c r="CM49" s="13"/>
      <c r="CN49" s="13"/>
      <c r="CO49" s="13"/>
      <c r="CP49" s="13"/>
      <c r="CQ49" s="13"/>
      <c r="CR49" s="13"/>
      <c r="CS49" s="13"/>
      <c r="CT49" s="13"/>
      <c r="CU49" s="13"/>
      <c r="CV49" s="13"/>
      <c r="CW49" s="13"/>
      <c r="CX49" s="13"/>
      <c r="CY49" s="13"/>
      <c r="CZ49" s="13"/>
      <c r="DA49" s="13"/>
      <c r="DB49" s="13"/>
      <c r="DC49" s="13"/>
      <c r="DD49" s="13"/>
      <c r="DE49" s="13"/>
      <c r="DF49" s="13"/>
      <c r="DG49" s="13"/>
      <c r="DH49" s="13"/>
      <c r="DI49" s="13"/>
      <c r="DJ49" s="13"/>
      <c r="DK49" s="13"/>
      <c r="DL49" s="13"/>
      <c r="DM49" s="13"/>
      <c r="DN49" s="13"/>
      <c r="DO49" s="13"/>
      <c r="DP49" s="13"/>
      <c r="DQ49" s="13"/>
      <c r="DR49" s="13"/>
      <c r="DS49" s="13"/>
      <c r="DT49" s="13"/>
      <c r="DU49" s="13"/>
      <c r="DV49" s="13"/>
      <c r="DW49" s="13"/>
    </row>
    <row r="50" spans="1:127">
      <c r="A50" s="13" t="str">
        <f>Schedule_Data_ScenarioA!A51</f>
        <v>RET-05</v>
      </c>
      <c r="B50" s="13" t="str">
        <f>Schedule_Data_ScenarioA!B51</f>
        <v>5.0</v>
      </c>
      <c r="C50" s="13" t="str">
        <f>Schedule_Data_ScenarioA!C51</f>
        <v>LCT Return AGI→MZP</v>
      </c>
      <c r="D50" s="25" t="str">
        <f>Schedule_Data_ScenarioA!D51</f>
        <v>RETURN</v>
      </c>
      <c r="E50" s="33">
        <f>Schedule_Data_ScenarioA!F51</f>
        <v>46096</v>
      </c>
      <c r="F50" s="33">
        <f>Schedule_Data_ScenarioA!G51</f>
        <v>46096</v>
      </c>
      <c r="G50" s="13">
        <f>Schedule_Data_ScenarioA!H51</f>
        <v>0</v>
      </c>
      <c r="H50" s="13"/>
      <c r="I50" s="13"/>
      <c r="J50" s="13"/>
      <c r="K50" s="13"/>
      <c r="L50" s="13"/>
      <c r="M50" s="13"/>
      <c r="N50" s="13"/>
      <c r="O50" s="13"/>
      <c r="P50" s="13"/>
      <c r="Q50" s="13"/>
      <c r="R50" s="13"/>
      <c r="S50" s="13"/>
      <c r="T50" s="13"/>
      <c r="U50" s="13"/>
      <c r="V50" s="13"/>
      <c r="W50" s="13"/>
      <c r="X50" s="13"/>
      <c r="Y50" s="13"/>
      <c r="Z50" s="13"/>
      <c r="AA50" s="13"/>
      <c r="AB50" s="13"/>
      <c r="AC50" s="13"/>
      <c r="AD50" s="13"/>
      <c r="AE50" s="13"/>
      <c r="AF50" s="13"/>
      <c r="AG50" s="13"/>
      <c r="AH50" s="13"/>
      <c r="AI50" s="13"/>
      <c r="AJ50" s="13"/>
      <c r="AK50" s="13"/>
      <c r="AL50" s="13"/>
      <c r="AM50" s="13"/>
      <c r="AN50" s="13"/>
      <c r="AO50" s="13"/>
      <c r="AP50" s="13"/>
      <c r="AQ50" s="13"/>
      <c r="AR50" s="13"/>
      <c r="AS50" s="13"/>
      <c r="AT50" s="13"/>
      <c r="AU50" s="13"/>
      <c r="AV50" s="13"/>
      <c r="AW50" s="13"/>
      <c r="AX50" s="13"/>
      <c r="AY50" s="13"/>
      <c r="AZ50" s="13"/>
      <c r="BA50" s="13"/>
      <c r="BB50" s="13"/>
      <c r="BC50" s="13"/>
      <c r="BD50" s="13"/>
      <c r="BE50" s="13"/>
      <c r="BF50" s="13"/>
      <c r="BG50" s="13"/>
      <c r="BH50" s="13"/>
      <c r="BI50" s="13"/>
      <c r="BJ50" s="13"/>
      <c r="BK50" s="13"/>
      <c r="BL50" s="13"/>
      <c r="BM50" s="13"/>
      <c r="BN50" s="13"/>
      <c r="BO50" s="25"/>
      <c r="BP50" s="13"/>
      <c r="BQ50" s="13"/>
      <c r="BR50" s="13"/>
      <c r="BS50" s="13"/>
      <c r="BT50" s="13"/>
      <c r="BU50" s="13"/>
      <c r="BV50" s="13"/>
      <c r="BW50" s="13"/>
      <c r="BX50" s="13"/>
      <c r="BY50" s="13"/>
      <c r="BZ50" s="13"/>
      <c r="CA50" s="13"/>
      <c r="CB50" s="13"/>
      <c r="CC50" s="13"/>
      <c r="CD50" s="13"/>
      <c r="CE50" s="13"/>
      <c r="CF50" s="13"/>
      <c r="CG50" s="13"/>
      <c r="CH50" s="13"/>
      <c r="CI50" s="13"/>
      <c r="CJ50" s="13"/>
      <c r="CK50" s="13"/>
      <c r="CL50" s="13"/>
      <c r="CM50" s="13"/>
      <c r="CN50" s="13"/>
      <c r="CO50" s="13"/>
      <c r="CP50" s="13"/>
      <c r="CQ50" s="13"/>
      <c r="CR50" s="13"/>
      <c r="CS50" s="13"/>
      <c r="CT50" s="13"/>
      <c r="CU50" s="13"/>
      <c r="CV50" s="13"/>
      <c r="CW50" s="13"/>
      <c r="CX50" s="13"/>
      <c r="CY50" s="13"/>
      <c r="CZ50" s="13"/>
      <c r="DA50" s="13"/>
      <c r="DB50" s="13"/>
      <c r="DC50" s="13"/>
      <c r="DD50" s="13"/>
      <c r="DE50" s="13"/>
      <c r="DF50" s="13"/>
      <c r="DG50" s="13"/>
      <c r="DH50" s="13"/>
      <c r="DI50" s="13"/>
      <c r="DJ50" s="13"/>
      <c r="DK50" s="13"/>
      <c r="DL50" s="13"/>
      <c r="DM50" s="13"/>
      <c r="DN50" s="13"/>
      <c r="DO50" s="13"/>
      <c r="DP50" s="13"/>
      <c r="DQ50" s="13"/>
      <c r="DR50" s="13"/>
      <c r="DS50" s="13"/>
      <c r="DT50" s="13"/>
      <c r="DU50" s="13"/>
      <c r="DV50" s="13"/>
      <c r="DW50" s="13"/>
    </row>
    <row r="51" spans="1:127">
      <c r="A51" s="13" t="str">
        <f>Schedule_Data_ScenarioA!A52</f>
        <v>BUF-05</v>
      </c>
      <c r="B51" s="13" t="str">
        <f>Schedule_Data_ScenarioA!B52</f>
        <v>5.0</v>
      </c>
      <c r="C51" s="13" t="str">
        <f>Schedule_Data_ScenarioA!C52</f>
        <v>Buffer / reset</v>
      </c>
      <c r="D51" s="22" t="str">
        <f>Schedule_Data_ScenarioA!D52</f>
        <v>BUFFER</v>
      </c>
      <c r="E51" s="33">
        <f>Schedule_Data_ScenarioA!F52</f>
        <v>46097</v>
      </c>
      <c r="F51" s="33">
        <f>Schedule_Data_ScenarioA!G52</f>
        <v>46097</v>
      </c>
      <c r="G51" s="13">
        <f>Schedule_Data_ScenarioA!H52</f>
        <v>0</v>
      </c>
      <c r="H51" s="13"/>
      <c r="I51" s="13"/>
      <c r="J51" s="13"/>
      <c r="K51" s="13"/>
      <c r="L51" s="13"/>
      <c r="M51" s="13"/>
      <c r="N51" s="13"/>
      <c r="O51" s="13"/>
      <c r="P51" s="13"/>
      <c r="Q51" s="13"/>
      <c r="R51" s="13"/>
      <c r="S51" s="13"/>
      <c r="T51" s="13"/>
      <c r="U51" s="13"/>
      <c r="V51" s="13"/>
      <c r="W51" s="13"/>
      <c r="X51" s="13"/>
      <c r="Y51" s="13"/>
      <c r="Z51" s="13"/>
      <c r="AA51" s="13"/>
      <c r="AB51" s="13"/>
      <c r="AC51" s="13"/>
      <c r="AD51" s="13"/>
      <c r="AE51" s="13"/>
      <c r="AF51" s="13"/>
      <c r="AG51" s="13"/>
      <c r="AH51" s="13"/>
      <c r="AI51" s="13"/>
      <c r="AJ51" s="13"/>
      <c r="AK51" s="13"/>
      <c r="AL51" s="13"/>
      <c r="AM51" s="13"/>
      <c r="AN51" s="13"/>
      <c r="AO51" s="13"/>
      <c r="AP51" s="13"/>
      <c r="AQ51" s="13"/>
      <c r="AR51" s="13"/>
      <c r="AS51" s="13"/>
      <c r="AT51" s="13"/>
      <c r="AU51" s="13"/>
      <c r="AV51" s="13"/>
      <c r="AW51" s="13"/>
      <c r="AX51" s="13"/>
      <c r="AY51" s="13"/>
      <c r="AZ51" s="13"/>
      <c r="BA51" s="13"/>
      <c r="BB51" s="13"/>
      <c r="BC51" s="13"/>
      <c r="BD51" s="13"/>
      <c r="BE51" s="13"/>
      <c r="BF51" s="13"/>
      <c r="BG51" s="13"/>
      <c r="BH51" s="13"/>
      <c r="BI51" s="13"/>
      <c r="BJ51" s="13"/>
      <c r="BK51" s="13"/>
      <c r="BL51" s="13"/>
      <c r="BM51" s="13"/>
      <c r="BN51" s="13"/>
      <c r="BO51" s="13"/>
      <c r="BP51" s="22"/>
      <c r="BQ51" s="13"/>
      <c r="BR51" s="13"/>
      <c r="BS51" s="13"/>
      <c r="BT51" s="13"/>
      <c r="BU51" s="13"/>
      <c r="BV51" s="13"/>
      <c r="BW51" s="13"/>
      <c r="BX51" s="13"/>
      <c r="BY51" s="13"/>
      <c r="BZ51" s="13"/>
      <c r="CA51" s="13"/>
      <c r="CB51" s="13"/>
      <c r="CC51" s="13"/>
      <c r="CD51" s="13"/>
      <c r="CE51" s="13"/>
      <c r="CF51" s="13"/>
      <c r="CG51" s="13"/>
      <c r="CH51" s="13"/>
      <c r="CI51" s="13"/>
      <c r="CJ51" s="13"/>
      <c r="CK51" s="13"/>
      <c r="CL51" s="13"/>
      <c r="CM51" s="13"/>
      <c r="CN51" s="13"/>
      <c r="CO51" s="13"/>
      <c r="CP51" s="13"/>
      <c r="CQ51" s="13"/>
      <c r="CR51" s="13"/>
      <c r="CS51" s="13"/>
      <c r="CT51" s="13"/>
      <c r="CU51" s="13"/>
      <c r="CV51" s="13"/>
      <c r="CW51" s="13"/>
      <c r="CX51" s="13"/>
      <c r="CY51" s="13"/>
      <c r="CZ51" s="13"/>
      <c r="DA51" s="13"/>
      <c r="DB51" s="13"/>
      <c r="DC51" s="13"/>
      <c r="DD51" s="13"/>
      <c r="DE51" s="13"/>
      <c r="DF51" s="13"/>
      <c r="DG51" s="13"/>
      <c r="DH51" s="13"/>
      <c r="DI51" s="13"/>
      <c r="DJ51" s="13"/>
      <c r="DK51" s="13"/>
      <c r="DL51" s="13"/>
      <c r="DM51" s="13"/>
      <c r="DN51" s="13"/>
      <c r="DO51" s="13"/>
      <c r="DP51" s="13"/>
      <c r="DQ51" s="13"/>
      <c r="DR51" s="13"/>
      <c r="DS51" s="13"/>
      <c r="DT51" s="13"/>
      <c r="DU51" s="13"/>
      <c r="DV51" s="13"/>
      <c r="DW51" s="13"/>
    </row>
    <row r="52" spans="1:127">
      <c r="A52" s="13" t="str">
        <f>Schedule_Data_ScenarioA!A53</f>
        <v>V6</v>
      </c>
      <c r="B52" s="13" t="str">
        <f>Schedule_Data_ScenarioA!B53</f>
        <v>6.0</v>
      </c>
      <c r="C52" s="13" t="str">
        <f>Schedule_Data_ScenarioA!C53</f>
        <v>VOYAGE 6: TR6 Transport</v>
      </c>
      <c r="D52" s="34" t="str">
        <f>Schedule_Data_ScenarioA!D53</f>
        <v>MILESTONE</v>
      </c>
      <c r="E52" s="33">
        <f>Schedule_Data_ScenarioA!F53</f>
        <v>46098</v>
      </c>
      <c r="F52" s="33">
        <f>Schedule_Data_ScenarioA!G53</f>
        <v>46098</v>
      </c>
      <c r="G52" s="13">
        <f>Schedule_Data_ScenarioA!H53</f>
        <v>0</v>
      </c>
      <c r="H52" s="13"/>
      <c r="I52" s="13"/>
      <c r="J52" s="13"/>
      <c r="K52" s="13"/>
      <c r="L52" s="13"/>
      <c r="M52" s="13"/>
      <c r="N52" s="13"/>
      <c r="O52" s="13"/>
      <c r="P52" s="13"/>
      <c r="Q52" s="13"/>
      <c r="R52" s="13"/>
      <c r="S52" s="13"/>
      <c r="T52" s="13"/>
      <c r="U52" s="13"/>
      <c r="V52" s="13"/>
      <c r="W52" s="13"/>
      <c r="X52" s="13"/>
      <c r="Y52" s="13"/>
      <c r="Z52" s="13"/>
      <c r="AA52" s="13"/>
      <c r="AB52" s="13"/>
      <c r="AC52" s="13"/>
      <c r="AD52" s="13"/>
      <c r="AE52" s="13"/>
      <c r="AF52" s="13"/>
      <c r="AG52" s="13"/>
      <c r="AH52" s="13"/>
      <c r="AI52" s="13"/>
      <c r="AJ52" s="13"/>
      <c r="AK52" s="13"/>
      <c r="AL52" s="13"/>
      <c r="AM52" s="13"/>
      <c r="AN52" s="13"/>
      <c r="AO52" s="13"/>
      <c r="AP52" s="13"/>
      <c r="AQ52" s="13"/>
      <c r="AR52" s="13"/>
      <c r="AS52" s="13"/>
      <c r="AT52" s="13"/>
      <c r="AU52" s="13"/>
      <c r="AV52" s="13"/>
      <c r="AW52" s="13"/>
      <c r="AX52" s="13"/>
      <c r="AY52" s="13"/>
      <c r="AZ52" s="13"/>
      <c r="BA52" s="13"/>
      <c r="BB52" s="13"/>
      <c r="BC52" s="13"/>
      <c r="BD52" s="13"/>
      <c r="BE52" s="13"/>
      <c r="BF52" s="13"/>
      <c r="BG52" s="13"/>
      <c r="BH52" s="13"/>
      <c r="BI52" s="13"/>
      <c r="BJ52" s="13"/>
      <c r="BK52" s="13"/>
      <c r="BL52" s="13"/>
      <c r="BM52" s="13"/>
      <c r="BN52" s="13"/>
      <c r="BO52" s="13"/>
      <c r="BP52" s="13"/>
      <c r="BQ52" s="35" t="s">
        <v>270</v>
      </c>
      <c r="BR52" s="13"/>
      <c r="BS52" s="13"/>
      <c r="BT52" s="13"/>
      <c r="BU52" s="13"/>
      <c r="BV52" s="13"/>
      <c r="BW52" s="13"/>
      <c r="BX52" s="13"/>
      <c r="BY52" s="13"/>
      <c r="BZ52" s="13"/>
      <c r="CA52" s="13"/>
      <c r="CB52" s="13"/>
      <c r="CC52" s="13"/>
      <c r="CD52" s="13"/>
      <c r="CE52" s="13"/>
      <c r="CF52" s="13"/>
      <c r="CG52" s="13"/>
      <c r="CH52" s="13"/>
      <c r="CI52" s="13"/>
      <c r="CJ52" s="13"/>
      <c r="CK52" s="13"/>
      <c r="CL52" s="13"/>
      <c r="CM52" s="13"/>
      <c r="CN52" s="13"/>
      <c r="CO52" s="13"/>
      <c r="CP52" s="13"/>
      <c r="CQ52" s="13"/>
      <c r="CR52" s="13"/>
      <c r="CS52" s="13"/>
      <c r="CT52" s="13"/>
      <c r="CU52" s="13"/>
      <c r="CV52" s="13"/>
      <c r="CW52" s="13"/>
      <c r="CX52" s="13"/>
      <c r="CY52" s="13"/>
      <c r="CZ52" s="13"/>
      <c r="DA52" s="13"/>
      <c r="DB52" s="13"/>
      <c r="DC52" s="13"/>
      <c r="DD52" s="13"/>
      <c r="DE52" s="13"/>
      <c r="DF52" s="13"/>
      <c r="DG52" s="13"/>
      <c r="DH52" s="13"/>
      <c r="DI52" s="13"/>
      <c r="DJ52" s="13"/>
      <c r="DK52" s="13"/>
      <c r="DL52" s="13"/>
      <c r="DM52" s="13"/>
      <c r="DN52" s="13"/>
      <c r="DO52" s="13"/>
      <c r="DP52" s="13"/>
      <c r="DQ52" s="13"/>
      <c r="DR52" s="13"/>
      <c r="DS52" s="13"/>
      <c r="DT52" s="13"/>
      <c r="DU52" s="13"/>
      <c r="DV52" s="13"/>
      <c r="DW52" s="13"/>
    </row>
    <row r="53" spans="1:127">
      <c r="A53" s="13" t="str">
        <f>Schedule_Data_ScenarioA!A54</f>
        <v>LO-06</v>
      </c>
      <c r="B53" s="13" t="str">
        <f>Schedule_Data_ScenarioA!B54</f>
        <v>6.0</v>
      </c>
      <c r="C53" s="13" t="str">
        <f>Schedule_Data_ScenarioA!C54</f>
        <v>Loadout TR6 onto LCT</v>
      </c>
      <c r="D53" s="20" t="str">
        <f>Schedule_Data_ScenarioA!D54</f>
        <v>LOADOUT</v>
      </c>
      <c r="E53" s="33">
        <f>Schedule_Data_ScenarioA!F54</f>
        <v>46098</v>
      </c>
      <c r="F53" s="33">
        <f>Schedule_Data_ScenarioA!G54</f>
        <v>46098</v>
      </c>
      <c r="G53" s="13">
        <f>Schedule_Data_ScenarioA!H54</f>
        <v>0</v>
      </c>
      <c r="H53" s="13"/>
      <c r="I53" s="13"/>
      <c r="J53" s="13"/>
      <c r="K53" s="13"/>
      <c r="L53" s="13"/>
      <c r="M53" s="13"/>
      <c r="N53" s="13"/>
      <c r="O53" s="13"/>
      <c r="P53" s="13"/>
      <c r="Q53" s="13"/>
      <c r="R53" s="13"/>
      <c r="S53" s="13"/>
      <c r="T53" s="13"/>
      <c r="U53" s="13"/>
      <c r="V53" s="13"/>
      <c r="W53" s="13"/>
      <c r="X53" s="13"/>
      <c r="Y53" s="13"/>
      <c r="Z53" s="13"/>
      <c r="AA53" s="13"/>
      <c r="AB53" s="13"/>
      <c r="AC53" s="13"/>
      <c r="AD53" s="13"/>
      <c r="AE53" s="13"/>
      <c r="AF53" s="13"/>
      <c r="AG53" s="13"/>
      <c r="AH53" s="13"/>
      <c r="AI53" s="13"/>
      <c r="AJ53" s="13"/>
      <c r="AK53" s="13"/>
      <c r="AL53" s="13"/>
      <c r="AM53" s="13"/>
      <c r="AN53" s="13"/>
      <c r="AO53" s="13"/>
      <c r="AP53" s="13"/>
      <c r="AQ53" s="13"/>
      <c r="AR53" s="13"/>
      <c r="AS53" s="13"/>
      <c r="AT53" s="13"/>
      <c r="AU53" s="13"/>
      <c r="AV53" s="13"/>
      <c r="AW53" s="13"/>
      <c r="AX53" s="13"/>
      <c r="AY53" s="13"/>
      <c r="AZ53" s="13"/>
      <c r="BA53" s="13"/>
      <c r="BB53" s="13"/>
      <c r="BC53" s="13"/>
      <c r="BD53" s="13"/>
      <c r="BE53" s="13"/>
      <c r="BF53" s="13"/>
      <c r="BG53" s="13"/>
      <c r="BH53" s="13"/>
      <c r="BI53" s="13"/>
      <c r="BJ53" s="13"/>
      <c r="BK53" s="13"/>
      <c r="BL53" s="13"/>
      <c r="BM53" s="13"/>
      <c r="BN53" s="13"/>
      <c r="BO53" s="13"/>
      <c r="BP53" s="13"/>
      <c r="BQ53" s="20"/>
      <c r="BR53" s="13"/>
      <c r="BS53" s="13"/>
      <c r="BT53" s="13"/>
      <c r="BU53" s="13"/>
      <c r="BV53" s="13"/>
      <c r="BW53" s="13"/>
      <c r="BX53" s="13"/>
      <c r="BY53" s="13"/>
      <c r="BZ53" s="13"/>
      <c r="CA53" s="13"/>
      <c r="CB53" s="13"/>
      <c r="CC53" s="13"/>
      <c r="CD53" s="13"/>
      <c r="CE53" s="13"/>
      <c r="CF53" s="13"/>
      <c r="CG53" s="13"/>
      <c r="CH53" s="13"/>
      <c r="CI53" s="13"/>
      <c r="CJ53" s="13"/>
      <c r="CK53" s="13"/>
      <c r="CL53" s="13"/>
      <c r="CM53" s="13"/>
      <c r="CN53" s="13"/>
      <c r="CO53" s="13"/>
      <c r="CP53" s="13"/>
      <c r="CQ53" s="13"/>
      <c r="CR53" s="13"/>
      <c r="CS53" s="13"/>
      <c r="CT53" s="13"/>
      <c r="CU53" s="13"/>
      <c r="CV53" s="13"/>
      <c r="CW53" s="13"/>
      <c r="CX53" s="13"/>
      <c r="CY53" s="13"/>
      <c r="CZ53" s="13"/>
      <c r="DA53" s="13"/>
      <c r="DB53" s="13"/>
      <c r="DC53" s="13"/>
      <c r="DD53" s="13"/>
      <c r="DE53" s="13"/>
      <c r="DF53" s="13"/>
      <c r="DG53" s="13"/>
      <c r="DH53" s="13"/>
      <c r="DI53" s="13"/>
      <c r="DJ53" s="13"/>
      <c r="DK53" s="13"/>
      <c r="DL53" s="13"/>
      <c r="DM53" s="13"/>
      <c r="DN53" s="13"/>
      <c r="DO53" s="13"/>
      <c r="DP53" s="13"/>
      <c r="DQ53" s="13"/>
      <c r="DR53" s="13"/>
      <c r="DS53" s="13"/>
      <c r="DT53" s="13"/>
      <c r="DU53" s="13"/>
      <c r="DV53" s="13"/>
      <c r="DW53" s="13"/>
    </row>
    <row r="54" spans="1:127">
      <c r="A54" s="13" t="str">
        <f>Schedule_Data_ScenarioA!A55</f>
        <v>SF-06</v>
      </c>
      <c r="B54" s="13" t="str">
        <f>Schedule_Data_ScenarioA!B55</f>
        <v>6.0</v>
      </c>
      <c r="C54" s="13" t="str">
        <f>Schedule_Data_ScenarioA!C55</f>
        <v>Sea fastening + MWS checks (TR6)</v>
      </c>
      <c r="D54" s="21" t="str">
        <f>Schedule_Data_ScenarioA!D55</f>
        <v>SEAFAST</v>
      </c>
      <c r="E54" s="33">
        <f>Schedule_Data_ScenarioA!F55</f>
        <v>46099</v>
      </c>
      <c r="F54" s="33">
        <f>Schedule_Data_ScenarioA!G55</f>
        <v>46099</v>
      </c>
      <c r="G54" s="13">
        <f>Schedule_Data_ScenarioA!H55</f>
        <v>0</v>
      </c>
      <c r="H54" s="13"/>
      <c r="I54" s="13"/>
      <c r="J54" s="13"/>
      <c r="K54" s="13"/>
      <c r="L54" s="13"/>
      <c r="M54" s="13"/>
      <c r="N54" s="13"/>
      <c r="O54" s="13"/>
      <c r="P54" s="13"/>
      <c r="Q54" s="13"/>
      <c r="R54" s="13"/>
      <c r="S54" s="13"/>
      <c r="T54" s="13"/>
      <c r="U54" s="13"/>
      <c r="V54" s="13"/>
      <c r="W54" s="13"/>
      <c r="X54" s="13"/>
      <c r="Y54" s="13"/>
      <c r="Z54" s="13"/>
      <c r="AA54" s="13"/>
      <c r="AB54" s="13"/>
      <c r="AC54" s="13"/>
      <c r="AD54" s="13"/>
      <c r="AE54" s="13"/>
      <c r="AF54" s="13"/>
      <c r="AG54" s="13"/>
      <c r="AH54" s="13"/>
      <c r="AI54" s="13"/>
      <c r="AJ54" s="13"/>
      <c r="AK54" s="13"/>
      <c r="AL54" s="13"/>
      <c r="AM54" s="13"/>
      <c r="AN54" s="13"/>
      <c r="AO54" s="13"/>
      <c r="AP54" s="13"/>
      <c r="AQ54" s="13"/>
      <c r="AR54" s="13"/>
      <c r="AS54" s="13"/>
      <c r="AT54" s="13"/>
      <c r="AU54" s="13"/>
      <c r="AV54" s="13"/>
      <c r="AW54" s="13"/>
      <c r="AX54" s="13"/>
      <c r="AY54" s="13"/>
      <c r="AZ54" s="13"/>
      <c r="BA54" s="13"/>
      <c r="BB54" s="13"/>
      <c r="BC54" s="13"/>
      <c r="BD54" s="13"/>
      <c r="BE54" s="13"/>
      <c r="BF54" s="13"/>
      <c r="BG54" s="13"/>
      <c r="BH54" s="13"/>
      <c r="BI54" s="13"/>
      <c r="BJ54" s="13"/>
      <c r="BK54" s="13"/>
      <c r="BL54" s="13"/>
      <c r="BM54" s="13"/>
      <c r="BN54" s="13"/>
      <c r="BO54" s="13"/>
      <c r="BP54" s="13"/>
      <c r="BQ54" s="13"/>
      <c r="BR54" s="21"/>
      <c r="BS54" s="13"/>
      <c r="BT54" s="13"/>
      <c r="BU54" s="13"/>
      <c r="BV54" s="13"/>
      <c r="BW54" s="13"/>
      <c r="BX54" s="13"/>
      <c r="BY54" s="13"/>
      <c r="BZ54" s="13"/>
      <c r="CA54" s="13"/>
      <c r="CB54" s="13"/>
      <c r="CC54" s="13"/>
      <c r="CD54" s="13"/>
      <c r="CE54" s="13"/>
      <c r="CF54" s="13"/>
      <c r="CG54" s="13"/>
      <c r="CH54" s="13"/>
      <c r="CI54" s="13"/>
      <c r="CJ54" s="13"/>
      <c r="CK54" s="13"/>
      <c r="CL54" s="13"/>
      <c r="CM54" s="13"/>
      <c r="CN54" s="13"/>
      <c r="CO54" s="13"/>
      <c r="CP54" s="13"/>
      <c r="CQ54" s="13"/>
      <c r="CR54" s="13"/>
      <c r="CS54" s="13"/>
      <c r="CT54" s="13"/>
      <c r="CU54" s="13"/>
      <c r="CV54" s="13"/>
      <c r="CW54" s="13"/>
      <c r="CX54" s="13"/>
      <c r="CY54" s="13"/>
      <c r="CZ54" s="13"/>
      <c r="DA54" s="13"/>
      <c r="DB54" s="13"/>
      <c r="DC54" s="13"/>
      <c r="DD54" s="13"/>
      <c r="DE54" s="13"/>
      <c r="DF54" s="13"/>
      <c r="DG54" s="13"/>
      <c r="DH54" s="13"/>
      <c r="DI54" s="13"/>
      <c r="DJ54" s="13"/>
      <c r="DK54" s="13"/>
      <c r="DL54" s="13"/>
      <c r="DM54" s="13"/>
      <c r="DN54" s="13"/>
      <c r="DO54" s="13"/>
      <c r="DP54" s="13"/>
      <c r="DQ54" s="13"/>
      <c r="DR54" s="13"/>
      <c r="DS54" s="13"/>
      <c r="DT54" s="13"/>
      <c r="DU54" s="13"/>
      <c r="DV54" s="13"/>
      <c r="DW54" s="13"/>
    </row>
    <row r="55" spans="1:127">
      <c r="A55" s="13" t="str">
        <f>Schedule_Data_ScenarioA!A56</f>
        <v>SAIL-06</v>
      </c>
      <c r="B55" s="13" t="str">
        <f>Schedule_Data_ScenarioA!B56</f>
        <v>6.0</v>
      </c>
      <c r="C55" s="13" t="str">
        <f>Schedule_Data_ScenarioA!C56</f>
        <v>Sail-away MZP→AGI</v>
      </c>
      <c r="D55" s="23" t="str">
        <f>Schedule_Data_ScenarioA!D56</f>
        <v>SAIL</v>
      </c>
      <c r="E55" s="33">
        <f>Schedule_Data_ScenarioA!F56</f>
        <v>46100</v>
      </c>
      <c r="F55" s="33">
        <f>Schedule_Data_ScenarioA!G56</f>
        <v>46100</v>
      </c>
      <c r="G55" s="13">
        <f>Schedule_Data_ScenarioA!H56</f>
        <v>0</v>
      </c>
      <c r="H55" s="13"/>
      <c r="I55" s="13"/>
      <c r="J55" s="13"/>
      <c r="K55" s="13"/>
      <c r="L55" s="13"/>
      <c r="M55" s="13"/>
      <c r="N55" s="13"/>
      <c r="O55" s="13"/>
      <c r="P55" s="13"/>
      <c r="Q55" s="13"/>
      <c r="R55" s="13"/>
      <c r="S55" s="13"/>
      <c r="T55" s="13"/>
      <c r="U55" s="13"/>
      <c r="V55" s="13"/>
      <c r="W55" s="13"/>
      <c r="X55" s="13"/>
      <c r="Y55" s="13"/>
      <c r="Z55" s="13"/>
      <c r="AA55" s="13"/>
      <c r="AB55" s="13"/>
      <c r="AC55" s="13"/>
      <c r="AD55" s="13"/>
      <c r="AE55" s="13"/>
      <c r="AF55" s="13"/>
      <c r="AG55" s="13"/>
      <c r="AH55" s="13"/>
      <c r="AI55" s="13"/>
      <c r="AJ55" s="13"/>
      <c r="AK55" s="13"/>
      <c r="AL55" s="13"/>
      <c r="AM55" s="13"/>
      <c r="AN55" s="13"/>
      <c r="AO55" s="13"/>
      <c r="AP55" s="13"/>
      <c r="AQ55" s="13"/>
      <c r="AR55" s="13"/>
      <c r="AS55" s="13"/>
      <c r="AT55" s="13"/>
      <c r="AU55" s="13"/>
      <c r="AV55" s="13"/>
      <c r="AW55" s="13"/>
      <c r="AX55" s="13"/>
      <c r="AY55" s="13"/>
      <c r="AZ55" s="13"/>
      <c r="BA55" s="13"/>
      <c r="BB55" s="13"/>
      <c r="BC55" s="13"/>
      <c r="BD55" s="13"/>
      <c r="BE55" s="13"/>
      <c r="BF55" s="13"/>
      <c r="BG55" s="13"/>
      <c r="BH55" s="13"/>
      <c r="BI55" s="13"/>
      <c r="BJ55" s="13"/>
      <c r="BK55" s="13"/>
      <c r="BL55" s="13"/>
      <c r="BM55" s="13"/>
      <c r="BN55" s="13"/>
      <c r="BO55" s="13"/>
      <c r="BP55" s="13"/>
      <c r="BQ55" s="13"/>
      <c r="BR55" s="13"/>
      <c r="BS55" s="23"/>
      <c r="BT55" s="13"/>
      <c r="BU55" s="13"/>
      <c r="BV55" s="13"/>
      <c r="BW55" s="13"/>
      <c r="BX55" s="13"/>
      <c r="BY55" s="13"/>
      <c r="BZ55" s="13"/>
      <c r="CA55" s="13"/>
      <c r="CB55" s="13"/>
      <c r="CC55" s="13"/>
      <c r="CD55" s="13"/>
      <c r="CE55" s="13"/>
      <c r="CF55" s="13"/>
      <c r="CG55" s="13"/>
      <c r="CH55" s="13"/>
      <c r="CI55" s="13"/>
      <c r="CJ55" s="13"/>
      <c r="CK55" s="13"/>
      <c r="CL55" s="13"/>
      <c r="CM55" s="13"/>
      <c r="CN55" s="13"/>
      <c r="CO55" s="13"/>
      <c r="CP55" s="13"/>
      <c r="CQ55" s="13"/>
      <c r="CR55" s="13"/>
      <c r="CS55" s="13"/>
      <c r="CT55" s="13"/>
      <c r="CU55" s="13"/>
      <c r="CV55" s="13"/>
      <c r="CW55" s="13"/>
      <c r="CX55" s="13"/>
      <c r="CY55" s="13"/>
      <c r="CZ55" s="13"/>
      <c r="DA55" s="13"/>
      <c r="DB55" s="13"/>
      <c r="DC55" s="13"/>
      <c r="DD55" s="13"/>
      <c r="DE55" s="13"/>
      <c r="DF55" s="13"/>
      <c r="DG55" s="13"/>
      <c r="DH55" s="13"/>
      <c r="DI55" s="13"/>
      <c r="DJ55" s="13"/>
      <c r="DK55" s="13"/>
      <c r="DL55" s="13"/>
      <c r="DM55" s="13"/>
      <c r="DN55" s="13"/>
      <c r="DO55" s="13"/>
      <c r="DP55" s="13"/>
      <c r="DQ55" s="13"/>
      <c r="DR55" s="13"/>
      <c r="DS55" s="13"/>
      <c r="DT55" s="13"/>
      <c r="DU55" s="13"/>
      <c r="DV55" s="13"/>
      <c r="DW55" s="13"/>
    </row>
    <row r="56" spans="1:127">
      <c r="A56" s="13" t="str">
        <f>Schedule_Data_ScenarioA!A57</f>
        <v>UL-06-1</v>
      </c>
      <c r="B56" s="13" t="str">
        <f>Schedule_Data_ScenarioA!B57</f>
        <v>6.0</v>
      </c>
      <c r="C56" s="13" t="str">
        <f>Schedule_Data_ScenarioA!C57</f>
        <v>Unload TR6 at AGI (1 unit/day)</v>
      </c>
      <c r="D56" s="24" t="str">
        <f>Schedule_Data_ScenarioA!D57</f>
        <v>AGI_UNLOAD</v>
      </c>
      <c r="E56" s="33">
        <f>Schedule_Data_ScenarioA!F57</f>
        <v>46101</v>
      </c>
      <c r="F56" s="33">
        <f>Schedule_Data_ScenarioA!G57</f>
        <v>46101</v>
      </c>
      <c r="G56" s="13">
        <f>Schedule_Data_ScenarioA!H57</f>
        <v>0</v>
      </c>
      <c r="H56" s="13"/>
      <c r="I56" s="13"/>
      <c r="J56" s="13"/>
      <c r="K56" s="13"/>
      <c r="L56" s="13"/>
      <c r="M56" s="13"/>
      <c r="N56" s="13"/>
      <c r="O56" s="13"/>
      <c r="P56" s="13"/>
      <c r="Q56" s="13"/>
      <c r="R56" s="13"/>
      <c r="S56" s="13"/>
      <c r="T56" s="13"/>
      <c r="U56" s="13"/>
      <c r="V56" s="13"/>
      <c r="W56" s="13"/>
      <c r="X56" s="13"/>
      <c r="Y56" s="13"/>
      <c r="Z56" s="13"/>
      <c r="AA56" s="13"/>
      <c r="AB56" s="13"/>
      <c r="AC56" s="13"/>
      <c r="AD56" s="13"/>
      <c r="AE56" s="13"/>
      <c r="AF56" s="13"/>
      <c r="AG56" s="13"/>
      <c r="AH56" s="13"/>
      <c r="AI56" s="13"/>
      <c r="AJ56" s="13"/>
      <c r="AK56" s="13"/>
      <c r="AL56" s="13"/>
      <c r="AM56" s="13"/>
      <c r="AN56" s="13"/>
      <c r="AO56" s="13"/>
      <c r="AP56" s="13"/>
      <c r="AQ56" s="13"/>
      <c r="AR56" s="13"/>
      <c r="AS56" s="13"/>
      <c r="AT56" s="13"/>
      <c r="AU56" s="13"/>
      <c r="AV56" s="13"/>
      <c r="AW56" s="13"/>
      <c r="AX56" s="13"/>
      <c r="AY56" s="13"/>
      <c r="AZ56" s="13"/>
      <c r="BA56" s="13"/>
      <c r="BB56" s="13"/>
      <c r="BC56" s="13"/>
      <c r="BD56" s="13"/>
      <c r="BE56" s="13"/>
      <c r="BF56" s="13"/>
      <c r="BG56" s="13"/>
      <c r="BH56" s="13"/>
      <c r="BI56" s="13"/>
      <c r="BJ56" s="13"/>
      <c r="BK56" s="13"/>
      <c r="BL56" s="13"/>
      <c r="BM56" s="13"/>
      <c r="BN56" s="13"/>
      <c r="BO56" s="13"/>
      <c r="BP56" s="13"/>
      <c r="BQ56" s="13"/>
      <c r="BR56" s="13"/>
      <c r="BS56" s="13"/>
      <c r="BT56" s="24"/>
      <c r="BU56" s="13"/>
      <c r="BV56" s="13"/>
      <c r="BW56" s="13"/>
      <c r="BX56" s="13"/>
      <c r="BY56" s="13"/>
      <c r="BZ56" s="13"/>
      <c r="CA56" s="13"/>
      <c r="CB56" s="13"/>
      <c r="CC56" s="13"/>
      <c r="CD56" s="13"/>
      <c r="CE56" s="13"/>
      <c r="CF56" s="13"/>
      <c r="CG56" s="13"/>
      <c r="CH56" s="13"/>
      <c r="CI56" s="13"/>
      <c r="CJ56" s="13"/>
      <c r="CK56" s="13"/>
      <c r="CL56" s="13"/>
      <c r="CM56" s="13"/>
      <c r="CN56" s="13"/>
      <c r="CO56" s="13"/>
      <c r="CP56" s="13"/>
      <c r="CQ56" s="13"/>
      <c r="CR56" s="13"/>
      <c r="CS56" s="13"/>
      <c r="CT56" s="13"/>
      <c r="CU56" s="13"/>
      <c r="CV56" s="13"/>
      <c r="CW56" s="13"/>
      <c r="CX56" s="13"/>
      <c r="CY56" s="13"/>
      <c r="CZ56" s="13"/>
      <c r="DA56" s="13"/>
      <c r="DB56" s="13"/>
      <c r="DC56" s="13"/>
      <c r="DD56" s="13"/>
      <c r="DE56" s="13"/>
      <c r="DF56" s="13"/>
      <c r="DG56" s="13"/>
      <c r="DH56" s="13"/>
      <c r="DI56" s="13"/>
      <c r="DJ56" s="13"/>
      <c r="DK56" s="13"/>
      <c r="DL56" s="13"/>
      <c r="DM56" s="13"/>
      <c r="DN56" s="13"/>
      <c r="DO56" s="13"/>
      <c r="DP56" s="13"/>
      <c r="DQ56" s="13"/>
      <c r="DR56" s="13"/>
      <c r="DS56" s="13"/>
      <c r="DT56" s="13"/>
      <c r="DU56" s="13"/>
      <c r="DV56" s="13"/>
      <c r="DW56" s="13"/>
    </row>
    <row r="57" spans="1:127">
      <c r="A57" s="13" t="str">
        <f>Schedule_Data_ScenarioA!A58</f>
        <v>TURN-06-1</v>
      </c>
      <c r="B57" s="13" t="str">
        <f>Schedule_Data_ScenarioA!B58</f>
        <v>6.0</v>
      </c>
      <c r="C57" s="13" t="str">
        <f>Schedule_Data_ScenarioA!C58</f>
        <v>Turning TR6 (90°)</v>
      </c>
      <c r="D57" s="26" t="str">
        <f>Schedule_Data_ScenarioA!D58</f>
        <v>TURNING</v>
      </c>
      <c r="E57" s="33">
        <f>Schedule_Data_ScenarioA!F58</f>
        <v>46102</v>
      </c>
      <c r="F57" s="33">
        <f>Schedule_Data_ScenarioA!G58</f>
        <v>46102</v>
      </c>
      <c r="G57" s="13">
        <f>Schedule_Data_ScenarioA!H58</f>
        <v>0</v>
      </c>
      <c r="H57" s="13"/>
      <c r="I57" s="13"/>
      <c r="J57" s="13"/>
      <c r="K57" s="13"/>
      <c r="L57" s="13"/>
      <c r="M57" s="13"/>
      <c r="N57" s="13"/>
      <c r="O57" s="13"/>
      <c r="P57" s="13"/>
      <c r="Q57" s="13"/>
      <c r="R57" s="13"/>
      <c r="S57" s="13"/>
      <c r="T57" s="13"/>
      <c r="U57" s="13"/>
      <c r="V57" s="13"/>
      <c r="W57" s="13"/>
      <c r="X57" s="13"/>
      <c r="Y57" s="13"/>
      <c r="Z57" s="13"/>
      <c r="AA57" s="13"/>
      <c r="AB57" s="13"/>
      <c r="AC57" s="13"/>
      <c r="AD57" s="13"/>
      <c r="AE57" s="13"/>
      <c r="AF57" s="13"/>
      <c r="AG57" s="13"/>
      <c r="AH57" s="13"/>
      <c r="AI57" s="13"/>
      <c r="AJ57" s="13"/>
      <c r="AK57" s="13"/>
      <c r="AL57" s="13"/>
      <c r="AM57" s="13"/>
      <c r="AN57" s="13"/>
      <c r="AO57" s="13"/>
      <c r="AP57" s="13"/>
      <c r="AQ57" s="13"/>
      <c r="AR57" s="13"/>
      <c r="AS57" s="13"/>
      <c r="AT57" s="13"/>
      <c r="AU57" s="13"/>
      <c r="AV57" s="13"/>
      <c r="AW57" s="13"/>
      <c r="AX57" s="13"/>
      <c r="AY57" s="13"/>
      <c r="AZ57" s="13"/>
      <c r="BA57" s="13"/>
      <c r="BB57" s="13"/>
      <c r="BC57" s="13"/>
      <c r="BD57" s="13"/>
      <c r="BE57" s="13"/>
      <c r="BF57" s="13"/>
      <c r="BG57" s="13"/>
      <c r="BH57" s="13"/>
      <c r="BI57" s="13"/>
      <c r="BJ57" s="13"/>
      <c r="BK57" s="13"/>
      <c r="BL57" s="13"/>
      <c r="BM57" s="13"/>
      <c r="BN57" s="13"/>
      <c r="BO57" s="13"/>
      <c r="BP57" s="13"/>
      <c r="BQ57" s="13"/>
      <c r="BR57" s="13"/>
      <c r="BS57" s="13"/>
      <c r="BT57" s="13"/>
      <c r="BU57" s="26"/>
      <c r="BV57" s="13"/>
      <c r="BW57" s="13"/>
      <c r="BX57" s="13"/>
      <c r="BY57" s="13"/>
      <c r="BZ57" s="13"/>
      <c r="CA57" s="13"/>
      <c r="CB57" s="13"/>
      <c r="CC57" s="13"/>
      <c r="CD57" s="13"/>
      <c r="CE57" s="13"/>
      <c r="CF57" s="13"/>
      <c r="CG57" s="13"/>
      <c r="CH57" s="13"/>
      <c r="CI57" s="13"/>
      <c r="CJ57" s="13"/>
      <c r="CK57" s="13"/>
      <c r="CL57" s="13"/>
      <c r="CM57" s="13"/>
      <c r="CN57" s="13"/>
      <c r="CO57" s="13"/>
      <c r="CP57" s="13"/>
      <c r="CQ57" s="13"/>
      <c r="CR57" s="13"/>
      <c r="CS57" s="13"/>
      <c r="CT57" s="13"/>
      <c r="CU57" s="13"/>
      <c r="CV57" s="13"/>
      <c r="CW57" s="13"/>
      <c r="CX57" s="13"/>
      <c r="CY57" s="13"/>
      <c r="CZ57" s="13"/>
      <c r="DA57" s="13"/>
      <c r="DB57" s="13"/>
      <c r="DC57" s="13"/>
      <c r="DD57" s="13"/>
      <c r="DE57" s="13"/>
      <c r="DF57" s="13"/>
      <c r="DG57" s="13"/>
      <c r="DH57" s="13"/>
      <c r="DI57" s="13"/>
      <c r="DJ57" s="13"/>
      <c r="DK57" s="13"/>
      <c r="DL57" s="13"/>
      <c r="DM57" s="13"/>
      <c r="DN57" s="13"/>
      <c r="DO57" s="13"/>
      <c r="DP57" s="13"/>
      <c r="DQ57" s="13"/>
      <c r="DR57" s="13"/>
      <c r="DS57" s="13"/>
      <c r="DT57" s="13"/>
      <c r="DU57" s="13"/>
      <c r="DV57" s="13"/>
      <c r="DW57" s="13"/>
    </row>
    <row r="58" spans="1:127">
      <c r="A58" s="13" t="str">
        <f>Schedule_Data_ScenarioA!A59</f>
        <v>JD-06-1</v>
      </c>
      <c r="B58" s="13" t="str">
        <f>Schedule_Data_ScenarioA!B59</f>
        <v>6.0</v>
      </c>
      <c r="C58" s="13" t="str">
        <f>Schedule_Data_ScenarioA!C59</f>
        <v>Jackdown TR6</v>
      </c>
      <c r="D58" s="42" t="str">
        <f>Schedule_Data_ScenarioA!D59</f>
        <v>JACKDOWN</v>
      </c>
      <c r="E58" s="33">
        <f>Schedule_Data_ScenarioA!F59</f>
        <v>46105</v>
      </c>
      <c r="F58" s="33">
        <f>Schedule_Data_ScenarioA!G59</f>
        <v>46105</v>
      </c>
      <c r="G58" s="13">
        <f>Schedule_Data_ScenarioA!H59</f>
        <v>0</v>
      </c>
      <c r="H58" s="13"/>
      <c r="I58" s="13"/>
      <c r="J58" s="13"/>
      <c r="K58" s="13"/>
      <c r="L58" s="13"/>
      <c r="M58" s="13"/>
      <c r="N58" s="13"/>
      <c r="O58" s="13"/>
      <c r="P58" s="13"/>
      <c r="Q58" s="13"/>
      <c r="R58" s="13"/>
      <c r="S58" s="13"/>
      <c r="T58" s="13"/>
      <c r="U58" s="13"/>
      <c r="V58" s="13"/>
      <c r="W58" s="13"/>
      <c r="X58" s="13"/>
      <c r="Y58" s="13"/>
      <c r="Z58" s="13"/>
      <c r="AA58" s="13"/>
      <c r="AB58" s="13"/>
      <c r="AC58" s="13"/>
      <c r="AD58" s="13"/>
      <c r="AE58" s="13"/>
      <c r="AF58" s="13"/>
      <c r="AG58" s="13"/>
      <c r="AH58" s="13"/>
      <c r="AI58" s="13"/>
      <c r="AJ58" s="13"/>
      <c r="AK58" s="13"/>
      <c r="AL58" s="13"/>
      <c r="AM58" s="13"/>
      <c r="AN58" s="13"/>
      <c r="AO58" s="13"/>
      <c r="AP58" s="13"/>
      <c r="AQ58" s="13"/>
      <c r="AR58" s="13"/>
      <c r="AS58" s="13"/>
      <c r="AT58" s="13"/>
      <c r="AU58" s="13"/>
      <c r="AV58" s="13"/>
      <c r="AW58" s="13"/>
      <c r="AX58" s="13"/>
      <c r="AY58" s="13"/>
      <c r="AZ58" s="13"/>
      <c r="BA58" s="13"/>
      <c r="BB58" s="13"/>
      <c r="BC58" s="13"/>
      <c r="BD58" s="13"/>
      <c r="BE58" s="13"/>
      <c r="BF58" s="13"/>
      <c r="BG58" s="13"/>
      <c r="BH58" s="13"/>
      <c r="BI58" s="13"/>
      <c r="BJ58" s="13"/>
      <c r="BK58" s="13"/>
      <c r="BL58" s="13"/>
      <c r="BM58" s="13"/>
      <c r="BN58" s="13"/>
      <c r="BO58" s="13"/>
      <c r="BP58" s="13"/>
      <c r="BQ58" s="13"/>
      <c r="BR58" s="13"/>
      <c r="BS58" s="13"/>
      <c r="BT58" s="13"/>
      <c r="BU58" s="13"/>
      <c r="BV58" s="13"/>
      <c r="BW58" s="13"/>
      <c r="BX58" s="42"/>
      <c r="BY58" s="13"/>
      <c r="BZ58" s="13"/>
      <c r="CA58" s="13"/>
      <c r="CB58" s="13"/>
      <c r="CC58" s="13"/>
      <c r="CD58" s="13"/>
      <c r="CE58" s="13"/>
      <c r="CF58" s="13"/>
      <c r="CG58" s="13"/>
      <c r="CH58" s="13"/>
      <c r="CI58" s="13"/>
      <c r="CJ58" s="13"/>
      <c r="CK58" s="13"/>
      <c r="CL58" s="13"/>
      <c r="CM58" s="13"/>
      <c r="CN58" s="13"/>
      <c r="CO58" s="13"/>
      <c r="CP58" s="13"/>
      <c r="CQ58" s="13"/>
      <c r="CR58" s="13"/>
      <c r="CS58" s="13"/>
      <c r="CT58" s="13"/>
      <c r="CU58" s="13"/>
      <c r="CV58" s="13"/>
      <c r="CW58" s="13"/>
      <c r="CX58" s="13"/>
      <c r="CY58" s="13"/>
      <c r="CZ58" s="13"/>
      <c r="DA58" s="13"/>
      <c r="DB58" s="13"/>
      <c r="DC58" s="13"/>
      <c r="DD58" s="13"/>
      <c r="DE58" s="13"/>
      <c r="DF58" s="13"/>
      <c r="DG58" s="13"/>
      <c r="DH58" s="13"/>
      <c r="DI58" s="13"/>
      <c r="DJ58" s="13"/>
      <c r="DK58" s="13"/>
      <c r="DL58" s="13"/>
      <c r="DM58" s="13"/>
      <c r="DN58" s="13"/>
      <c r="DO58" s="13"/>
      <c r="DP58" s="13"/>
      <c r="DQ58" s="13"/>
      <c r="DR58" s="13"/>
      <c r="DS58" s="13"/>
      <c r="DT58" s="13"/>
      <c r="DU58" s="13"/>
      <c r="DV58" s="13"/>
      <c r="DW58" s="13"/>
    </row>
    <row r="59" spans="1:127">
      <c r="A59" s="13" t="str">
        <f>Schedule_Data_ScenarioA!A60</f>
        <v>RET-06</v>
      </c>
      <c r="B59" s="13" t="str">
        <f>Schedule_Data_ScenarioA!B60</f>
        <v>6.0</v>
      </c>
      <c r="C59" s="13" t="str">
        <f>Schedule_Data_ScenarioA!C60</f>
        <v>LCT Return AGI→MZP</v>
      </c>
      <c r="D59" s="25" t="str">
        <f>Schedule_Data_ScenarioA!D60</f>
        <v>RETURN</v>
      </c>
      <c r="E59" s="33">
        <f>Schedule_Data_ScenarioA!F60</f>
        <v>46106</v>
      </c>
      <c r="F59" s="33">
        <f>Schedule_Data_ScenarioA!G60</f>
        <v>46106</v>
      </c>
      <c r="G59" s="13">
        <f>Schedule_Data_ScenarioA!H60</f>
        <v>0</v>
      </c>
      <c r="H59" s="13"/>
      <c r="I59" s="13"/>
      <c r="J59" s="13"/>
      <c r="K59" s="13"/>
      <c r="L59" s="13"/>
      <c r="M59" s="13"/>
      <c r="N59" s="13"/>
      <c r="O59" s="13"/>
      <c r="P59" s="13"/>
      <c r="Q59" s="13"/>
      <c r="R59" s="13"/>
      <c r="S59" s="13"/>
      <c r="T59" s="13"/>
      <c r="U59" s="13"/>
      <c r="V59" s="13"/>
      <c r="W59" s="13"/>
      <c r="X59" s="13"/>
      <c r="Y59" s="13"/>
      <c r="Z59" s="13"/>
      <c r="AA59" s="13"/>
      <c r="AB59" s="13"/>
      <c r="AC59" s="13"/>
      <c r="AD59" s="13"/>
      <c r="AE59" s="13"/>
      <c r="AF59" s="13"/>
      <c r="AG59" s="13"/>
      <c r="AH59" s="13"/>
      <c r="AI59" s="13"/>
      <c r="AJ59" s="13"/>
      <c r="AK59" s="13"/>
      <c r="AL59" s="13"/>
      <c r="AM59" s="13"/>
      <c r="AN59" s="13"/>
      <c r="AO59" s="13"/>
      <c r="AP59" s="13"/>
      <c r="AQ59" s="13"/>
      <c r="AR59" s="13"/>
      <c r="AS59" s="13"/>
      <c r="AT59" s="13"/>
      <c r="AU59" s="13"/>
      <c r="AV59" s="13"/>
      <c r="AW59" s="13"/>
      <c r="AX59" s="13"/>
      <c r="AY59" s="13"/>
      <c r="AZ59" s="13"/>
      <c r="BA59" s="13"/>
      <c r="BB59" s="13"/>
      <c r="BC59" s="13"/>
      <c r="BD59" s="13"/>
      <c r="BE59" s="13"/>
      <c r="BF59" s="13"/>
      <c r="BG59" s="13"/>
      <c r="BH59" s="13"/>
      <c r="BI59" s="13"/>
      <c r="BJ59" s="13"/>
      <c r="BK59" s="13"/>
      <c r="BL59" s="13"/>
      <c r="BM59" s="13"/>
      <c r="BN59" s="13"/>
      <c r="BO59" s="13"/>
      <c r="BP59" s="13"/>
      <c r="BQ59" s="13"/>
      <c r="BR59" s="13"/>
      <c r="BS59" s="13"/>
      <c r="BT59" s="13"/>
      <c r="BU59" s="13"/>
      <c r="BV59" s="13"/>
      <c r="BW59" s="13"/>
      <c r="BX59" s="13"/>
      <c r="BY59" s="25"/>
      <c r="BZ59" s="13"/>
      <c r="CA59" s="13"/>
      <c r="CB59" s="13"/>
      <c r="CC59" s="13"/>
      <c r="CD59" s="13"/>
      <c r="CE59" s="13"/>
      <c r="CF59" s="13"/>
      <c r="CG59" s="13"/>
      <c r="CH59" s="13"/>
      <c r="CI59" s="13"/>
      <c r="CJ59" s="13"/>
      <c r="CK59" s="13"/>
      <c r="CL59" s="13"/>
      <c r="CM59" s="13"/>
      <c r="CN59" s="13"/>
      <c r="CO59" s="13"/>
      <c r="CP59" s="13"/>
      <c r="CQ59" s="13"/>
      <c r="CR59" s="13"/>
      <c r="CS59" s="13"/>
      <c r="CT59" s="13"/>
      <c r="CU59" s="13"/>
      <c r="CV59" s="13"/>
      <c r="CW59" s="13"/>
      <c r="CX59" s="13"/>
      <c r="CY59" s="13"/>
      <c r="CZ59" s="13"/>
      <c r="DA59" s="13"/>
      <c r="DB59" s="13"/>
      <c r="DC59" s="13"/>
      <c r="DD59" s="13"/>
      <c r="DE59" s="13"/>
      <c r="DF59" s="13"/>
      <c r="DG59" s="13"/>
      <c r="DH59" s="13"/>
      <c r="DI59" s="13"/>
      <c r="DJ59" s="13"/>
      <c r="DK59" s="13"/>
      <c r="DL59" s="13"/>
      <c r="DM59" s="13"/>
      <c r="DN59" s="13"/>
      <c r="DO59" s="13"/>
      <c r="DP59" s="13"/>
      <c r="DQ59" s="13"/>
      <c r="DR59" s="13"/>
      <c r="DS59" s="13"/>
      <c r="DT59" s="13"/>
      <c r="DU59" s="13"/>
      <c r="DV59" s="13"/>
      <c r="DW59" s="13"/>
    </row>
    <row r="60" spans="1:127">
      <c r="A60" s="13" t="str">
        <f>Schedule_Data_ScenarioA!A61</f>
        <v>BUF-06</v>
      </c>
      <c r="B60" s="13" t="str">
        <f>Schedule_Data_ScenarioA!B61</f>
        <v>6.0</v>
      </c>
      <c r="C60" s="13" t="str">
        <f>Schedule_Data_ScenarioA!C61</f>
        <v>Buffer / reset</v>
      </c>
      <c r="D60" s="22" t="str">
        <f>Schedule_Data_ScenarioA!D61</f>
        <v>BUFFER</v>
      </c>
      <c r="E60" s="33">
        <f>Schedule_Data_ScenarioA!F61</f>
        <v>46107</v>
      </c>
      <c r="F60" s="33">
        <f>Schedule_Data_ScenarioA!G61</f>
        <v>46107</v>
      </c>
      <c r="G60" s="13">
        <f>Schedule_Data_ScenarioA!H61</f>
        <v>0</v>
      </c>
      <c r="H60" s="13"/>
      <c r="I60" s="13"/>
      <c r="J60" s="13"/>
      <c r="K60" s="13"/>
      <c r="L60" s="13"/>
      <c r="M60" s="13"/>
      <c r="N60" s="13"/>
      <c r="O60" s="13"/>
      <c r="P60" s="13"/>
      <c r="Q60" s="13"/>
      <c r="R60" s="13"/>
      <c r="S60" s="13"/>
      <c r="T60" s="13"/>
      <c r="U60" s="13"/>
      <c r="V60" s="13"/>
      <c r="W60" s="13"/>
      <c r="X60" s="13"/>
      <c r="Y60" s="13"/>
      <c r="Z60" s="13"/>
      <c r="AA60" s="13"/>
      <c r="AB60" s="13"/>
      <c r="AC60" s="13"/>
      <c r="AD60" s="13"/>
      <c r="AE60" s="13"/>
      <c r="AF60" s="13"/>
      <c r="AG60" s="13"/>
      <c r="AH60" s="13"/>
      <c r="AI60" s="13"/>
      <c r="AJ60" s="13"/>
      <c r="AK60" s="13"/>
      <c r="AL60" s="13"/>
      <c r="AM60" s="13"/>
      <c r="AN60" s="13"/>
      <c r="AO60" s="13"/>
      <c r="AP60" s="13"/>
      <c r="AQ60" s="13"/>
      <c r="AR60" s="13"/>
      <c r="AS60" s="13"/>
      <c r="AT60" s="13"/>
      <c r="AU60" s="13"/>
      <c r="AV60" s="13"/>
      <c r="AW60" s="13"/>
      <c r="AX60" s="13"/>
      <c r="AY60" s="13"/>
      <c r="AZ60" s="13"/>
      <c r="BA60" s="13"/>
      <c r="BB60" s="13"/>
      <c r="BC60" s="13"/>
      <c r="BD60" s="13"/>
      <c r="BE60" s="13"/>
      <c r="BF60" s="13"/>
      <c r="BG60" s="13"/>
      <c r="BH60" s="13"/>
      <c r="BI60" s="13"/>
      <c r="BJ60" s="13"/>
      <c r="BK60" s="13"/>
      <c r="BL60" s="13"/>
      <c r="BM60" s="13"/>
      <c r="BN60" s="13"/>
      <c r="BO60" s="13"/>
      <c r="BP60" s="13"/>
      <c r="BQ60" s="13"/>
      <c r="BR60" s="13"/>
      <c r="BS60" s="13"/>
      <c r="BT60" s="13"/>
      <c r="BU60" s="13"/>
      <c r="BV60" s="13"/>
      <c r="BW60" s="13"/>
      <c r="BX60" s="13"/>
      <c r="BY60" s="13"/>
      <c r="BZ60" s="22"/>
      <c r="CA60" s="13"/>
      <c r="CB60" s="13"/>
      <c r="CC60" s="13"/>
      <c r="CD60" s="13"/>
      <c r="CE60" s="13"/>
      <c r="CF60" s="13"/>
      <c r="CG60" s="13"/>
      <c r="CH60" s="13"/>
      <c r="CI60" s="13"/>
      <c r="CJ60" s="13"/>
      <c r="CK60" s="13"/>
      <c r="CL60" s="13"/>
      <c r="CM60" s="13"/>
      <c r="CN60" s="13"/>
      <c r="CO60" s="13"/>
      <c r="CP60" s="13"/>
      <c r="CQ60" s="13"/>
      <c r="CR60" s="13"/>
      <c r="CS60" s="13"/>
      <c r="CT60" s="13"/>
      <c r="CU60" s="13"/>
      <c r="CV60" s="13"/>
      <c r="CW60" s="13"/>
      <c r="CX60" s="13"/>
      <c r="CY60" s="13"/>
      <c r="CZ60" s="13"/>
      <c r="DA60" s="13"/>
      <c r="DB60" s="13"/>
      <c r="DC60" s="13"/>
      <c r="DD60" s="13"/>
      <c r="DE60" s="13"/>
      <c r="DF60" s="13"/>
      <c r="DG60" s="13"/>
      <c r="DH60" s="13"/>
      <c r="DI60" s="13"/>
      <c r="DJ60" s="13"/>
      <c r="DK60" s="13"/>
      <c r="DL60" s="13"/>
      <c r="DM60" s="13"/>
      <c r="DN60" s="13"/>
      <c r="DO60" s="13"/>
      <c r="DP60" s="13"/>
      <c r="DQ60" s="13"/>
      <c r="DR60" s="13"/>
      <c r="DS60" s="13"/>
      <c r="DT60" s="13"/>
      <c r="DU60" s="13"/>
      <c r="DV60" s="13"/>
      <c r="DW60" s="13"/>
    </row>
    <row r="61" spans="1:127">
      <c r="A61" s="13" t="str">
        <f>Schedule_Data_ScenarioA!A62</f>
        <v>V7</v>
      </c>
      <c r="B61" s="13" t="str">
        <f>Schedule_Data_ScenarioA!B62</f>
        <v>7.0</v>
      </c>
      <c r="C61" s="13" t="str">
        <f>Schedule_Data_ScenarioA!C62</f>
        <v>VOYAGE 7: TR7 Transport</v>
      </c>
      <c r="D61" s="34" t="str">
        <f>Schedule_Data_ScenarioA!D62</f>
        <v>MILESTONE</v>
      </c>
      <c r="E61" s="33">
        <f>Schedule_Data_ScenarioA!F62</f>
        <v>46108</v>
      </c>
      <c r="F61" s="33">
        <f>Schedule_Data_ScenarioA!G62</f>
        <v>46108</v>
      </c>
      <c r="G61" s="13">
        <f>Schedule_Data_ScenarioA!H62</f>
        <v>0</v>
      </c>
      <c r="H61" s="13"/>
      <c r="I61" s="13"/>
      <c r="J61" s="13"/>
      <c r="K61" s="13"/>
      <c r="L61" s="13"/>
      <c r="M61" s="13"/>
      <c r="N61" s="13"/>
      <c r="O61" s="13"/>
      <c r="P61" s="13"/>
      <c r="Q61" s="13"/>
      <c r="R61" s="13"/>
      <c r="S61" s="13"/>
      <c r="T61" s="13"/>
      <c r="U61" s="13"/>
      <c r="V61" s="13"/>
      <c r="W61" s="13"/>
      <c r="X61" s="13"/>
      <c r="Y61" s="13"/>
      <c r="Z61" s="13"/>
      <c r="AA61" s="13"/>
      <c r="AB61" s="13"/>
      <c r="AC61" s="13"/>
      <c r="AD61" s="13"/>
      <c r="AE61" s="13"/>
      <c r="AF61" s="13"/>
      <c r="AG61" s="13"/>
      <c r="AH61" s="13"/>
      <c r="AI61" s="13"/>
      <c r="AJ61" s="13"/>
      <c r="AK61" s="13"/>
      <c r="AL61" s="13"/>
      <c r="AM61" s="13"/>
      <c r="AN61" s="13"/>
      <c r="AO61" s="13"/>
      <c r="AP61" s="13"/>
      <c r="AQ61" s="13"/>
      <c r="AR61" s="13"/>
      <c r="AS61" s="13"/>
      <c r="AT61" s="13"/>
      <c r="AU61" s="13"/>
      <c r="AV61" s="13"/>
      <c r="AW61" s="13"/>
      <c r="AX61" s="13"/>
      <c r="AY61" s="13"/>
      <c r="AZ61" s="13"/>
      <c r="BA61" s="13"/>
      <c r="BB61" s="13"/>
      <c r="BC61" s="13"/>
      <c r="BD61" s="13"/>
      <c r="BE61" s="13"/>
      <c r="BF61" s="13"/>
      <c r="BG61" s="13"/>
      <c r="BH61" s="13"/>
      <c r="BI61" s="13"/>
      <c r="BJ61" s="13"/>
      <c r="BK61" s="13"/>
      <c r="BL61" s="13"/>
      <c r="BM61" s="13"/>
      <c r="BN61" s="13"/>
      <c r="BO61" s="13"/>
      <c r="BP61" s="13"/>
      <c r="BQ61" s="13"/>
      <c r="BR61" s="13"/>
      <c r="BS61" s="13"/>
      <c r="BT61" s="13"/>
      <c r="BU61" s="13"/>
      <c r="BV61" s="13"/>
      <c r="BW61" s="13"/>
      <c r="BX61" s="13"/>
      <c r="BY61" s="13"/>
      <c r="BZ61" s="13"/>
      <c r="CA61" s="35" t="s">
        <v>270</v>
      </c>
      <c r="CB61" s="13"/>
      <c r="CC61" s="13"/>
      <c r="CD61" s="13"/>
      <c r="CE61" s="13"/>
      <c r="CF61" s="13"/>
      <c r="CG61" s="13"/>
      <c r="CH61" s="13"/>
      <c r="CI61" s="13"/>
      <c r="CJ61" s="13"/>
      <c r="CK61" s="13"/>
      <c r="CL61" s="13"/>
      <c r="CM61" s="13"/>
      <c r="CN61" s="13"/>
      <c r="CO61" s="13"/>
      <c r="CP61" s="13"/>
      <c r="CQ61" s="13"/>
      <c r="CR61" s="13"/>
      <c r="CS61" s="13"/>
      <c r="CT61" s="13"/>
      <c r="CU61" s="13"/>
      <c r="CV61" s="13"/>
      <c r="CW61" s="13"/>
      <c r="CX61" s="13"/>
      <c r="CY61" s="13"/>
      <c r="CZ61" s="13"/>
      <c r="DA61" s="13"/>
      <c r="DB61" s="13"/>
      <c r="DC61" s="13"/>
      <c r="DD61" s="13"/>
      <c r="DE61" s="13"/>
      <c r="DF61" s="13"/>
      <c r="DG61" s="13"/>
      <c r="DH61" s="13"/>
      <c r="DI61" s="13"/>
      <c r="DJ61" s="13"/>
      <c r="DK61" s="13"/>
      <c r="DL61" s="13"/>
      <c r="DM61" s="13"/>
      <c r="DN61" s="13"/>
      <c r="DO61" s="13"/>
      <c r="DP61" s="13"/>
      <c r="DQ61" s="13"/>
      <c r="DR61" s="13"/>
      <c r="DS61" s="13"/>
      <c r="DT61" s="13"/>
      <c r="DU61" s="13"/>
      <c r="DV61" s="13"/>
      <c r="DW61" s="13"/>
    </row>
    <row r="62" spans="1:127">
      <c r="A62" s="13" t="str">
        <f>Schedule_Data_ScenarioA!A63</f>
        <v>LO-07</v>
      </c>
      <c r="B62" s="13" t="str">
        <f>Schedule_Data_ScenarioA!B63</f>
        <v>7.0</v>
      </c>
      <c r="C62" s="13" t="str">
        <f>Schedule_Data_ScenarioA!C63</f>
        <v>Loadout TR7 onto LCT</v>
      </c>
      <c r="D62" s="20" t="str">
        <f>Schedule_Data_ScenarioA!D63</f>
        <v>LOADOUT</v>
      </c>
      <c r="E62" s="33">
        <f>Schedule_Data_ScenarioA!F63</f>
        <v>46108</v>
      </c>
      <c r="F62" s="33">
        <f>Schedule_Data_ScenarioA!G63</f>
        <v>46108</v>
      </c>
      <c r="G62" s="13">
        <f>Schedule_Data_ScenarioA!H63</f>
        <v>0</v>
      </c>
      <c r="H62" s="13"/>
      <c r="I62" s="13"/>
      <c r="J62" s="13"/>
      <c r="K62" s="13"/>
      <c r="L62" s="13"/>
      <c r="M62" s="13"/>
      <c r="N62" s="13"/>
      <c r="O62" s="13"/>
      <c r="P62" s="13"/>
      <c r="Q62" s="13"/>
      <c r="R62" s="13"/>
      <c r="S62" s="13"/>
      <c r="T62" s="13"/>
      <c r="U62" s="13"/>
      <c r="V62" s="13"/>
      <c r="W62" s="13"/>
      <c r="X62" s="13"/>
      <c r="Y62" s="13"/>
      <c r="Z62" s="13"/>
      <c r="AA62" s="13"/>
      <c r="AB62" s="13"/>
      <c r="AC62" s="13"/>
      <c r="AD62" s="13"/>
      <c r="AE62" s="13"/>
      <c r="AF62" s="13"/>
      <c r="AG62" s="13"/>
      <c r="AH62" s="13"/>
      <c r="AI62" s="13"/>
      <c r="AJ62" s="13"/>
      <c r="AK62" s="13"/>
      <c r="AL62" s="13"/>
      <c r="AM62" s="13"/>
      <c r="AN62" s="13"/>
      <c r="AO62" s="13"/>
      <c r="AP62" s="13"/>
      <c r="AQ62" s="13"/>
      <c r="AR62" s="13"/>
      <c r="AS62" s="13"/>
      <c r="AT62" s="13"/>
      <c r="AU62" s="13"/>
      <c r="AV62" s="13"/>
      <c r="AW62" s="13"/>
      <c r="AX62" s="13"/>
      <c r="AY62" s="13"/>
      <c r="AZ62" s="13"/>
      <c r="BA62" s="13"/>
      <c r="BB62" s="13"/>
      <c r="BC62" s="13"/>
      <c r="BD62" s="13"/>
      <c r="BE62" s="13"/>
      <c r="BF62" s="13"/>
      <c r="BG62" s="13"/>
      <c r="BH62" s="13"/>
      <c r="BI62" s="13"/>
      <c r="BJ62" s="13"/>
      <c r="BK62" s="13"/>
      <c r="BL62" s="13"/>
      <c r="BM62" s="13"/>
      <c r="BN62" s="13"/>
      <c r="BO62" s="13"/>
      <c r="BP62" s="13"/>
      <c r="BQ62" s="13"/>
      <c r="BR62" s="13"/>
      <c r="BS62" s="13"/>
      <c r="BT62" s="13"/>
      <c r="BU62" s="13"/>
      <c r="BV62" s="13"/>
      <c r="BW62" s="13"/>
      <c r="BX62" s="13"/>
      <c r="BY62" s="13"/>
      <c r="BZ62" s="13"/>
      <c r="CA62" s="20"/>
      <c r="CB62" s="13"/>
      <c r="CC62" s="13"/>
      <c r="CD62" s="13"/>
      <c r="CE62" s="13"/>
      <c r="CF62" s="13"/>
      <c r="CG62" s="13"/>
      <c r="CH62" s="13"/>
      <c r="CI62" s="13"/>
      <c r="CJ62" s="13"/>
      <c r="CK62" s="13"/>
      <c r="CL62" s="13"/>
      <c r="CM62" s="13"/>
      <c r="CN62" s="13"/>
      <c r="CO62" s="13"/>
      <c r="CP62" s="13"/>
      <c r="CQ62" s="13"/>
      <c r="CR62" s="13"/>
      <c r="CS62" s="13"/>
      <c r="CT62" s="13"/>
      <c r="CU62" s="13"/>
      <c r="CV62" s="13"/>
      <c r="CW62" s="13"/>
      <c r="CX62" s="13"/>
      <c r="CY62" s="13"/>
      <c r="CZ62" s="13"/>
      <c r="DA62" s="13"/>
      <c r="DB62" s="13"/>
      <c r="DC62" s="13"/>
      <c r="DD62" s="13"/>
      <c r="DE62" s="13"/>
      <c r="DF62" s="13"/>
      <c r="DG62" s="13"/>
      <c r="DH62" s="13"/>
      <c r="DI62" s="13"/>
      <c r="DJ62" s="13"/>
      <c r="DK62" s="13"/>
      <c r="DL62" s="13"/>
      <c r="DM62" s="13"/>
      <c r="DN62" s="13"/>
      <c r="DO62" s="13"/>
      <c r="DP62" s="13"/>
      <c r="DQ62" s="13"/>
      <c r="DR62" s="13"/>
      <c r="DS62" s="13"/>
      <c r="DT62" s="13"/>
      <c r="DU62" s="13"/>
      <c r="DV62" s="13"/>
      <c r="DW62" s="13"/>
    </row>
    <row r="63" spans="1:127">
      <c r="A63" s="13" t="str">
        <f>Schedule_Data_ScenarioA!A64</f>
        <v>SF-07</v>
      </c>
      <c r="B63" s="13" t="str">
        <f>Schedule_Data_ScenarioA!B64</f>
        <v>7.0</v>
      </c>
      <c r="C63" s="13" t="str">
        <f>Schedule_Data_ScenarioA!C64</f>
        <v>Sea fastening + MWS checks (TR7)</v>
      </c>
      <c r="D63" s="21" t="str">
        <f>Schedule_Data_ScenarioA!D64</f>
        <v>SEAFAST</v>
      </c>
      <c r="E63" s="33">
        <f>Schedule_Data_ScenarioA!F64</f>
        <v>46109</v>
      </c>
      <c r="F63" s="33">
        <f>Schedule_Data_ScenarioA!G64</f>
        <v>46109</v>
      </c>
      <c r="G63" s="13">
        <f>Schedule_Data_ScenarioA!H64</f>
        <v>0</v>
      </c>
      <c r="H63" s="13"/>
      <c r="I63" s="13"/>
      <c r="J63" s="13"/>
      <c r="K63" s="13"/>
      <c r="L63" s="13"/>
      <c r="M63" s="13"/>
      <c r="N63" s="13"/>
      <c r="O63" s="13"/>
      <c r="P63" s="13"/>
      <c r="Q63" s="13"/>
      <c r="R63" s="13"/>
      <c r="S63" s="13"/>
      <c r="T63" s="13"/>
      <c r="U63" s="13"/>
      <c r="V63" s="13"/>
      <c r="W63" s="13"/>
      <c r="X63" s="13"/>
      <c r="Y63" s="13"/>
      <c r="Z63" s="13"/>
      <c r="AA63" s="13"/>
      <c r="AB63" s="13"/>
      <c r="AC63" s="13"/>
      <c r="AD63" s="13"/>
      <c r="AE63" s="13"/>
      <c r="AF63" s="13"/>
      <c r="AG63" s="13"/>
      <c r="AH63" s="13"/>
      <c r="AI63" s="13"/>
      <c r="AJ63" s="13"/>
      <c r="AK63" s="13"/>
      <c r="AL63" s="13"/>
      <c r="AM63" s="13"/>
      <c r="AN63" s="13"/>
      <c r="AO63" s="13"/>
      <c r="AP63" s="13"/>
      <c r="AQ63" s="13"/>
      <c r="AR63" s="13"/>
      <c r="AS63" s="13"/>
      <c r="AT63" s="13"/>
      <c r="AU63" s="13"/>
      <c r="AV63" s="13"/>
      <c r="AW63" s="13"/>
      <c r="AX63" s="13"/>
      <c r="AY63" s="13"/>
      <c r="AZ63" s="13"/>
      <c r="BA63" s="13"/>
      <c r="BB63" s="13"/>
      <c r="BC63" s="13"/>
      <c r="BD63" s="13"/>
      <c r="BE63" s="13"/>
      <c r="BF63" s="13"/>
      <c r="BG63" s="13"/>
      <c r="BH63" s="13"/>
      <c r="BI63" s="13"/>
      <c r="BJ63" s="13"/>
      <c r="BK63" s="13"/>
      <c r="BL63" s="13"/>
      <c r="BM63" s="13"/>
      <c r="BN63" s="13"/>
      <c r="BO63" s="13"/>
      <c r="BP63" s="13"/>
      <c r="BQ63" s="13"/>
      <c r="BR63" s="13"/>
      <c r="BS63" s="13"/>
      <c r="BT63" s="13"/>
      <c r="BU63" s="13"/>
      <c r="BV63" s="13"/>
      <c r="BW63" s="13"/>
      <c r="BX63" s="13"/>
      <c r="BY63" s="13"/>
      <c r="BZ63" s="13"/>
      <c r="CA63" s="13"/>
      <c r="CB63" s="21"/>
      <c r="CC63" s="13"/>
      <c r="CD63" s="13"/>
      <c r="CE63" s="13"/>
      <c r="CF63" s="13"/>
      <c r="CG63" s="13"/>
      <c r="CH63" s="13"/>
      <c r="CI63" s="13"/>
      <c r="CJ63" s="13"/>
      <c r="CK63" s="13"/>
      <c r="CL63" s="13"/>
      <c r="CM63" s="13"/>
      <c r="CN63" s="13"/>
      <c r="CO63" s="13"/>
      <c r="CP63" s="13"/>
      <c r="CQ63" s="13"/>
      <c r="CR63" s="13"/>
      <c r="CS63" s="13"/>
      <c r="CT63" s="13"/>
      <c r="CU63" s="13"/>
      <c r="CV63" s="13"/>
      <c r="CW63" s="13"/>
      <c r="CX63" s="13"/>
      <c r="CY63" s="13"/>
      <c r="CZ63" s="13"/>
      <c r="DA63" s="13"/>
      <c r="DB63" s="13"/>
      <c r="DC63" s="13"/>
      <c r="DD63" s="13"/>
      <c r="DE63" s="13"/>
      <c r="DF63" s="13"/>
      <c r="DG63" s="13"/>
      <c r="DH63" s="13"/>
      <c r="DI63" s="13"/>
      <c r="DJ63" s="13"/>
      <c r="DK63" s="13"/>
      <c r="DL63" s="13"/>
      <c r="DM63" s="13"/>
      <c r="DN63" s="13"/>
      <c r="DO63" s="13"/>
      <c r="DP63" s="13"/>
      <c r="DQ63" s="13"/>
      <c r="DR63" s="13"/>
      <c r="DS63" s="13"/>
      <c r="DT63" s="13"/>
      <c r="DU63" s="13"/>
      <c r="DV63" s="13"/>
      <c r="DW63" s="13"/>
    </row>
    <row r="64" spans="1:127">
      <c r="A64" s="13" t="str">
        <f>Schedule_Data_ScenarioA!A65</f>
        <v>SAIL-07</v>
      </c>
      <c r="B64" s="13" t="str">
        <f>Schedule_Data_ScenarioA!B65</f>
        <v>7.0</v>
      </c>
      <c r="C64" s="13" t="str">
        <f>Schedule_Data_ScenarioA!C65</f>
        <v>Sail-away MZP→AGI</v>
      </c>
      <c r="D64" s="23" t="str">
        <f>Schedule_Data_ScenarioA!D65</f>
        <v>SAIL</v>
      </c>
      <c r="E64" s="33">
        <f>Schedule_Data_ScenarioA!F65</f>
        <v>46110</v>
      </c>
      <c r="F64" s="33">
        <f>Schedule_Data_ScenarioA!G65</f>
        <v>46110</v>
      </c>
      <c r="G64" s="13">
        <f>Schedule_Data_ScenarioA!H65</f>
        <v>0</v>
      </c>
      <c r="H64" s="13"/>
      <c r="I64" s="13"/>
      <c r="J64" s="13"/>
      <c r="K64" s="13"/>
      <c r="L64" s="13"/>
      <c r="M64" s="13"/>
      <c r="N64" s="13"/>
      <c r="O64" s="13"/>
      <c r="P64" s="13"/>
      <c r="Q64" s="13"/>
      <c r="R64" s="13"/>
      <c r="S64" s="13"/>
      <c r="T64" s="13"/>
      <c r="U64" s="13"/>
      <c r="V64" s="13"/>
      <c r="W64" s="13"/>
      <c r="X64" s="13"/>
      <c r="Y64" s="13"/>
      <c r="Z64" s="13"/>
      <c r="AA64" s="13"/>
      <c r="AB64" s="13"/>
      <c r="AC64" s="13"/>
      <c r="AD64" s="13"/>
      <c r="AE64" s="13"/>
      <c r="AF64" s="13"/>
      <c r="AG64" s="13"/>
      <c r="AH64" s="13"/>
      <c r="AI64" s="13"/>
      <c r="AJ64" s="13"/>
      <c r="AK64" s="13"/>
      <c r="AL64" s="13"/>
      <c r="AM64" s="13"/>
      <c r="AN64" s="13"/>
      <c r="AO64" s="13"/>
      <c r="AP64" s="13"/>
      <c r="AQ64" s="13"/>
      <c r="AR64" s="13"/>
      <c r="AS64" s="13"/>
      <c r="AT64" s="13"/>
      <c r="AU64" s="13"/>
      <c r="AV64" s="13"/>
      <c r="AW64" s="13"/>
      <c r="AX64" s="13"/>
      <c r="AY64" s="13"/>
      <c r="AZ64" s="13"/>
      <c r="BA64" s="13"/>
      <c r="BB64" s="13"/>
      <c r="BC64" s="13"/>
      <c r="BD64" s="13"/>
      <c r="BE64" s="13"/>
      <c r="BF64" s="13"/>
      <c r="BG64" s="13"/>
      <c r="BH64" s="13"/>
      <c r="BI64" s="13"/>
      <c r="BJ64" s="13"/>
      <c r="BK64" s="13"/>
      <c r="BL64" s="13"/>
      <c r="BM64" s="13"/>
      <c r="BN64" s="13"/>
      <c r="BO64" s="13"/>
      <c r="BP64" s="13"/>
      <c r="BQ64" s="13"/>
      <c r="BR64" s="13"/>
      <c r="BS64" s="13"/>
      <c r="BT64" s="13"/>
      <c r="BU64" s="13"/>
      <c r="BV64" s="13"/>
      <c r="BW64" s="13"/>
      <c r="BX64" s="13"/>
      <c r="BY64" s="13"/>
      <c r="BZ64" s="13"/>
      <c r="CA64" s="13"/>
      <c r="CB64" s="13"/>
      <c r="CC64" s="23"/>
      <c r="CD64" s="13"/>
      <c r="CE64" s="13"/>
      <c r="CF64" s="13"/>
      <c r="CG64" s="13"/>
      <c r="CH64" s="13"/>
      <c r="CI64" s="13"/>
      <c r="CJ64" s="13"/>
      <c r="CK64" s="13"/>
      <c r="CL64" s="13"/>
      <c r="CM64" s="13"/>
      <c r="CN64" s="13"/>
      <c r="CO64" s="13"/>
      <c r="CP64" s="13"/>
      <c r="CQ64" s="13"/>
      <c r="CR64" s="13"/>
      <c r="CS64" s="13"/>
      <c r="CT64" s="13"/>
      <c r="CU64" s="13"/>
      <c r="CV64" s="13"/>
      <c r="CW64" s="13"/>
      <c r="CX64" s="13"/>
      <c r="CY64" s="13"/>
      <c r="CZ64" s="13"/>
      <c r="DA64" s="13"/>
      <c r="DB64" s="13"/>
      <c r="DC64" s="13"/>
      <c r="DD64" s="13"/>
      <c r="DE64" s="13"/>
      <c r="DF64" s="13"/>
      <c r="DG64" s="13"/>
      <c r="DH64" s="13"/>
      <c r="DI64" s="13"/>
      <c r="DJ64" s="13"/>
      <c r="DK64" s="13"/>
      <c r="DL64" s="13"/>
      <c r="DM64" s="13"/>
      <c r="DN64" s="13"/>
      <c r="DO64" s="13"/>
      <c r="DP64" s="13"/>
      <c r="DQ64" s="13"/>
      <c r="DR64" s="13"/>
      <c r="DS64" s="13"/>
      <c r="DT64" s="13"/>
      <c r="DU64" s="13"/>
      <c r="DV64" s="13"/>
      <c r="DW64" s="13"/>
    </row>
    <row r="65" spans="1:127">
      <c r="A65" s="13" t="str">
        <f>Schedule_Data_ScenarioA!A66</f>
        <v>UL-07-1</v>
      </c>
      <c r="B65" s="13" t="str">
        <f>Schedule_Data_ScenarioA!B66</f>
        <v>7.0</v>
      </c>
      <c r="C65" s="13" t="str">
        <f>Schedule_Data_ScenarioA!C66</f>
        <v>Unload TR7 at AGI (1 unit/day)</v>
      </c>
      <c r="D65" s="24" t="str">
        <f>Schedule_Data_ScenarioA!D66</f>
        <v>AGI_UNLOAD</v>
      </c>
      <c r="E65" s="33">
        <f>Schedule_Data_ScenarioA!F66</f>
        <v>46111</v>
      </c>
      <c r="F65" s="33">
        <f>Schedule_Data_ScenarioA!G66</f>
        <v>46111</v>
      </c>
      <c r="G65" s="13">
        <f>Schedule_Data_ScenarioA!H66</f>
        <v>0</v>
      </c>
      <c r="H65" s="13"/>
      <c r="I65" s="13"/>
      <c r="J65" s="13"/>
      <c r="K65" s="13"/>
      <c r="L65" s="13"/>
      <c r="M65" s="13"/>
      <c r="N65" s="13"/>
      <c r="O65" s="13"/>
      <c r="P65" s="13"/>
      <c r="Q65" s="13"/>
      <c r="R65" s="13"/>
      <c r="S65" s="13"/>
      <c r="T65" s="13"/>
      <c r="U65" s="13"/>
      <c r="V65" s="13"/>
      <c r="W65" s="13"/>
      <c r="X65" s="13"/>
      <c r="Y65" s="13"/>
      <c r="Z65" s="13"/>
      <c r="AA65" s="13"/>
      <c r="AB65" s="13"/>
      <c r="AC65" s="13"/>
      <c r="AD65" s="13"/>
      <c r="AE65" s="13"/>
      <c r="AF65" s="13"/>
      <c r="AG65" s="13"/>
      <c r="AH65" s="13"/>
      <c r="AI65" s="13"/>
      <c r="AJ65" s="13"/>
      <c r="AK65" s="13"/>
      <c r="AL65" s="13"/>
      <c r="AM65" s="13"/>
      <c r="AN65" s="13"/>
      <c r="AO65" s="13"/>
      <c r="AP65" s="13"/>
      <c r="AQ65" s="13"/>
      <c r="AR65" s="13"/>
      <c r="AS65" s="13"/>
      <c r="AT65" s="13"/>
      <c r="AU65" s="13"/>
      <c r="AV65" s="13"/>
      <c r="AW65" s="13"/>
      <c r="AX65" s="13"/>
      <c r="AY65" s="13"/>
      <c r="AZ65" s="13"/>
      <c r="BA65" s="13"/>
      <c r="BB65" s="13"/>
      <c r="BC65" s="13"/>
      <c r="BD65" s="13"/>
      <c r="BE65" s="13"/>
      <c r="BF65" s="13"/>
      <c r="BG65" s="13"/>
      <c r="BH65" s="13"/>
      <c r="BI65" s="13"/>
      <c r="BJ65" s="13"/>
      <c r="BK65" s="13"/>
      <c r="BL65" s="13"/>
      <c r="BM65" s="13"/>
      <c r="BN65" s="13"/>
      <c r="BO65" s="13"/>
      <c r="BP65" s="13"/>
      <c r="BQ65" s="13"/>
      <c r="BR65" s="13"/>
      <c r="BS65" s="13"/>
      <c r="BT65" s="13"/>
      <c r="BU65" s="13"/>
      <c r="BV65" s="13"/>
      <c r="BW65" s="13"/>
      <c r="BX65" s="13"/>
      <c r="BY65" s="13"/>
      <c r="BZ65" s="13"/>
      <c r="CA65" s="13"/>
      <c r="CB65" s="13"/>
      <c r="CC65" s="13"/>
      <c r="CD65" s="24"/>
      <c r="CE65" s="13"/>
      <c r="CF65" s="13"/>
      <c r="CG65" s="13"/>
      <c r="CH65" s="13"/>
      <c r="CI65" s="13"/>
      <c r="CJ65" s="13"/>
      <c r="CK65" s="13"/>
      <c r="CL65" s="13"/>
      <c r="CM65" s="13"/>
      <c r="CN65" s="13"/>
      <c r="CO65" s="13"/>
      <c r="CP65" s="13"/>
      <c r="CQ65" s="13"/>
      <c r="CR65" s="13"/>
      <c r="CS65" s="13"/>
      <c r="CT65" s="13"/>
      <c r="CU65" s="13"/>
      <c r="CV65" s="13"/>
      <c r="CW65" s="13"/>
      <c r="CX65" s="13"/>
      <c r="CY65" s="13"/>
      <c r="CZ65" s="13"/>
      <c r="DA65" s="13"/>
      <c r="DB65" s="13"/>
      <c r="DC65" s="13"/>
      <c r="DD65" s="13"/>
      <c r="DE65" s="13"/>
      <c r="DF65" s="13"/>
      <c r="DG65" s="13"/>
      <c r="DH65" s="13"/>
      <c r="DI65" s="13"/>
      <c r="DJ65" s="13"/>
      <c r="DK65" s="13"/>
      <c r="DL65" s="13"/>
      <c r="DM65" s="13"/>
      <c r="DN65" s="13"/>
      <c r="DO65" s="13"/>
      <c r="DP65" s="13"/>
      <c r="DQ65" s="13"/>
      <c r="DR65" s="13"/>
      <c r="DS65" s="13"/>
      <c r="DT65" s="13"/>
      <c r="DU65" s="13"/>
      <c r="DV65" s="13"/>
      <c r="DW65" s="13"/>
    </row>
    <row r="66" spans="1:127">
      <c r="A66" s="13" t="str">
        <f>Schedule_Data_ScenarioA!A67</f>
        <v>TURN-07-1</v>
      </c>
      <c r="B66" s="13" t="str">
        <f>Schedule_Data_ScenarioA!B67</f>
        <v>7.0</v>
      </c>
      <c r="C66" s="13" t="str">
        <f>Schedule_Data_ScenarioA!C67</f>
        <v>Turning TR7 (90°)</v>
      </c>
      <c r="D66" s="26" t="str">
        <f>Schedule_Data_ScenarioA!D67</f>
        <v>TURNING</v>
      </c>
      <c r="E66" s="33">
        <f>Schedule_Data_ScenarioA!F67</f>
        <v>46112</v>
      </c>
      <c r="F66" s="33">
        <f>Schedule_Data_ScenarioA!G67</f>
        <v>46112</v>
      </c>
      <c r="G66" s="13">
        <f>Schedule_Data_ScenarioA!H67</f>
        <v>0</v>
      </c>
      <c r="H66" s="13"/>
      <c r="I66" s="13"/>
      <c r="J66" s="13"/>
      <c r="K66" s="13"/>
      <c r="L66" s="13"/>
      <c r="M66" s="13"/>
      <c r="N66" s="13"/>
      <c r="O66" s="13"/>
      <c r="P66" s="13"/>
      <c r="Q66" s="13"/>
      <c r="R66" s="13"/>
      <c r="S66" s="13"/>
      <c r="T66" s="13"/>
      <c r="U66" s="13"/>
      <c r="V66" s="13"/>
      <c r="W66" s="13"/>
      <c r="X66" s="13"/>
      <c r="Y66" s="13"/>
      <c r="Z66" s="13"/>
      <c r="AA66" s="13"/>
      <c r="AB66" s="13"/>
      <c r="AC66" s="13"/>
      <c r="AD66" s="13"/>
      <c r="AE66" s="13"/>
      <c r="AF66" s="13"/>
      <c r="AG66" s="13"/>
      <c r="AH66" s="13"/>
      <c r="AI66" s="13"/>
      <c r="AJ66" s="13"/>
      <c r="AK66" s="13"/>
      <c r="AL66" s="13"/>
      <c r="AM66" s="13"/>
      <c r="AN66" s="13"/>
      <c r="AO66" s="13"/>
      <c r="AP66" s="13"/>
      <c r="AQ66" s="13"/>
      <c r="AR66" s="13"/>
      <c r="AS66" s="13"/>
      <c r="AT66" s="13"/>
      <c r="AU66" s="13"/>
      <c r="AV66" s="13"/>
      <c r="AW66" s="13"/>
      <c r="AX66" s="13"/>
      <c r="AY66" s="13"/>
      <c r="AZ66" s="13"/>
      <c r="BA66" s="13"/>
      <c r="BB66" s="13"/>
      <c r="BC66" s="13"/>
      <c r="BD66" s="13"/>
      <c r="BE66" s="13"/>
      <c r="BF66" s="13"/>
      <c r="BG66" s="13"/>
      <c r="BH66" s="13"/>
      <c r="BI66" s="13"/>
      <c r="BJ66" s="13"/>
      <c r="BK66" s="13"/>
      <c r="BL66" s="13"/>
      <c r="BM66" s="13"/>
      <c r="BN66" s="13"/>
      <c r="BO66" s="13"/>
      <c r="BP66" s="13"/>
      <c r="BQ66" s="13"/>
      <c r="BR66" s="13"/>
      <c r="BS66" s="13"/>
      <c r="BT66" s="13"/>
      <c r="BU66" s="13"/>
      <c r="BV66" s="13"/>
      <c r="BW66" s="13"/>
      <c r="BX66" s="13"/>
      <c r="BY66" s="13"/>
      <c r="BZ66" s="13"/>
      <c r="CA66" s="13"/>
      <c r="CB66" s="13"/>
      <c r="CC66" s="13"/>
      <c r="CD66" s="13"/>
      <c r="CE66" s="26"/>
      <c r="CF66" s="13"/>
      <c r="CG66" s="13"/>
      <c r="CH66" s="13"/>
      <c r="CI66" s="13"/>
      <c r="CJ66" s="13"/>
      <c r="CK66" s="13"/>
      <c r="CL66" s="13"/>
      <c r="CM66" s="13"/>
      <c r="CN66" s="13"/>
      <c r="CO66" s="13"/>
      <c r="CP66" s="13"/>
      <c r="CQ66" s="13"/>
      <c r="CR66" s="13"/>
      <c r="CS66" s="13"/>
      <c r="CT66" s="13"/>
      <c r="CU66" s="13"/>
      <c r="CV66" s="13"/>
      <c r="CW66" s="13"/>
      <c r="CX66" s="13"/>
      <c r="CY66" s="13"/>
      <c r="CZ66" s="13"/>
      <c r="DA66" s="13"/>
      <c r="DB66" s="13"/>
      <c r="DC66" s="13"/>
      <c r="DD66" s="13"/>
      <c r="DE66" s="13"/>
      <c r="DF66" s="13"/>
      <c r="DG66" s="13"/>
      <c r="DH66" s="13"/>
      <c r="DI66" s="13"/>
      <c r="DJ66" s="13"/>
      <c r="DK66" s="13"/>
      <c r="DL66" s="13"/>
      <c r="DM66" s="13"/>
      <c r="DN66" s="13"/>
      <c r="DO66" s="13"/>
      <c r="DP66" s="13"/>
      <c r="DQ66" s="13"/>
      <c r="DR66" s="13"/>
      <c r="DS66" s="13"/>
      <c r="DT66" s="13"/>
      <c r="DU66" s="13"/>
      <c r="DV66" s="13"/>
      <c r="DW66" s="13"/>
    </row>
    <row r="67" spans="1:127">
      <c r="A67" s="13" t="str">
        <f>Schedule_Data_ScenarioA!A68</f>
        <v>JD-07-1</v>
      </c>
      <c r="B67" s="13" t="str">
        <f>Schedule_Data_ScenarioA!B68</f>
        <v>7.0</v>
      </c>
      <c r="C67" s="13" t="str">
        <f>Schedule_Data_ScenarioA!C68</f>
        <v>Jackdown TR7</v>
      </c>
      <c r="D67" s="42" t="str">
        <f>Schedule_Data_ScenarioA!D68</f>
        <v>JACKDOWN</v>
      </c>
      <c r="E67" s="33">
        <f>Schedule_Data_ScenarioA!F68</f>
        <v>46115</v>
      </c>
      <c r="F67" s="33">
        <f>Schedule_Data_ScenarioA!G68</f>
        <v>46115</v>
      </c>
      <c r="G67" s="13">
        <f>Schedule_Data_ScenarioA!H68</f>
        <v>0</v>
      </c>
      <c r="H67" s="13"/>
      <c r="I67" s="13"/>
      <c r="J67" s="13"/>
      <c r="K67" s="13"/>
      <c r="L67" s="13"/>
      <c r="M67" s="13"/>
      <c r="N67" s="13"/>
      <c r="O67" s="13"/>
      <c r="P67" s="13"/>
      <c r="Q67" s="13"/>
      <c r="R67" s="13"/>
      <c r="S67" s="13"/>
      <c r="T67" s="13"/>
      <c r="U67" s="13"/>
      <c r="V67" s="13"/>
      <c r="W67" s="13"/>
      <c r="X67" s="13"/>
      <c r="Y67" s="13"/>
      <c r="Z67" s="13"/>
      <c r="AA67" s="13"/>
      <c r="AB67" s="13"/>
      <c r="AC67" s="13"/>
      <c r="AD67" s="13"/>
      <c r="AE67" s="13"/>
      <c r="AF67" s="13"/>
      <c r="AG67" s="13"/>
      <c r="AH67" s="13"/>
      <c r="AI67" s="13"/>
      <c r="AJ67" s="13"/>
      <c r="AK67" s="13"/>
      <c r="AL67" s="13"/>
      <c r="AM67" s="13"/>
      <c r="AN67" s="13"/>
      <c r="AO67" s="13"/>
      <c r="AP67" s="13"/>
      <c r="AQ67" s="13"/>
      <c r="AR67" s="13"/>
      <c r="AS67" s="13"/>
      <c r="AT67" s="13"/>
      <c r="AU67" s="13"/>
      <c r="AV67" s="13"/>
      <c r="AW67" s="13"/>
      <c r="AX67" s="13"/>
      <c r="AY67" s="13"/>
      <c r="AZ67" s="13"/>
      <c r="BA67" s="13"/>
      <c r="BB67" s="13"/>
      <c r="BC67" s="13"/>
      <c r="BD67" s="13"/>
      <c r="BE67" s="13"/>
      <c r="BF67" s="13"/>
      <c r="BG67" s="13"/>
      <c r="BH67" s="13"/>
      <c r="BI67" s="13"/>
      <c r="BJ67" s="13"/>
      <c r="BK67" s="13"/>
      <c r="BL67" s="13"/>
      <c r="BM67" s="13"/>
      <c r="BN67" s="13"/>
      <c r="BO67" s="13"/>
      <c r="BP67" s="13"/>
      <c r="BQ67" s="13"/>
      <c r="BR67" s="13"/>
      <c r="BS67" s="13"/>
      <c r="BT67" s="13"/>
      <c r="BU67" s="13"/>
      <c r="BV67" s="13"/>
      <c r="BW67" s="13"/>
      <c r="BX67" s="13"/>
      <c r="BY67" s="13"/>
      <c r="BZ67" s="13"/>
      <c r="CA67" s="13"/>
      <c r="CB67" s="13"/>
      <c r="CC67" s="13"/>
      <c r="CD67" s="13"/>
      <c r="CE67" s="13"/>
      <c r="CF67" s="13"/>
      <c r="CG67" s="13"/>
      <c r="CH67" s="42"/>
      <c r="CI67" s="13"/>
      <c r="CJ67" s="13"/>
      <c r="CK67" s="13"/>
      <c r="CL67" s="13"/>
      <c r="CM67" s="13"/>
      <c r="CN67" s="13"/>
      <c r="CO67" s="13"/>
      <c r="CP67" s="13"/>
      <c r="CQ67" s="13"/>
      <c r="CR67" s="13"/>
      <c r="CS67" s="13"/>
      <c r="CT67" s="13"/>
      <c r="CU67" s="13"/>
      <c r="CV67" s="13"/>
      <c r="CW67" s="13"/>
      <c r="CX67" s="13"/>
      <c r="CY67" s="13"/>
      <c r="CZ67" s="13"/>
      <c r="DA67" s="13"/>
      <c r="DB67" s="13"/>
      <c r="DC67" s="13"/>
      <c r="DD67" s="13"/>
      <c r="DE67" s="13"/>
      <c r="DF67" s="13"/>
      <c r="DG67" s="13"/>
      <c r="DH67" s="13"/>
      <c r="DI67" s="13"/>
      <c r="DJ67" s="13"/>
      <c r="DK67" s="13"/>
      <c r="DL67" s="13"/>
      <c r="DM67" s="13"/>
      <c r="DN67" s="13"/>
      <c r="DO67" s="13"/>
      <c r="DP67" s="13"/>
      <c r="DQ67" s="13"/>
      <c r="DR67" s="13"/>
      <c r="DS67" s="13"/>
      <c r="DT67" s="13"/>
      <c r="DU67" s="13"/>
      <c r="DV67" s="13"/>
      <c r="DW67" s="13"/>
    </row>
    <row r="68" spans="1:127">
      <c r="A68" s="13" t="str">
        <f>Schedule_Data_ScenarioA!A69</f>
        <v>RET-07</v>
      </c>
      <c r="B68" s="13" t="str">
        <f>Schedule_Data_ScenarioA!B69</f>
        <v>7.0</v>
      </c>
      <c r="C68" s="13" t="str">
        <f>Schedule_Data_ScenarioA!C69</f>
        <v>LCT Return AGI→MZP</v>
      </c>
      <c r="D68" s="25" t="str">
        <f>Schedule_Data_ScenarioA!D69</f>
        <v>RETURN</v>
      </c>
      <c r="E68" s="33">
        <f>Schedule_Data_ScenarioA!F69</f>
        <v>46116</v>
      </c>
      <c r="F68" s="33">
        <f>Schedule_Data_ScenarioA!G69</f>
        <v>46116</v>
      </c>
      <c r="G68" s="13">
        <f>Schedule_Data_ScenarioA!H69</f>
        <v>0</v>
      </c>
      <c r="H68" s="13"/>
      <c r="I68" s="13"/>
      <c r="J68" s="13"/>
      <c r="K68" s="13"/>
      <c r="L68" s="13"/>
      <c r="M68" s="13"/>
      <c r="N68" s="13"/>
      <c r="O68" s="13"/>
      <c r="P68" s="13"/>
      <c r="Q68" s="13"/>
      <c r="R68" s="13"/>
      <c r="S68" s="13"/>
      <c r="T68" s="13"/>
      <c r="U68" s="13"/>
      <c r="V68" s="13"/>
      <c r="W68" s="13"/>
      <c r="X68" s="13"/>
      <c r="Y68" s="13"/>
      <c r="Z68" s="13"/>
      <c r="AA68" s="13"/>
      <c r="AB68" s="13"/>
      <c r="AC68" s="13"/>
      <c r="AD68" s="13"/>
      <c r="AE68" s="13"/>
      <c r="AF68" s="13"/>
      <c r="AG68" s="13"/>
      <c r="AH68" s="13"/>
      <c r="AI68" s="13"/>
      <c r="AJ68" s="13"/>
      <c r="AK68" s="13"/>
      <c r="AL68" s="13"/>
      <c r="AM68" s="13"/>
      <c r="AN68" s="13"/>
      <c r="AO68" s="13"/>
      <c r="AP68" s="13"/>
      <c r="AQ68" s="13"/>
      <c r="AR68" s="13"/>
      <c r="AS68" s="13"/>
      <c r="AT68" s="13"/>
      <c r="AU68" s="13"/>
      <c r="AV68" s="13"/>
      <c r="AW68" s="13"/>
      <c r="AX68" s="13"/>
      <c r="AY68" s="13"/>
      <c r="AZ68" s="13"/>
      <c r="BA68" s="13"/>
      <c r="BB68" s="13"/>
      <c r="BC68" s="13"/>
      <c r="BD68" s="13"/>
      <c r="BE68" s="13"/>
      <c r="BF68" s="13"/>
      <c r="BG68" s="13"/>
      <c r="BH68" s="13"/>
      <c r="BI68" s="13"/>
      <c r="BJ68" s="13"/>
      <c r="BK68" s="13"/>
      <c r="BL68" s="13"/>
      <c r="BM68" s="13"/>
      <c r="BN68" s="13"/>
      <c r="BO68" s="13"/>
      <c r="BP68" s="13"/>
      <c r="BQ68" s="13"/>
      <c r="BR68" s="13"/>
      <c r="BS68" s="13"/>
      <c r="BT68" s="13"/>
      <c r="BU68" s="13"/>
      <c r="BV68" s="13"/>
      <c r="BW68" s="13"/>
      <c r="BX68" s="13"/>
      <c r="BY68" s="13"/>
      <c r="BZ68" s="13"/>
      <c r="CA68" s="13"/>
      <c r="CB68" s="13"/>
      <c r="CC68" s="13"/>
      <c r="CD68" s="13"/>
      <c r="CE68" s="13"/>
      <c r="CF68" s="13"/>
      <c r="CG68" s="13"/>
      <c r="CH68" s="13"/>
      <c r="CI68" s="25"/>
      <c r="CJ68" s="13"/>
      <c r="CK68" s="13"/>
      <c r="CL68" s="13"/>
      <c r="CM68" s="13"/>
      <c r="CN68" s="13"/>
      <c r="CO68" s="13"/>
      <c r="CP68" s="13"/>
      <c r="CQ68" s="13"/>
      <c r="CR68" s="13"/>
      <c r="CS68" s="13"/>
      <c r="CT68" s="13"/>
      <c r="CU68" s="13"/>
      <c r="CV68" s="13"/>
      <c r="CW68" s="13"/>
      <c r="CX68" s="13"/>
      <c r="CY68" s="13"/>
      <c r="CZ68" s="13"/>
      <c r="DA68" s="13"/>
      <c r="DB68" s="13"/>
      <c r="DC68" s="13"/>
      <c r="DD68" s="13"/>
      <c r="DE68" s="13"/>
      <c r="DF68" s="13"/>
      <c r="DG68" s="13"/>
      <c r="DH68" s="13"/>
      <c r="DI68" s="13"/>
      <c r="DJ68" s="13"/>
      <c r="DK68" s="13"/>
      <c r="DL68" s="13"/>
      <c r="DM68" s="13"/>
      <c r="DN68" s="13"/>
      <c r="DO68" s="13"/>
      <c r="DP68" s="13"/>
      <c r="DQ68" s="13"/>
      <c r="DR68" s="13"/>
      <c r="DS68" s="13"/>
      <c r="DT68" s="13"/>
      <c r="DU68" s="13"/>
      <c r="DV68" s="13"/>
      <c r="DW68" s="13"/>
    </row>
    <row r="69" spans="1:127">
      <c r="A69" s="13" t="str">
        <f>Schedule_Data_ScenarioA!A70</f>
        <v>BUF-07</v>
      </c>
      <c r="B69" s="13" t="str">
        <f>Schedule_Data_ScenarioA!B70</f>
        <v>7.0</v>
      </c>
      <c r="C69" s="13" t="str">
        <f>Schedule_Data_ScenarioA!C70</f>
        <v>Buffer / reset</v>
      </c>
      <c r="D69" s="22" t="str">
        <f>Schedule_Data_ScenarioA!D70</f>
        <v>BUFFER</v>
      </c>
      <c r="E69" s="33">
        <f>Schedule_Data_ScenarioA!F70</f>
        <v>46117</v>
      </c>
      <c r="F69" s="33">
        <f>Schedule_Data_ScenarioA!G70</f>
        <v>46117</v>
      </c>
      <c r="G69" s="13">
        <f>Schedule_Data_ScenarioA!H70</f>
        <v>0</v>
      </c>
      <c r="H69" s="13"/>
      <c r="I69" s="13"/>
      <c r="J69" s="13"/>
      <c r="K69" s="13"/>
      <c r="L69" s="13"/>
      <c r="M69" s="13"/>
      <c r="N69" s="13"/>
      <c r="O69" s="13"/>
      <c r="P69" s="13"/>
      <c r="Q69" s="13"/>
      <c r="R69" s="13"/>
      <c r="S69" s="13"/>
      <c r="T69" s="13"/>
      <c r="U69" s="13"/>
      <c r="V69" s="13"/>
      <c r="W69" s="13"/>
      <c r="X69" s="13"/>
      <c r="Y69" s="13"/>
      <c r="Z69" s="13"/>
      <c r="AA69" s="13"/>
      <c r="AB69" s="13"/>
      <c r="AC69" s="13"/>
      <c r="AD69" s="13"/>
      <c r="AE69" s="13"/>
      <c r="AF69" s="13"/>
      <c r="AG69" s="13"/>
      <c r="AH69" s="13"/>
      <c r="AI69" s="13"/>
      <c r="AJ69" s="13"/>
      <c r="AK69" s="13"/>
      <c r="AL69" s="13"/>
      <c r="AM69" s="13"/>
      <c r="AN69" s="13"/>
      <c r="AO69" s="13"/>
      <c r="AP69" s="13"/>
      <c r="AQ69" s="13"/>
      <c r="AR69" s="13"/>
      <c r="AS69" s="13"/>
      <c r="AT69" s="13"/>
      <c r="AU69" s="13"/>
      <c r="AV69" s="13"/>
      <c r="AW69" s="13"/>
      <c r="AX69" s="13"/>
      <c r="AY69" s="13"/>
      <c r="AZ69" s="13"/>
      <c r="BA69" s="13"/>
      <c r="BB69" s="13"/>
      <c r="BC69" s="13"/>
      <c r="BD69" s="13"/>
      <c r="BE69" s="13"/>
      <c r="BF69" s="13"/>
      <c r="BG69" s="13"/>
      <c r="BH69" s="13"/>
      <c r="BI69" s="13"/>
      <c r="BJ69" s="13"/>
      <c r="BK69" s="13"/>
      <c r="BL69" s="13"/>
      <c r="BM69" s="13"/>
      <c r="BN69" s="13"/>
      <c r="BO69" s="13"/>
      <c r="BP69" s="13"/>
      <c r="BQ69" s="13"/>
      <c r="BR69" s="13"/>
      <c r="BS69" s="13"/>
      <c r="BT69" s="13"/>
      <c r="BU69" s="13"/>
      <c r="BV69" s="13"/>
      <c r="BW69" s="13"/>
      <c r="BX69" s="13"/>
      <c r="BY69" s="13"/>
      <c r="BZ69" s="13"/>
      <c r="CA69" s="13"/>
      <c r="CB69" s="13"/>
      <c r="CC69" s="13"/>
      <c r="CD69" s="13"/>
      <c r="CE69" s="13"/>
      <c r="CF69" s="13"/>
      <c r="CG69" s="13"/>
      <c r="CH69" s="13"/>
      <c r="CI69" s="13"/>
      <c r="CJ69" s="22"/>
      <c r="CK69" s="13"/>
      <c r="CL69" s="13"/>
      <c r="CM69" s="13"/>
      <c r="CN69" s="13"/>
      <c r="CO69" s="13"/>
      <c r="CP69" s="13"/>
      <c r="CQ69" s="13"/>
      <c r="CR69" s="13"/>
      <c r="CS69" s="13"/>
      <c r="CT69" s="13"/>
      <c r="CU69" s="13"/>
      <c r="CV69" s="13"/>
      <c r="CW69" s="13"/>
      <c r="CX69" s="13"/>
      <c r="CY69" s="13"/>
      <c r="CZ69" s="13"/>
      <c r="DA69" s="13"/>
      <c r="DB69" s="13"/>
      <c r="DC69" s="13"/>
      <c r="DD69" s="13"/>
      <c r="DE69" s="13"/>
      <c r="DF69" s="13"/>
      <c r="DG69" s="13"/>
      <c r="DH69" s="13"/>
      <c r="DI69" s="13"/>
      <c r="DJ69" s="13"/>
      <c r="DK69" s="13"/>
      <c r="DL69" s="13"/>
      <c r="DM69" s="13"/>
      <c r="DN69" s="13"/>
      <c r="DO69" s="13"/>
      <c r="DP69" s="13"/>
      <c r="DQ69" s="13"/>
      <c r="DR69" s="13"/>
      <c r="DS69" s="13"/>
      <c r="DT69" s="13"/>
      <c r="DU69" s="13"/>
      <c r="DV69" s="13"/>
      <c r="DW69" s="13"/>
    </row>
  </sheetData>
  <mergeCells count="3">
    <mergeCell ref="A1:DW1"/>
    <mergeCell ref="A3:G3"/>
    <mergeCell ref="A2:DW2"/>
  </mergeCells>
  <phoneticPr fontId="17" type="noConversion"/>
  <pageMargins left="0.75" right="0.75" top="1" bottom="1" header="0.5" footer="0.5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A1:I52"/>
  <sheetViews>
    <sheetView workbookViewId="0">
      <pane ySplit="5" topLeftCell="A6" activePane="bottomLeft" state="frozen"/>
      <selection pane="bottomLeft"/>
    </sheetView>
  </sheetViews>
  <sheetFormatPr defaultRowHeight="16.899999999999999"/>
  <cols>
    <col min="1" max="1" width="10" customWidth="1"/>
    <col min="2" max="2" width="6" customWidth="1"/>
    <col min="3" max="3" width="38" customWidth="1"/>
    <col min="4" max="5" width="14" customWidth="1"/>
    <col min="6" max="7" width="12" customWidth="1"/>
    <col min="8" max="8" width="10" customWidth="1"/>
    <col min="9" max="9" width="40" customWidth="1"/>
  </cols>
  <sheetData>
    <row r="1" spans="1:9" ht="24.75">
      <c r="A1" s="57" t="s">
        <v>390</v>
      </c>
      <c r="B1" s="56"/>
      <c r="C1" s="56"/>
      <c r="D1" s="56"/>
      <c r="E1" s="56"/>
      <c r="F1" s="56"/>
      <c r="G1" s="56"/>
      <c r="H1" s="56"/>
      <c r="I1" s="56"/>
    </row>
    <row r="2" spans="1:9">
      <c r="A2" s="60" t="s">
        <v>272</v>
      </c>
      <c r="B2" s="56"/>
      <c r="C2" s="56"/>
      <c r="D2" s="56"/>
      <c r="E2" s="56"/>
      <c r="F2" s="56"/>
      <c r="G2" s="56"/>
      <c r="H2" s="56"/>
      <c r="I2" s="56"/>
    </row>
    <row r="3" spans="1:9">
      <c r="A3" s="59" t="s">
        <v>273</v>
      </c>
      <c r="B3" s="56"/>
      <c r="C3" s="56"/>
      <c r="D3" s="56"/>
      <c r="E3" s="56"/>
      <c r="F3" s="56"/>
      <c r="G3" s="56"/>
      <c r="H3" s="56"/>
      <c r="I3" s="56"/>
    </row>
    <row r="5" spans="1:9">
      <c r="A5" s="12" t="s">
        <v>42</v>
      </c>
      <c r="B5" s="12" t="s">
        <v>43</v>
      </c>
      <c r="C5" s="12" t="s">
        <v>44</v>
      </c>
      <c r="D5" s="12" t="s">
        <v>45</v>
      </c>
      <c r="E5" s="12" t="s">
        <v>46</v>
      </c>
      <c r="F5" s="12" t="s">
        <v>47</v>
      </c>
      <c r="G5" s="12" t="s">
        <v>48</v>
      </c>
      <c r="H5" s="12" t="s">
        <v>49</v>
      </c>
      <c r="I5" s="12" t="s">
        <v>50</v>
      </c>
    </row>
    <row r="6" spans="1:9">
      <c r="A6" s="13" t="s">
        <v>51</v>
      </c>
      <c r="B6" s="13" t="s">
        <v>52</v>
      </c>
      <c r="C6" s="13" t="s">
        <v>53</v>
      </c>
      <c r="D6" s="14" t="s">
        <v>54</v>
      </c>
      <c r="E6" s="13" t="s">
        <v>55</v>
      </c>
      <c r="F6" s="15">
        <f>PROJECT_START+0</f>
        <v>46037</v>
      </c>
      <c r="G6" s="15">
        <f t="shared" ref="G6:G52" si="0">F6+H6</f>
        <v>46038</v>
      </c>
      <c r="H6" s="13">
        <f>DUR_MOB</f>
        <v>1</v>
      </c>
      <c r="I6" s="13" t="s">
        <v>56</v>
      </c>
    </row>
    <row r="7" spans="1:9">
      <c r="A7" s="13" t="s">
        <v>57</v>
      </c>
      <c r="B7" s="13" t="s">
        <v>52</v>
      </c>
      <c r="C7" s="13" t="s">
        <v>58</v>
      </c>
      <c r="D7" s="16" t="s">
        <v>59</v>
      </c>
      <c r="E7" s="13" t="s">
        <v>60</v>
      </c>
      <c r="F7" s="15">
        <f>PROJECT_START+1</f>
        <v>46038</v>
      </c>
      <c r="G7" s="15">
        <f t="shared" si="0"/>
        <v>46041</v>
      </c>
      <c r="H7" s="13">
        <v>3</v>
      </c>
      <c r="I7" s="13" t="s">
        <v>61</v>
      </c>
    </row>
    <row r="8" spans="1:9">
      <c r="A8" s="17" t="s">
        <v>62</v>
      </c>
      <c r="B8" s="17" t="s">
        <v>63</v>
      </c>
      <c r="C8" s="17" t="s">
        <v>274</v>
      </c>
      <c r="D8" s="18" t="s">
        <v>65</v>
      </c>
      <c r="E8" s="17" t="s">
        <v>66</v>
      </c>
      <c r="F8" s="19">
        <f>PROJECT_START+4</f>
        <v>46041</v>
      </c>
      <c r="G8" s="19">
        <f t="shared" si="0"/>
        <v>46041</v>
      </c>
      <c r="H8" s="17">
        <v>0</v>
      </c>
      <c r="I8" s="17" t="s">
        <v>275</v>
      </c>
    </row>
    <row r="9" spans="1:9">
      <c r="A9" s="13" t="s">
        <v>276</v>
      </c>
      <c r="B9" s="13" t="s">
        <v>63</v>
      </c>
      <c r="C9" s="13" t="s">
        <v>277</v>
      </c>
      <c r="D9" s="20" t="s">
        <v>70</v>
      </c>
      <c r="E9" s="13" t="s">
        <v>55</v>
      </c>
      <c r="F9" s="15">
        <f>PROJECT_START+4</f>
        <v>46041</v>
      </c>
      <c r="G9" s="15">
        <f t="shared" si="0"/>
        <v>46041.5</v>
      </c>
      <c r="H9" s="13">
        <f>DUR_LO</f>
        <v>0.5</v>
      </c>
      <c r="I9" s="13" t="s">
        <v>278</v>
      </c>
    </row>
    <row r="10" spans="1:9">
      <c r="A10" s="13" t="s">
        <v>279</v>
      </c>
      <c r="B10" s="13" t="s">
        <v>63</v>
      </c>
      <c r="C10" s="13" t="s">
        <v>280</v>
      </c>
      <c r="D10" s="21" t="s">
        <v>74</v>
      </c>
      <c r="E10" s="13" t="s">
        <v>281</v>
      </c>
      <c r="F10" s="15">
        <f>PROJECT_START+5</f>
        <v>46042</v>
      </c>
      <c r="G10" s="15">
        <f t="shared" si="0"/>
        <v>46042</v>
      </c>
      <c r="H10" s="13">
        <f>DUR_BUF</f>
        <v>0</v>
      </c>
      <c r="I10" s="13" t="s">
        <v>282</v>
      </c>
    </row>
    <row r="11" spans="1:9">
      <c r="A11" s="13" t="s">
        <v>283</v>
      </c>
      <c r="B11" s="13" t="s">
        <v>63</v>
      </c>
      <c r="C11" s="13" t="s">
        <v>284</v>
      </c>
      <c r="D11" s="23" t="s">
        <v>83</v>
      </c>
      <c r="E11" s="13" t="s">
        <v>285</v>
      </c>
      <c r="F11" s="15">
        <f>PROJECT_START+6</f>
        <v>46043</v>
      </c>
      <c r="G11" s="15">
        <f t="shared" si="0"/>
        <v>46043</v>
      </c>
      <c r="H11" s="13">
        <f>DUR_SAIL</f>
        <v>0</v>
      </c>
      <c r="I11" s="13" t="s">
        <v>286</v>
      </c>
    </row>
    <row r="12" spans="1:9">
      <c r="A12" s="13" t="s">
        <v>287</v>
      </c>
      <c r="B12" s="13" t="s">
        <v>63</v>
      </c>
      <c r="C12" s="13" t="s">
        <v>288</v>
      </c>
      <c r="D12" s="24" t="s">
        <v>88</v>
      </c>
      <c r="E12" s="13" t="s">
        <v>55</v>
      </c>
      <c r="F12" s="15">
        <f>PROJECT_START+7</f>
        <v>46044</v>
      </c>
      <c r="G12" s="15">
        <f t="shared" si="0"/>
        <v>46044</v>
      </c>
      <c r="H12" s="13">
        <f>DUR_UL</f>
        <v>0</v>
      </c>
      <c r="I12" s="13" t="s">
        <v>289</v>
      </c>
    </row>
    <row r="13" spans="1:9">
      <c r="A13" s="13" t="s">
        <v>290</v>
      </c>
      <c r="B13" s="13" t="s">
        <v>63</v>
      </c>
      <c r="C13" s="13" t="s">
        <v>291</v>
      </c>
      <c r="D13" s="26" t="s">
        <v>118</v>
      </c>
      <c r="E13" s="13" t="s">
        <v>55</v>
      </c>
      <c r="F13" s="15">
        <f>PROJECT_START+8</f>
        <v>46045</v>
      </c>
      <c r="G13" s="15">
        <f t="shared" si="0"/>
        <v>46045</v>
      </c>
      <c r="H13" s="13">
        <f>DUR_TURN</f>
        <v>0</v>
      </c>
      <c r="I13" s="13" t="s">
        <v>292</v>
      </c>
    </row>
    <row r="14" spans="1:9">
      <c r="A14" s="27" t="s">
        <v>293</v>
      </c>
      <c r="B14" s="27" t="s">
        <v>63</v>
      </c>
      <c r="C14" s="27" t="s">
        <v>294</v>
      </c>
      <c r="D14" s="28" t="s">
        <v>137</v>
      </c>
      <c r="E14" s="27" t="s">
        <v>55</v>
      </c>
      <c r="F14" s="29">
        <f>PROJECT_START+11</f>
        <v>46048</v>
      </c>
      <c r="G14" s="29">
        <f t="shared" si="0"/>
        <v>46048</v>
      </c>
      <c r="H14" s="27">
        <f>DUR_JD</f>
        <v>0</v>
      </c>
      <c r="I14" s="27" t="s">
        <v>295</v>
      </c>
    </row>
    <row r="15" spans="1:9">
      <c r="A15" s="13" t="s">
        <v>296</v>
      </c>
      <c r="B15" s="13" t="s">
        <v>63</v>
      </c>
      <c r="C15" s="13" t="s">
        <v>297</v>
      </c>
      <c r="D15" s="25" t="s">
        <v>97</v>
      </c>
      <c r="E15" s="13" t="s">
        <v>285</v>
      </c>
      <c r="F15" s="15">
        <f>PROJECT_START+12</f>
        <v>46049</v>
      </c>
      <c r="G15" s="15">
        <f t="shared" si="0"/>
        <v>46049</v>
      </c>
      <c r="H15" s="13">
        <f>DUR_RET</f>
        <v>0</v>
      </c>
      <c r="I15" s="13" t="s">
        <v>298</v>
      </c>
    </row>
    <row r="16" spans="1:9">
      <c r="A16" s="13" t="s">
        <v>299</v>
      </c>
      <c r="B16" s="13" t="s">
        <v>63</v>
      </c>
      <c r="C16" s="13" t="s">
        <v>300</v>
      </c>
      <c r="D16" s="22" t="s">
        <v>78</v>
      </c>
      <c r="E16" s="13" t="s">
        <v>301</v>
      </c>
      <c r="F16" s="15">
        <f>PROJECT_START+13</f>
        <v>46050</v>
      </c>
      <c r="G16" s="15">
        <f t="shared" si="0"/>
        <v>46050</v>
      </c>
      <c r="H16" s="13">
        <f>DUR_BUF</f>
        <v>0</v>
      </c>
      <c r="I16" s="13" t="s">
        <v>302</v>
      </c>
    </row>
    <row r="17" spans="1:9">
      <c r="A17" s="17" t="s">
        <v>103</v>
      </c>
      <c r="B17" s="17" t="s">
        <v>104</v>
      </c>
      <c r="C17" s="17" t="s">
        <v>391</v>
      </c>
      <c r="D17" s="18" t="s">
        <v>65</v>
      </c>
      <c r="E17" s="17" t="s">
        <v>66</v>
      </c>
      <c r="F17" s="19">
        <f>PROJECT_START+14</f>
        <v>46051</v>
      </c>
      <c r="G17" s="19">
        <f t="shared" si="0"/>
        <v>46051</v>
      </c>
      <c r="H17" s="17">
        <v>0</v>
      </c>
      <c r="I17" s="17" t="s">
        <v>275</v>
      </c>
    </row>
    <row r="18" spans="1:9">
      <c r="A18" s="13" t="s">
        <v>304</v>
      </c>
      <c r="B18" s="13" t="s">
        <v>104</v>
      </c>
      <c r="C18" s="13" t="s">
        <v>392</v>
      </c>
      <c r="D18" s="20" t="s">
        <v>70</v>
      </c>
      <c r="E18" s="13" t="s">
        <v>55</v>
      </c>
      <c r="F18" s="15">
        <f>PROJECT_START+14</f>
        <v>46051</v>
      </c>
      <c r="G18" s="15">
        <f t="shared" si="0"/>
        <v>46053</v>
      </c>
      <c r="H18" s="13">
        <v>2</v>
      </c>
      <c r="I18" s="13" t="s">
        <v>305</v>
      </c>
    </row>
    <row r="19" spans="1:9">
      <c r="A19" s="13" t="s">
        <v>306</v>
      </c>
      <c r="B19" s="13" t="s">
        <v>104</v>
      </c>
      <c r="C19" s="13" t="s">
        <v>393</v>
      </c>
      <c r="D19" s="21" t="s">
        <v>74</v>
      </c>
      <c r="E19" s="13" t="s">
        <v>281</v>
      </c>
      <c r="F19" s="15">
        <f>PROJECT_START+16</f>
        <v>46053</v>
      </c>
      <c r="G19" s="15">
        <f t="shared" si="0"/>
        <v>46053</v>
      </c>
      <c r="H19" s="13">
        <f>DUR_BUF</f>
        <v>0</v>
      </c>
      <c r="I19" s="13" t="s">
        <v>282</v>
      </c>
    </row>
    <row r="20" spans="1:9">
      <c r="A20" s="13" t="s">
        <v>308</v>
      </c>
      <c r="B20" s="13" t="s">
        <v>104</v>
      </c>
      <c r="C20" s="13" t="s">
        <v>284</v>
      </c>
      <c r="D20" s="23" t="s">
        <v>83</v>
      </c>
      <c r="E20" s="13" t="s">
        <v>285</v>
      </c>
      <c r="F20" s="15">
        <f>PROJECT_START+17</f>
        <v>46054</v>
      </c>
      <c r="G20" s="15">
        <f t="shared" si="0"/>
        <v>46054</v>
      </c>
      <c r="H20" s="13">
        <f>DUR_SAIL</f>
        <v>0</v>
      </c>
      <c r="I20" s="13" t="s">
        <v>286</v>
      </c>
    </row>
    <row r="21" spans="1:9">
      <c r="A21" s="13" t="s">
        <v>309</v>
      </c>
      <c r="B21" s="13" t="s">
        <v>104</v>
      </c>
      <c r="C21" s="13" t="s">
        <v>310</v>
      </c>
      <c r="D21" s="24" t="s">
        <v>88</v>
      </c>
      <c r="E21" s="13" t="s">
        <v>55</v>
      </c>
      <c r="F21" s="15">
        <f>PROJECT_START+18</f>
        <v>46055</v>
      </c>
      <c r="G21" s="15">
        <f t="shared" si="0"/>
        <v>46055</v>
      </c>
      <c r="H21" s="13">
        <f>DUR_UL</f>
        <v>0</v>
      </c>
      <c r="I21" s="13" t="s">
        <v>289</v>
      </c>
    </row>
    <row r="22" spans="1:9">
      <c r="A22" s="13" t="s">
        <v>394</v>
      </c>
      <c r="B22" s="13" t="s">
        <v>104</v>
      </c>
      <c r="C22" s="13" t="s">
        <v>324</v>
      </c>
      <c r="D22" s="24" t="s">
        <v>88</v>
      </c>
      <c r="E22" s="13" t="s">
        <v>55</v>
      </c>
      <c r="F22" s="15">
        <f>PROJECT_START+19</f>
        <v>46056</v>
      </c>
      <c r="G22" s="15">
        <f t="shared" si="0"/>
        <v>46056</v>
      </c>
      <c r="H22" s="13">
        <f>DUR_UL</f>
        <v>0</v>
      </c>
      <c r="I22" s="13" t="s">
        <v>289</v>
      </c>
    </row>
    <row r="23" spans="1:9">
      <c r="A23" s="13" t="s">
        <v>311</v>
      </c>
      <c r="B23" s="13" t="s">
        <v>104</v>
      </c>
      <c r="C23" s="13" t="s">
        <v>312</v>
      </c>
      <c r="D23" s="26" t="s">
        <v>118</v>
      </c>
      <c r="E23" s="13" t="s">
        <v>55</v>
      </c>
      <c r="F23" s="15">
        <f>PROJECT_START+20</f>
        <v>46057</v>
      </c>
      <c r="G23" s="15">
        <f t="shared" si="0"/>
        <v>46057</v>
      </c>
      <c r="H23" s="13">
        <f>DUR_TURN</f>
        <v>0</v>
      </c>
      <c r="I23" s="13" t="s">
        <v>292</v>
      </c>
    </row>
    <row r="24" spans="1:9">
      <c r="A24" s="27" t="s">
        <v>313</v>
      </c>
      <c r="B24" s="27" t="s">
        <v>104</v>
      </c>
      <c r="C24" s="27" t="s">
        <v>314</v>
      </c>
      <c r="D24" s="28" t="s">
        <v>137</v>
      </c>
      <c r="E24" s="27" t="s">
        <v>55</v>
      </c>
      <c r="F24" s="29">
        <f>PROJECT_START+23</f>
        <v>46060</v>
      </c>
      <c r="G24" s="29">
        <f t="shared" si="0"/>
        <v>46060</v>
      </c>
      <c r="H24" s="27">
        <f>DUR_JD</f>
        <v>0</v>
      </c>
      <c r="I24" s="27" t="s">
        <v>295</v>
      </c>
    </row>
    <row r="25" spans="1:9">
      <c r="A25" s="13" t="s">
        <v>395</v>
      </c>
      <c r="B25" s="13" t="s">
        <v>104</v>
      </c>
      <c r="C25" s="13" t="s">
        <v>326</v>
      </c>
      <c r="D25" s="26" t="s">
        <v>118</v>
      </c>
      <c r="E25" s="13" t="s">
        <v>55</v>
      </c>
      <c r="F25" s="15">
        <f>PROJECT_START+24</f>
        <v>46061</v>
      </c>
      <c r="G25" s="15">
        <f t="shared" si="0"/>
        <v>46061</v>
      </c>
      <c r="H25" s="13">
        <f>DUR_TURN</f>
        <v>0</v>
      </c>
      <c r="I25" s="13" t="s">
        <v>292</v>
      </c>
    </row>
    <row r="26" spans="1:9">
      <c r="A26" s="27" t="s">
        <v>396</v>
      </c>
      <c r="B26" s="27" t="s">
        <v>104</v>
      </c>
      <c r="C26" s="27" t="s">
        <v>328</v>
      </c>
      <c r="D26" s="28" t="s">
        <v>137</v>
      </c>
      <c r="E26" s="27" t="s">
        <v>55</v>
      </c>
      <c r="F26" s="29">
        <f>PROJECT_START+27</f>
        <v>46064</v>
      </c>
      <c r="G26" s="29">
        <f t="shared" si="0"/>
        <v>46064</v>
      </c>
      <c r="H26" s="27">
        <f>DUR_JD</f>
        <v>0</v>
      </c>
      <c r="I26" s="27" t="s">
        <v>295</v>
      </c>
    </row>
    <row r="27" spans="1:9">
      <c r="A27" s="13" t="s">
        <v>315</v>
      </c>
      <c r="B27" s="13" t="s">
        <v>104</v>
      </c>
      <c r="C27" s="13" t="s">
        <v>297</v>
      </c>
      <c r="D27" s="25" t="s">
        <v>97</v>
      </c>
      <c r="E27" s="13" t="s">
        <v>285</v>
      </c>
      <c r="F27" s="15">
        <f>PROJECT_START+28</f>
        <v>46065</v>
      </c>
      <c r="G27" s="15">
        <f t="shared" si="0"/>
        <v>46065</v>
      </c>
      <c r="H27" s="13">
        <f>DUR_RET</f>
        <v>0</v>
      </c>
      <c r="I27" s="13" t="s">
        <v>298</v>
      </c>
    </row>
    <row r="28" spans="1:9">
      <c r="A28" s="13" t="s">
        <v>316</v>
      </c>
      <c r="B28" s="13" t="s">
        <v>104</v>
      </c>
      <c r="C28" s="13" t="s">
        <v>300</v>
      </c>
      <c r="D28" s="22" t="s">
        <v>78</v>
      </c>
      <c r="E28" s="13" t="s">
        <v>301</v>
      </c>
      <c r="F28" s="15">
        <f>PROJECT_START+29</f>
        <v>46066</v>
      </c>
      <c r="G28" s="15">
        <f t="shared" si="0"/>
        <v>46066</v>
      </c>
      <c r="H28" s="13">
        <f>DUR_BUF</f>
        <v>0</v>
      </c>
      <c r="I28" s="13" t="s">
        <v>302</v>
      </c>
    </row>
    <row r="29" spans="1:9">
      <c r="A29" s="17" t="s">
        <v>145</v>
      </c>
      <c r="B29" s="17" t="s">
        <v>146</v>
      </c>
      <c r="C29" s="17" t="s">
        <v>397</v>
      </c>
      <c r="D29" s="18" t="s">
        <v>65</v>
      </c>
      <c r="E29" s="17" t="s">
        <v>66</v>
      </c>
      <c r="F29" s="19">
        <f>PROJECT_START+31</f>
        <v>46068</v>
      </c>
      <c r="G29" s="19">
        <f t="shared" si="0"/>
        <v>46068</v>
      </c>
      <c r="H29" s="17">
        <v>0</v>
      </c>
      <c r="I29" s="17" t="s">
        <v>275</v>
      </c>
    </row>
    <row r="30" spans="1:9">
      <c r="A30" s="13" t="s">
        <v>317</v>
      </c>
      <c r="B30" s="13" t="s">
        <v>146</v>
      </c>
      <c r="C30" s="13" t="s">
        <v>398</v>
      </c>
      <c r="D30" s="20" t="s">
        <v>70</v>
      </c>
      <c r="E30" s="13" t="s">
        <v>55</v>
      </c>
      <c r="F30" s="15">
        <f>PROJECT_START+31</f>
        <v>46068</v>
      </c>
      <c r="G30" s="15">
        <f t="shared" si="0"/>
        <v>46070</v>
      </c>
      <c r="H30" s="13">
        <v>2</v>
      </c>
      <c r="I30" s="13" t="s">
        <v>319</v>
      </c>
    </row>
    <row r="31" spans="1:9">
      <c r="A31" s="13" t="s">
        <v>320</v>
      </c>
      <c r="B31" s="13" t="s">
        <v>146</v>
      </c>
      <c r="C31" s="13" t="s">
        <v>399</v>
      </c>
      <c r="D31" s="21" t="s">
        <v>74</v>
      </c>
      <c r="E31" s="13" t="s">
        <v>281</v>
      </c>
      <c r="F31" s="15">
        <f>PROJECT_START+33</f>
        <v>46070</v>
      </c>
      <c r="G31" s="15">
        <f t="shared" si="0"/>
        <v>46070</v>
      </c>
      <c r="H31" s="13">
        <f>DUR_BUF</f>
        <v>0</v>
      </c>
      <c r="I31" s="13" t="s">
        <v>282</v>
      </c>
    </row>
    <row r="32" spans="1:9">
      <c r="A32" s="13" t="s">
        <v>322</v>
      </c>
      <c r="B32" s="13" t="s">
        <v>146</v>
      </c>
      <c r="C32" s="13" t="s">
        <v>284</v>
      </c>
      <c r="D32" s="23" t="s">
        <v>83</v>
      </c>
      <c r="E32" s="13" t="s">
        <v>285</v>
      </c>
      <c r="F32" s="15">
        <f>PROJECT_START+34</f>
        <v>46071</v>
      </c>
      <c r="G32" s="15">
        <f t="shared" si="0"/>
        <v>46071</v>
      </c>
      <c r="H32" s="13">
        <f>DUR_SAIL</f>
        <v>0</v>
      </c>
      <c r="I32" s="13" t="s">
        <v>286</v>
      </c>
    </row>
    <row r="33" spans="1:9">
      <c r="A33" s="13" t="s">
        <v>323</v>
      </c>
      <c r="B33" s="13" t="s">
        <v>146</v>
      </c>
      <c r="C33" s="13" t="s">
        <v>339</v>
      </c>
      <c r="D33" s="24" t="s">
        <v>88</v>
      </c>
      <c r="E33" s="13" t="s">
        <v>55</v>
      </c>
      <c r="F33" s="15">
        <f>PROJECT_START+35</f>
        <v>46072</v>
      </c>
      <c r="G33" s="15">
        <f t="shared" si="0"/>
        <v>46072</v>
      </c>
      <c r="H33" s="13">
        <f>DUR_UL</f>
        <v>0</v>
      </c>
      <c r="I33" s="13" t="s">
        <v>289</v>
      </c>
    </row>
    <row r="34" spans="1:9">
      <c r="A34" s="13" t="s">
        <v>400</v>
      </c>
      <c r="B34" s="13" t="s">
        <v>146</v>
      </c>
      <c r="C34" s="13" t="s">
        <v>353</v>
      </c>
      <c r="D34" s="24" t="s">
        <v>88</v>
      </c>
      <c r="E34" s="13" t="s">
        <v>55</v>
      </c>
      <c r="F34" s="15">
        <f>PROJECT_START+36</f>
        <v>46073</v>
      </c>
      <c r="G34" s="15">
        <f t="shared" si="0"/>
        <v>46073</v>
      </c>
      <c r="H34" s="13">
        <f>DUR_UL</f>
        <v>0</v>
      </c>
      <c r="I34" s="13" t="s">
        <v>289</v>
      </c>
    </row>
    <row r="35" spans="1:9">
      <c r="A35" s="13" t="s">
        <v>325</v>
      </c>
      <c r="B35" s="13" t="s">
        <v>146</v>
      </c>
      <c r="C35" s="13" t="s">
        <v>341</v>
      </c>
      <c r="D35" s="26" t="s">
        <v>118</v>
      </c>
      <c r="E35" s="13" t="s">
        <v>55</v>
      </c>
      <c r="F35" s="15">
        <f>PROJECT_START+37</f>
        <v>46074</v>
      </c>
      <c r="G35" s="15">
        <f t="shared" si="0"/>
        <v>46074</v>
      </c>
      <c r="H35" s="13">
        <f>DUR_TURN</f>
        <v>0</v>
      </c>
      <c r="I35" s="13" t="s">
        <v>292</v>
      </c>
    </row>
    <row r="36" spans="1:9">
      <c r="A36" s="27" t="s">
        <v>327</v>
      </c>
      <c r="B36" s="27" t="s">
        <v>146</v>
      </c>
      <c r="C36" s="27" t="s">
        <v>343</v>
      </c>
      <c r="D36" s="28" t="s">
        <v>137</v>
      </c>
      <c r="E36" s="27" t="s">
        <v>55</v>
      </c>
      <c r="F36" s="29">
        <f>PROJECT_START+40</f>
        <v>46077</v>
      </c>
      <c r="G36" s="29">
        <f t="shared" si="0"/>
        <v>46077</v>
      </c>
      <c r="H36" s="27">
        <f>DUR_JD</f>
        <v>0</v>
      </c>
      <c r="I36" s="27" t="s">
        <v>295</v>
      </c>
    </row>
    <row r="37" spans="1:9">
      <c r="A37" s="13" t="s">
        <v>401</v>
      </c>
      <c r="B37" s="13" t="s">
        <v>146</v>
      </c>
      <c r="C37" s="13" t="s">
        <v>355</v>
      </c>
      <c r="D37" s="26" t="s">
        <v>118</v>
      </c>
      <c r="E37" s="13" t="s">
        <v>55</v>
      </c>
      <c r="F37" s="15">
        <f>PROJECT_START+41</f>
        <v>46078</v>
      </c>
      <c r="G37" s="15">
        <f t="shared" si="0"/>
        <v>46078</v>
      </c>
      <c r="H37" s="13">
        <f>DUR_TURN</f>
        <v>0</v>
      </c>
      <c r="I37" s="13" t="s">
        <v>292</v>
      </c>
    </row>
    <row r="38" spans="1:9">
      <c r="A38" s="27" t="s">
        <v>402</v>
      </c>
      <c r="B38" s="27" t="s">
        <v>146</v>
      </c>
      <c r="C38" s="27" t="s">
        <v>357</v>
      </c>
      <c r="D38" s="28" t="s">
        <v>137</v>
      </c>
      <c r="E38" s="27" t="s">
        <v>55</v>
      </c>
      <c r="F38" s="29">
        <f>PROJECT_START+44</f>
        <v>46081</v>
      </c>
      <c r="G38" s="29">
        <f t="shared" si="0"/>
        <v>46081</v>
      </c>
      <c r="H38" s="27">
        <f>DUR_JD</f>
        <v>0</v>
      </c>
      <c r="I38" s="27" t="s">
        <v>295</v>
      </c>
    </row>
    <row r="39" spans="1:9">
      <c r="A39" s="13" t="s">
        <v>329</v>
      </c>
      <c r="B39" s="13" t="s">
        <v>146</v>
      </c>
      <c r="C39" s="13" t="s">
        <v>297</v>
      </c>
      <c r="D39" s="25" t="s">
        <v>97</v>
      </c>
      <c r="E39" s="13" t="s">
        <v>285</v>
      </c>
      <c r="F39" s="15">
        <f>PROJECT_START+45</f>
        <v>46082</v>
      </c>
      <c r="G39" s="15">
        <f t="shared" si="0"/>
        <v>46082</v>
      </c>
      <c r="H39" s="13">
        <f>DUR_RET</f>
        <v>0</v>
      </c>
      <c r="I39" s="13" t="s">
        <v>298</v>
      </c>
    </row>
    <row r="40" spans="1:9">
      <c r="A40" s="13" t="s">
        <v>330</v>
      </c>
      <c r="B40" s="13" t="s">
        <v>146</v>
      </c>
      <c r="C40" s="13" t="s">
        <v>300</v>
      </c>
      <c r="D40" s="22" t="s">
        <v>78</v>
      </c>
      <c r="E40" s="13" t="s">
        <v>301</v>
      </c>
      <c r="F40" s="15">
        <f>PROJECT_START+46</f>
        <v>46083</v>
      </c>
      <c r="G40" s="15">
        <f t="shared" si="0"/>
        <v>46083</v>
      </c>
      <c r="H40" s="13">
        <f>DUR_BUF</f>
        <v>0</v>
      </c>
      <c r="I40" s="13" t="s">
        <v>302</v>
      </c>
    </row>
    <row r="41" spans="1:9">
      <c r="A41" s="17" t="s">
        <v>161</v>
      </c>
      <c r="B41" s="17" t="s">
        <v>162</v>
      </c>
      <c r="C41" s="17" t="s">
        <v>403</v>
      </c>
      <c r="D41" s="18" t="s">
        <v>65</v>
      </c>
      <c r="E41" s="17" t="s">
        <v>66</v>
      </c>
      <c r="F41" s="19">
        <f>PROJECT_START+47</f>
        <v>46084</v>
      </c>
      <c r="G41" s="19">
        <f t="shared" si="0"/>
        <v>46084</v>
      </c>
      <c r="H41" s="17">
        <v>0</v>
      </c>
      <c r="I41" s="17" t="s">
        <v>275</v>
      </c>
    </row>
    <row r="42" spans="1:9">
      <c r="A42" s="13" t="s">
        <v>332</v>
      </c>
      <c r="B42" s="13" t="s">
        <v>162</v>
      </c>
      <c r="C42" s="13" t="s">
        <v>404</v>
      </c>
      <c r="D42" s="20" t="s">
        <v>70</v>
      </c>
      <c r="E42" s="13" t="s">
        <v>55</v>
      </c>
      <c r="F42" s="15">
        <f>PROJECT_START+47</f>
        <v>46084</v>
      </c>
      <c r="G42" s="15">
        <f t="shared" si="0"/>
        <v>46086</v>
      </c>
      <c r="H42" s="13">
        <v>2</v>
      </c>
      <c r="I42" s="13" t="s">
        <v>348</v>
      </c>
    </row>
    <row r="43" spans="1:9">
      <c r="A43" s="13" t="s">
        <v>335</v>
      </c>
      <c r="B43" s="13" t="s">
        <v>162</v>
      </c>
      <c r="C43" s="13" t="s">
        <v>405</v>
      </c>
      <c r="D43" s="21" t="s">
        <v>74</v>
      </c>
      <c r="E43" s="13" t="s">
        <v>281</v>
      </c>
      <c r="F43" s="15">
        <f>PROJECT_START+49</f>
        <v>46086</v>
      </c>
      <c r="G43" s="15">
        <f t="shared" si="0"/>
        <v>46086</v>
      </c>
      <c r="H43" s="13">
        <f>DUR_BUF</f>
        <v>0</v>
      </c>
      <c r="I43" s="13" t="s">
        <v>282</v>
      </c>
    </row>
    <row r="44" spans="1:9">
      <c r="A44" s="13" t="s">
        <v>337</v>
      </c>
      <c r="B44" s="13" t="s">
        <v>162</v>
      </c>
      <c r="C44" s="13" t="s">
        <v>284</v>
      </c>
      <c r="D44" s="23" t="s">
        <v>83</v>
      </c>
      <c r="E44" s="13" t="s">
        <v>285</v>
      </c>
      <c r="F44" s="15">
        <f>PROJECT_START+50</f>
        <v>46087</v>
      </c>
      <c r="G44" s="15">
        <f t="shared" si="0"/>
        <v>46087</v>
      </c>
      <c r="H44" s="13">
        <f>DUR_SAIL</f>
        <v>0</v>
      </c>
      <c r="I44" s="13" t="s">
        <v>286</v>
      </c>
    </row>
    <row r="45" spans="1:9">
      <c r="A45" s="13" t="s">
        <v>338</v>
      </c>
      <c r="B45" s="13" t="s">
        <v>162</v>
      </c>
      <c r="C45" s="13" t="s">
        <v>367</v>
      </c>
      <c r="D45" s="24" t="s">
        <v>88</v>
      </c>
      <c r="E45" s="13" t="s">
        <v>55</v>
      </c>
      <c r="F45" s="15">
        <f>PROJECT_START+51</f>
        <v>46088</v>
      </c>
      <c r="G45" s="15">
        <f t="shared" si="0"/>
        <v>46088</v>
      </c>
      <c r="H45" s="13">
        <f>DUR_UL</f>
        <v>0</v>
      </c>
      <c r="I45" s="13" t="s">
        <v>289</v>
      </c>
    </row>
    <row r="46" spans="1:9">
      <c r="A46" s="13" t="s">
        <v>406</v>
      </c>
      <c r="B46" s="13" t="s">
        <v>162</v>
      </c>
      <c r="C46" s="13" t="s">
        <v>381</v>
      </c>
      <c r="D46" s="24" t="s">
        <v>88</v>
      </c>
      <c r="E46" s="13" t="s">
        <v>55</v>
      </c>
      <c r="F46" s="15">
        <f>PROJECT_START+52</f>
        <v>46089</v>
      </c>
      <c r="G46" s="15">
        <f t="shared" si="0"/>
        <v>46089</v>
      </c>
      <c r="H46" s="13">
        <f>DUR_UL</f>
        <v>0</v>
      </c>
      <c r="I46" s="13" t="s">
        <v>289</v>
      </c>
    </row>
    <row r="47" spans="1:9">
      <c r="A47" s="13" t="s">
        <v>340</v>
      </c>
      <c r="B47" s="13" t="s">
        <v>162</v>
      </c>
      <c r="C47" s="13" t="s">
        <v>369</v>
      </c>
      <c r="D47" s="26" t="s">
        <v>118</v>
      </c>
      <c r="E47" s="13" t="s">
        <v>55</v>
      </c>
      <c r="F47" s="15">
        <f>PROJECT_START+53</f>
        <v>46090</v>
      </c>
      <c r="G47" s="15">
        <f t="shared" si="0"/>
        <v>46090</v>
      </c>
      <c r="H47" s="13">
        <f>DUR_TURN</f>
        <v>0</v>
      </c>
      <c r="I47" s="13" t="s">
        <v>292</v>
      </c>
    </row>
    <row r="48" spans="1:9">
      <c r="A48" s="27" t="s">
        <v>342</v>
      </c>
      <c r="B48" s="27" t="s">
        <v>162</v>
      </c>
      <c r="C48" s="27" t="s">
        <v>371</v>
      </c>
      <c r="D48" s="28" t="s">
        <v>137</v>
      </c>
      <c r="E48" s="27" t="s">
        <v>55</v>
      </c>
      <c r="F48" s="29">
        <f>PROJECT_START+56</f>
        <v>46093</v>
      </c>
      <c r="G48" s="29">
        <f t="shared" si="0"/>
        <v>46093</v>
      </c>
      <c r="H48" s="27">
        <f>DUR_JD</f>
        <v>0</v>
      </c>
      <c r="I48" s="27" t="s">
        <v>295</v>
      </c>
    </row>
    <row r="49" spans="1:9">
      <c r="A49" s="13" t="s">
        <v>407</v>
      </c>
      <c r="B49" s="13" t="s">
        <v>162</v>
      </c>
      <c r="C49" s="13" t="s">
        <v>383</v>
      </c>
      <c r="D49" s="26" t="s">
        <v>118</v>
      </c>
      <c r="E49" s="13" t="s">
        <v>55</v>
      </c>
      <c r="F49" s="15">
        <f>PROJECT_START+57</f>
        <v>46094</v>
      </c>
      <c r="G49" s="15">
        <f t="shared" si="0"/>
        <v>46094</v>
      </c>
      <c r="H49" s="13">
        <f>DUR_TURN</f>
        <v>0</v>
      </c>
      <c r="I49" s="13" t="s">
        <v>292</v>
      </c>
    </row>
    <row r="50" spans="1:9">
      <c r="A50" s="27" t="s">
        <v>408</v>
      </c>
      <c r="B50" s="27" t="s">
        <v>162</v>
      </c>
      <c r="C50" s="27" t="s">
        <v>385</v>
      </c>
      <c r="D50" s="28" t="s">
        <v>137</v>
      </c>
      <c r="E50" s="27" t="s">
        <v>55</v>
      </c>
      <c r="F50" s="29">
        <f>PROJECT_START+60</f>
        <v>46097</v>
      </c>
      <c r="G50" s="29">
        <f t="shared" si="0"/>
        <v>46097</v>
      </c>
      <c r="H50" s="27">
        <f>DUR_JD</f>
        <v>0</v>
      </c>
      <c r="I50" s="27" t="s">
        <v>295</v>
      </c>
    </row>
    <row r="51" spans="1:9">
      <c r="A51" s="13" t="s">
        <v>344</v>
      </c>
      <c r="B51" s="13" t="s">
        <v>162</v>
      </c>
      <c r="C51" s="13" t="s">
        <v>297</v>
      </c>
      <c r="D51" s="25" t="s">
        <v>97</v>
      </c>
      <c r="E51" s="13" t="s">
        <v>285</v>
      </c>
      <c r="F51" s="15">
        <f>PROJECT_START+61</f>
        <v>46098</v>
      </c>
      <c r="G51" s="15">
        <f t="shared" si="0"/>
        <v>46098</v>
      </c>
      <c r="H51" s="13">
        <f>DUR_RET</f>
        <v>0</v>
      </c>
      <c r="I51" s="13" t="s">
        <v>298</v>
      </c>
    </row>
    <row r="52" spans="1:9">
      <c r="A52" s="13" t="s">
        <v>345</v>
      </c>
      <c r="B52" s="13" t="s">
        <v>162</v>
      </c>
      <c r="C52" s="13" t="s">
        <v>300</v>
      </c>
      <c r="D52" s="22" t="s">
        <v>78</v>
      </c>
      <c r="E52" s="13" t="s">
        <v>301</v>
      </c>
      <c r="F52" s="15">
        <f>PROJECT_START+62</f>
        <v>46099</v>
      </c>
      <c r="G52" s="15">
        <f t="shared" si="0"/>
        <v>46099</v>
      </c>
      <c r="H52" s="13">
        <f>DUR_BUF</f>
        <v>0</v>
      </c>
      <c r="I52" s="13" t="s">
        <v>302</v>
      </c>
    </row>
  </sheetData>
  <mergeCells count="3">
    <mergeCell ref="A1:I1"/>
    <mergeCell ref="A3:I3"/>
    <mergeCell ref="A2:I2"/>
  </mergeCells>
  <phoneticPr fontId="17" type="noConversion"/>
  <pageMargins left="0.75" right="0.75" top="1" bottom="1" header="0.5" footer="0.5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dimension ref="A1:DW51"/>
  <sheetViews>
    <sheetView workbookViewId="0">
      <pane xSplit="7" ySplit="4" topLeftCell="H5" activePane="bottomRight" state="frozen"/>
      <selection pane="topRight"/>
      <selection pane="bottomLeft"/>
      <selection pane="bottomRight"/>
    </sheetView>
  </sheetViews>
  <sheetFormatPr defaultRowHeight="16.899999999999999"/>
  <cols>
    <col min="1" max="1" width="10" customWidth="1"/>
    <col min="2" max="2" width="5" customWidth="1"/>
    <col min="3" max="3" width="28" customWidth="1"/>
    <col min="4" max="4" width="12" customWidth="1"/>
    <col min="5" max="6" width="7" customWidth="1"/>
    <col min="7" max="7" width="4" customWidth="1"/>
    <col min="8" max="127" width="2.5" customWidth="1"/>
  </cols>
  <sheetData>
    <row r="1" spans="1:127" ht="20.65">
      <c r="A1" s="63" t="s">
        <v>409</v>
      </c>
      <c r="B1" s="56"/>
      <c r="C1" s="56"/>
      <c r="D1" s="56"/>
      <c r="E1" s="56"/>
      <c r="F1" s="56"/>
      <c r="G1" s="56"/>
      <c r="H1" s="56"/>
      <c r="I1" s="56"/>
      <c r="J1" s="56"/>
      <c r="K1" s="56"/>
      <c r="L1" s="56"/>
      <c r="M1" s="56"/>
      <c r="N1" s="56"/>
      <c r="O1" s="56"/>
      <c r="P1" s="56"/>
      <c r="Q1" s="56"/>
      <c r="R1" s="56"/>
      <c r="S1" s="56"/>
      <c r="T1" s="56"/>
      <c r="U1" s="56"/>
      <c r="V1" s="56"/>
      <c r="W1" s="56"/>
      <c r="X1" s="56"/>
      <c r="Y1" s="56"/>
      <c r="Z1" s="56"/>
      <c r="AA1" s="56"/>
      <c r="AB1" s="56"/>
      <c r="AC1" s="56"/>
      <c r="AD1" s="56"/>
      <c r="AE1" s="56"/>
      <c r="AF1" s="56"/>
      <c r="AG1" s="56"/>
      <c r="AH1" s="56"/>
      <c r="AI1" s="56"/>
      <c r="AJ1" s="56"/>
      <c r="AK1" s="56"/>
      <c r="AL1" s="56"/>
      <c r="AM1" s="56"/>
      <c r="AN1" s="56"/>
      <c r="AO1" s="56"/>
      <c r="AP1" s="56"/>
      <c r="AQ1" s="56"/>
      <c r="AR1" s="56"/>
      <c r="AS1" s="56"/>
      <c r="AT1" s="56"/>
      <c r="AU1" s="56"/>
      <c r="AV1" s="56"/>
      <c r="AW1" s="56"/>
      <c r="AX1" s="56"/>
      <c r="AY1" s="56"/>
      <c r="AZ1" s="56"/>
      <c r="BA1" s="56"/>
      <c r="BB1" s="56"/>
      <c r="BC1" s="56"/>
      <c r="BD1" s="56"/>
      <c r="BE1" s="56"/>
      <c r="BF1" s="56"/>
      <c r="BG1" s="56"/>
      <c r="BH1" s="56"/>
      <c r="BI1" s="56"/>
      <c r="BJ1" s="56"/>
      <c r="BK1" s="56"/>
      <c r="BL1" s="56"/>
      <c r="BM1" s="56"/>
      <c r="BN1" s="56"/>
      <c r="BO1" s="56"/>
      <c r="BP1" s="56"/>
      <c r="BQ1" s="56"/>
      <c r="BR1" s="56"/>
      <c r="BS1" s="56"/>
      <c r="BT1" s="56"/>
      <c r="BU1" s="56"/>
      <c r="BV1" s="56"/>
      <c r="BW1" s="56"/>
      <c r="BX1" s="56"/>
      <c r="BY1" s="56"/>
      <c r="BZ1" s="56"/>
      <c r="CA1" s="56"/>
      <c r="CB1" s="56"/>
      <c r="CC1" s="56"/>
      <c r="CD1" s="56"/>
      <c r="CE1" s="56"/>
      <c r="CF1" s="56"/>
      <c r="CG1" s="56"/>
      <c r="CH1" s="56"/>
      <c r="CI1" s="56"/>
      <c r="CJ1" s="56"/>
      <c r="CK1" s="56"/>
      <c r="CL1" s="56"/>
      <c r="CM1" s="56"/>
      <c r="CN1" s="56"/>
      <c r="CO1" s="56"/>
      <c r="CP1" s="56"/>
      <c r="CQ1" s="56"/>
      <c r="CR1" s="56"/>
      <c r="CS1" s="56"/>
      <c r="CT1" s="56"/>
      <c r="CU1" s="56"/>
      <c r="CV1" s="56"/>
      <c r="CW1" s="56"/>
      <c r="CX1" s="56"/>
      <c r="CY1" s="56"/>
      <c r="CZ1" s="56"/>
      <c r="DA1" s="56"/>
      <c r="DB1" s="56"/>
      <c r="DC1" s="56"/>
      <c r="DD1" s="56"/>
      <c r="DE1" s="56"/>
      <c r="DF1" s="56"/>
      <c r="DG1" s="56"/>
      <c r="DH1" s="56"/>
      <c r="DI1" s="56"/>
      <c r="DJ1" s="56"/>
      <c r="DK1" s="56"/>
      <c r="DL1" s="56"/>
      <c r="DM1" s="56"/>
      <c r="DN1" s="56"/>
      <c r="DO1" s="56"/>
      <c r="DP1" s="56"/>
      <c r="DQ1" s="56"/>
      <c r="DR1" s="56"/>
      <c r="DS1" s="56"/>
      <c r="DT1" s="56"/>
      <c r="DU1" s="56"/>
      <c r="DV1" s="56"/>
      <c r="DW1" s="56"/>
    </row>
    <row r="2" spans="1:127">
      <c r="A2" s="59" t="s">
        <v>410</v>
      </c>
      <c r="B2" s="56"/>
      <c r="C2" s="56"/>
      <c r="D2" s="56"/>
      <c r="E2" s="56"/>
      <c r="F2" s="56"/>
      <c r="G2" s="56"/>
      <c r="H2" s="56"/>
      <c r="I2" s="56"/>
      <c r="J2" s="56"/>
      <c r="K2" s="56"/>
      <c r="L2" s="56"/>
      <c r="M2" s="56"/>
      <c r="N2" s="56"/>
      <c r="O2" s="56"/>
      <c r="P2" s="56"/>
      <c r="Q2" s="56"/>
      <c r="R2" s="56"/>
      <c r="S2" s="56"/>
      <c r="T2" s="56"/>
      <c r="U2" s="56"/>
      <c r="V2" s="56"/>
      <c r="W2" s="56"/>
      <c r="X2" s="56"/>
      <c r="Y2" s="56"/>
      <c r="Z2" s="56"/>
      <c r="AA2" s="56"/>
      <c r="AB2" s="56"/>
      <c r="AC2" s="56"/>
      <c r="AD2" s="56"/>
      <c r="AE2" s="56"/>
      <c r="AF2" s="56"/>
      <c r="AG2" s="56"/>
      <c r="AH2" s="56"/>
      <c r="AI2" s="56"/>
      <c r="AJ2" s="56"/>
      <c r="AK2" s="56"/>
      <c r="AL2" s="56"/>
      <c r="AM2" s="56"/>
      <c r="AN2" s="56"/>
      <c r="AO2" s="56"/>
      <c r="AP2" s="56"/>
      <c r="AQ2" s="56"/>
      <c r="AR2" s="56"/>
      <c r="AS2" s="56"/>
      <c r="AT2" s="56"/>
      <c r="AU2" s="56"/>
      <c r="AV2" s="56"/>
      <c r="AW2" s="56"/>
      <c r="AX2" s="56"/>
      <c r="AY2" s="56"/>
      <c r="AZ2" s="56"/>
      <c r="BA2" s="56"/>
      <c r="BB2" s="56"/>
      <c r="BC2" s="56"/>
      <c r="BD2" s="56"/>
      <c r="BE2" s="56"/>
      <c r="BF2" s="56"/>
      <c r="BG2" s="56"/>
      <c r="BH2" s="56"/>
      <c r="BI2" s="56"/>
      <c r="BJ2" s="56"/>
      <c r="BK2" s="56"/>
      <c r="BL2" s="56"/>
      <c r="BM2" s="56"/>
      <c r="BN2" s="56"/>
      <c r="BO2" s="56"/>
      <c r="BP2" s="56"/>
      <c r="BQ2" s="56"/>
      <c r="BR2" s="56"/>
      <c r="BS2" s="56"/>
      <c r="BT2" s="56"/>
      <c r="BU2" s="56"/>
      <c r="BV2" s="56"/>
      <c r="BW2" s="56"/>
      <c r="BX2" s="56"/>
      <c r="BY2" s="56"/>
      <c r="BZ2" s="56"/>
      <c r="CA2" s="56"/>
      <c r="CB2" s="56"/>
      <c r="CC2" s="56"/>
      <c r="CD2" s="56"/>
      <c r="CE2" s="56"/>
      <c r="CF2" s="56"/>
      <c r="CG2" s="56"/>
      <c r="CH2" s="56"/>
      <c r="CI2" s="56"/>
      <c r="CJ2" s="56"/>
      <c r="CK2" s="56"/>
      <c r="CL2" s="56"/>
      <c r="CM2" s="56"/>
      <c r="CN2" s="56"/>
      <c r="CO2" s="56"/>
      <c r="CP2" s="56"/>
      <c r="CQ2" s="56"/>
      <c r="CR2" s="56"/>
      <c r="CS2" s="56"/>
      <c r="CT2" s="56"/>
      <c r="CU2" s="56"/>
      <c r="CV2" s="56"/>
      <c r="CW2" s="56"/>
      <c r="CX2" s="56"/>
      <c r="CY2" s="56"/>
      <c r="CZ2" s="56"/>
      <c r="DA2" s="56"/>
      <c r="DB2" s="56"/>
      <c r="DC2" s="56"/>
      <c r="DD2" s="56"/>
      <c r="DE2" s="56"/>
      <c r="DF2" s="56"/>
      <c r="DG2" s="56"/>
      <c r="DH2" s="56"/>
      <c r="DI2" s="56"/>
      <c r="DJ2" s="56"/>
      <c r="DK2" s="56"/>
      <c r="DL2" s="56"/>
      <c r="DM2" s="56"/>
      <c r="DN2" s="56"/>
      <c r="DO2" s="56"/>
      <c r="DP2" s="56"/>
      <c r="DQ2" s="56"/>
      <c r="DR2" s="56"/>
      <c r="DS2" s="56"/>
      <c r="DT2" s="56"/>
      <c r="DU2" s="56"/>
      <c r="DV2" s="56"/>
      <c r="DW2" s="56"/>
    </row>
    <row r="3" spans="1:127">
      <c r="A3" s="62" t="s">
        <v>268</v>
      </c>
      <c r="B3" s="56"/>
      <c r="C3" s="56"/>
      <c r="D3" s="56"/>
      <c r="E3" s="56"/>
      <c r="F3" s="56"/>
      <c r="G3" s="56"/>
    </row>
    <row r="4" spans="1:127">
      <c r="A4" s="30" t="s">
        <v>42</v>
      </c>
      <c r="B4" s="30" t="s">
        <v>43</v>
      </c>
      <c r="C4" s="30" t="s">
        <v>44</v>
      </c>
      <c r="D4" s="30" t="s">
        <v>45</v>
      </c>
      <c r="E4" s="30" t="s">
        <v>47</v>
      </c>
      <c r="F4" s="30" t="s">
        <v>48</v>
      </c>
      <c r="G4" s="30" t="s">
        <v>269</v>
      </c>
      <c r="H4" s="31">
        <f>PROJECT_START+0</f>
        <v>46037</v>
      </c>
      <c r="I4" s="31">
        <f>PROJECT_START+1</f>
        <v>46038</v>
      </c>
      <c r="J4" s="31">
        <f>PROJECT_START+2</f>
        <v>46039</v>
      </c>
      <c r="K4" s="31">
        <f>PROJECT_START+3</f>
        <v>46040</v>
      </c>
      <c r="L4" s="31">
        <f>PROJECT_START+4</f>
        <v>46041</v>
      </c>
      <c r="M4" s="31">
        <f>PROJECT_START+5</f>
        <v>46042</v>
      </c>
      <c r="N4" s="31">
        <f>PROJECT_START+6</f>
        <v>46043</v>
      </c>
      <c r="O4" s="31">
        <f>PROJECT_START+7</f>
        <v>46044</v>
      </c>
      <c r="P4" s="31">
        <f>PROJECT_START+8</f>
        <v>46045</v>
      </c>
      <c r="Q4" s="31">
        <f>PROJECT_START+9</f>
        <v>46046</v>
      </c>
      <c r="R4" s="31">
        <f>PROJECT_START+10</f>
        <v>46047</v>
      </c>
      <c r="S4" s="31">
        <f>PROJECT_START+11</f>
        <v>46048</v>
      </c>
      <c r="T4" s="31">
        <f>PROJECT_START+12</f>
        <v>46049</v>
      </c>
      <c r="U4" s="31">
        <f>PROJECT_START+13</f>
        <v>46050</v>
      </c>
      <c r="V4" s="31">
        <f>PROJECT_START+14</f>
        <v>46051</v>
      </c>
      <c r="W4" s="31">
        <f>PROJECT_START+15</f>
        <v>46052</v>
      </c>
      <c r="X4" s="31">
        <f>PROJECT_START+16</f>
        <v>46053</v>
      </c>
      <c r="Y4" s="31">
        <f>PROJECT_START+17</f>
        <v>46054</v>
      </c>
      <c r="Z4" s="31">
        <f>PROJECT_START+18</f>
        <v>46055</v>
      </c>
      <c r="AA4" s="31">
        <f>PROJECT_START+19</f>
        <v>46056</v>
      </c>
      <c r="AB4" s="31">
        <f>PROJECT_START+20</f>
        <v>46057</v>
      </c>
      <c r="AC4" s="32">
        <f>PROJECT_START+21</f>
        <v>46058</v>
      </c>
      <c r="AD4" s="32">
        <f>PROJECT_START+22</f>
        <v>46059</v>
      </c>
      <c r="AE4" s="32">
        <f>PROJECT_START+23</f>
        <v>46060</v>
      </c>
      <c r="AF4" s="32">
        <f>PROJECT_START+24</f>
        <v>46061</v>
      </c>
      <c r="AG4" s="32">
        <f>PROJECT_START+25</f>
        <v>46062</v>
      </c>
      <c r="AH4" s="32">
        <f>PROJECT_START+26</f>
        <v>46063</v>
      </c>
      <c r="AI4" s="32">
        <f>PROJECT_START+27</f>
        <v>46064</v>
      </c>
      <c r="AJ4" s="32">
        <f>PROJECT_START+28</f>
        <v>46065</v>
      </c>
      <c r="AK4" s="32">
        <f>PROJECT_START+29</f>
        <v>46066</v>
      </c>
      <c r="AL4" s="32">
        <f>PROJECT_START+30</f>
        <v>46067</v>
      </c>
      <c r="AM4" s="31">
        <f>PROJECT_START+31</f>
        <v>46068</v>
      </c>
      <c r="AN4" s="31">
        <f>PROJECT_START+32</f>
        <v>46069</v>
      </c>
      <c r="AO4" s="31">
        <f>PROJECT_START+33</f>
        <v>46070</v>
      </c>
      <c r="AP4" s="31">
        <f>PROJECT_START+34</f>
        <v>46071</v>
      </c>
      <c r="AQ4" s="31">
        <f>PROJECT_START+35</f>
        <v>46072</v>
      </c>
      <c r="AR4" s="31">
        <f>PROJECT_START+36</f>
        <v>46073</v>
      </c>
      <c r="AS4" s="31">
        <f>PROJECT_START+37</f>
        <v>46074</v>
      </c>
      <c r="AT4" s="31">
        <f>PROJECT_START+38</f>
        <v>46075</v>
      </c>
      <c r="AU4" s="31">
        <f>PROJECT_START+39</f>
        <v>46076</v>
      </c>
      <c r="AV4" s="31">
        <f>PROJECT_START+40</f>
        <v>46077</v>
      </c>
      <c r="AW4" s="31">
        <f>PROJECT_START+41</f>
        <v>46078</v>
      </c>
      <c r="AX4" s="31">
        <f>PROJECT_START+42</f>
        <v>46079</v>
      </c>
      <c r="AY4" s="31">
        <f>PROJECT_START+43</f>
        <v>46080</v>
      </c>
      <c r="AZ4" s="31">
        <f>PROJECT_START+44</f>
        <v>46081</v>
      </c>
      <c r="BA4" s="31">
        <f>PROJECT_START+45</f>
        <v>46082</v>
      </c>
      <c r="BB4" s="31">
        <f>PROJECT_START+46</f>
        <v>46083</v>
      </c>
      <c r="BC4" s="31">
        <f>PROJECT_START+47</f>
        <v>46084</v>
      </c>
      <c r="BD4" s="31">
        <f>PROJECT_START+48</f>
        <v>46085</v>
      </c>
      <c r="BE4" s="31">
        <f>PROJECT_START+49</f>
        <v>46086</v>
      </c>
      <c r="BF4" s="31">
        <f>PROJECT_START+50</f>
        <v>46087</v>
      </c>
      <c r="BG4" s="31">
        <f>PROJECT_START+51</f>
        <v>46088</v>
      </c>
      <c r="BH4" s="31">
        <f>PROJECT_START+52</f>
        <v>46089</v>
      </c>
      <c r="BI4" s="31">
        <f>PROJECT_START+53</f>
        <v>46090</v>
      </c>
      <c r="BJ4" s="31">
        <f>PROJECT_START+54</f>
        <v>46091</v>
      </c>
      <c r="BK4" s="31">
        <f>PROJECT_START+55</f>
        <v>46092</v>
      </c>
      <c r="BL4" s="31">
        <f>PROJECT_START+56</f>
        <v>46093</v>
      </c>
      <c r="BM4" s="31">
        <f>PROJECT_START+57</f>
        <v>46094</v>
      </c>
      <c r="BN4" s="31">
        <f>PROJECT_START+58</f>
        <v>46095</v>
      </c>
      <c r="BO4" s="31">
        <f>PROJECT_START+59</f>
        <v>46096</v>
      </c>
      <c r="BP4" s="31">
        <f>PROJECT_START+60</f>
        <v>46097</v>
      </c>
      <c r="BQ4" s="31">
        <f>PROJECT_START+61</f>
        <v>46098</v>
      </c>
      <c r="BR4" s="31">
        <f>PROJECT_START+62</f>
        <v>46099</v>
      </c>
      <c r="BS4" s="31">
        <f>PROJECT_START+63</f>
        <v>46100</v>
      </c>
      <c r="BT4" s="31">
        <f>PROJECT_START+64</f>
        <v>46101</v>
      </c>
      <c r="BU4" s="31">
        <f>PROJECT_START+65</f>
        <v>46102</v>
      </c>
      <c r="BV4" s="31">
        <f>PROJECT_START+66</f>
        <v>46103</v>
      </c>
      <c r="BW4" s="31">
        <f>PROJECT_START+67</f>
        <v>46104</v>
      </c>
      <c r="BX4" s="31">
        <f>PROJECT_START+68</f>
        <v>46105</v>
      </c>
      <c r="BY4" s="31">
        <f>PROJECT_START+69</f>
        <v>46106</v>
      </c>
      <c r="BZ4" s="31">
        <f>PROJECT_START+70</f>
        <v>46107</v>
      </c>
      <c r="CA4" s="31">
        <f>PROJECT_START+71</f>
        <v>46108</v>
      </c>
      <c r="CB4" s="31">
        <f>PROJECT_START+72</f>
        <v>46109</v>
      </c>
      <c r="CC4" s="31">
        <f>PROJECT_START+73</f>
        <v>46110</v>
      </c>
      <c r="CD4" s="31">
        <f>PROJECT_START+74</f>
        <v>46111</v>
      </c>
      <c r="CE4" s="31">
        <f>PROJECT_START+75</f>
        <v>46112</v>
      </c>
      <c r="CF4" s="31">
        <f>PROJECT_START+76</f>
        <v>46113</v>
      </c>
      <c r="CG4" s="31">
        <f>PROJECT_START+77</f>
        <v>46114</v>
      </c>
      <c r="CH4" s="31">
        <f>PROJECT_START+78</f>
        <v>46115</v>
      </c>
      <c r="CI4" s="31">
        <f>PROJECT_START+79</f>
        <v>46116</v>
      </c>
      <c r="CJ4" s="31">
        <f>PROJECT_START+80</f>
        <v>46117</v>
      </c>
      <c r="CK4" s="31">
        <f>PROJECT_START+81</f>
        <v>46118</v>
      </c>
      <c r="CL4" s="31">
        <f>PROJECT_START+82</f>
        <v>46119</v>
      </c>
      <c r="CM4" s="31">
        <f>PROJECT_START+83</f>
        <v>46120</v>
      </c>
      <c r="CN4" s="31">
        <f>PROJECT_START+84</f>
        <v>46121</v>
      </c>
      <c r="CO4" s="31">
        <f>PROJECT_START+85</f>
        <v>46122</v>
      </c>
      <c r="CP4" s="31">
        <f>PROJECT_START+86</f>
        <v>46123</v>
      </c>
      <c r="CQ4" s="31">
        <f>PROJECT_START+87</f>
        <v>46124</v>
      </c>
      <c r="CR4" s="31">
        <f>PROJECT_START+88</f>
        <v>46125</v>
      </c>
      <c r="CS4" s="31">
        <f>PROJECT_START+89</f>
        <v>46126</v>
      </c>
      <c r="CT4" s="31">
        <f>PROJECT_START+90</f>
        <v>46127</v>
      </c>
      <c r="CU4" s="31">
        <f>PROJECT_START+91</f>
        <v>46128</v>
      </c>
      <c r="CV4" s="31">
        <f>PROJECT_START+92</f>
        <v>46129</v>
      </c>
      <c r="CW4" s="31">
        <f>PROJECT_START+93</f>
        <v>46130</v>
      </c>
      <c r="CX4" s="31">
        <f>PROJECT_START+94</f>
        <v>46131</v>
      </c>
      <c r="CY4" s="31">
        <f>PROJECT_START+95</f>
        <v>46132</v>
      </c>
      <c r="CZ4" s="31">
        <f>PROJECT_START+96</f>
        <v>46133</v>
      </c>
      <c r="DA4" s="31">
        <f>PROJECT_START+97</f>
        <v>46134</v>
      </c>
      <c r="DB4" s="31">
        <f>PROJECT_START+98</f>
        <v>46135</v>
      </c>
      <c r="DC4" s="31">
        <f>PROJECT_START+99</f>
        <v>46136</v>
      </c>
      <c r="DD4" s="31">
        <f>PROJECT_START+100</f>
        <v>46137</v>
      </c>
      <c r="DE4" s="31">
        <f>PROJECT_START+101</f>
        <v>46138</v>
      </c>
      <c r="DF4" s="31">
        <f>PROJECT_START+102</f>
        <v>46139</v>
      </c>
      <c r="DG4" s="31">
        <f>PROJECT_START+103</f>
        <v>46140</v>
      </c>
      <c r="DH4" s="31">
        <f>PROJECT_START+104</f>
        <v>46141</v>
      </c>
      <c r="DI4" s="31">
        <f>PROJECT_START+105</f>
        <v>46142</v>
      </c>
      <c r="DJ4" s="31">
        <f>PROJECT_START+106</f>
        <v>46143</v>
      </c>
      <c r="DK4" s="31">
        <f>PROJECT_START+107</f>
        <v>46144</v>
      </c>
      <c r="DL4" s="31">
        <f>PROJECT_START+108</f>
        <v>46145</v>
      </c>
      <c r="DM4" s="31">
        <f>PROJECT_START+109</f>
        <v>46146</v>
      </c>
      <c r="DN4" s="31">
        <f>PROJECT_START+110</f>
        <v>46147</v>
      </c>
      <c r="DO4" s="31">
        <f>PROJECT_START+111</f>
        <v>46148</v>
      </c>
      <c r="DP4" s="31">
        <f>PROJECT_START+112</f>
        <v>46149</v>
      </c>
      <c r="DQ4" s="31">
        <f>PROJECT_START+113</f>
        <v>46150</v>
      </c>
      <c r="DR4" s="31">
        <f>PROJECT_START+114</f>
        <v>46151</v>
      </c>
      <c r="DS4" s="31">
        <f>PROJECT_START+115</f>
        <v>46152</v>
      </c>
      <c r="DT4" s="31">
        <f>PROJECT_START+116</f>
        <v>46153</v>
      </c>
      <c r="DU4" s="31">
        <f>PROJECT_START+117</f>
        <v>46154</v>
      </c>
      <c r="DV4" s="31">
        <f>PROJECT_START+118</f>
        <v>46155</v>
      </c>
      <c r="DW4" s="31">
        <f>PROJECT_START+119</f>
        <v>46156</v>
      </c>
    </row>
    <row r="5" spans="1:127">
      <c r="A5" s="13" t="str">
        <f>Schedule_Data_ScenarioB!A6</f>
        <v>MOB-001</v>
      </c>
      <c r="B5" s="13" t="str">
        <f>Schedule_Data_ScenarioB!B6</f>
        <v>0.0</v>
      </c>
      <c r="C5" s="13" t="str">
        <f>Schedule_Data_ScenarioB!C6</f>
        <v>Mobilization (crew/equipment)</v>
      </c>
      <c r="D5" s="14" t="str">
        <f>Schedule_Data_ScenarioB!D6</f>
        <v>MOBILIZATION</v>
      </c>
      <c r="E5" s="33">
        <f>Schedule_Data_ScenarioB!F6</f>
        <v>46037</v>
      </c>
      <c r="F5" s="33">
        <f>Schedule_Data_ScenarioB!G6</f>
        <v>46038</v>
      </c>
      <c r="G5" s="13">
        <f>Schedule_Data_ScenarioB!H6</f>
        <v>1</v>
      </c>
      <c r="H5" s="14"/>
      <c r="I5" s="13"/>
      <c r="J5" s="13"/>
      <c r="K5" s="13"/>
      <c r="L5" s="13"/>
      <c r="M5" s="13"/>
      <c r="N5" s="13"/>
      <c r="O5" s="13"/>
      <c r="P5" s="13"/>
      <c r="Q5" s="13"/>
      <c r="R5" s="13"/>
      <c r="S5" s="13"/>
      <c r="T5" s="13"/>
      <c r="U5" s="13"/>
      <c r="V5" s="13"/>
      <c r="W5" s="13"/>
      <c r="X5" s="13"/>
      <c r="Y5" s="13"/>
      <c r="Z5" s="13"/>
      <c r="AA5" s="13"/>
      <c r="AB5" s="13"/>
      <c r="AC5" s="13"/>
      <c r="AD5" s="13"/>
      <c r="AE5" s="13"/>
      <c r="AF5" s="13"/>
      <c r="AG5" s="13"/>
      <c r="AH5" s="13"/>
      <c r="AI5" s="13"/>
      <c r="AJ5" s="13"/>
      <c r="AK5" s="13"/>
      <c r="AL5" s="13"/>
      <c r="AM5" s="13"/>
      <c r="AN5" s="13"/>
      <c r="AO5" s="13"/>
      <c r="AP5" s="13"/>
      <c r="AQ5" s="13"/>
      <c r="AR5" s="13"/>
      <c r="AS5" s="13"/>
      <c r="AT5" s="13"/>
      <c r="AU5" s="13"/>
      <c r="AV5" s="13"/>
      <c r="AW5" s="13"/>
      <c r="AX5" s="13"/>
      <c r="AY5" s="13"/>
      <c r="AZ5" s="13"/>
      <c r="BA5" s="13"/>
      <c r="BB5" s="13"/>
      <c r="BC5" s="13"/>
      <c r="BD5" s="13"/>
      <c r="BE5" s="13"/>
      <c r="BF5" s="13"/>
      <c r="BG5" s="13"/>
      <c r="BH5" s="13"/>
      <c r="BI5" s="13"/>
      <c r="BJ5" s="13"/>
      <c r="BK5" s="13"/>
      <c r="BL5" s="13"/>
      <c r="BM5" s="13"/>
      <c r="BN5" s="13"/>
      <c r="BO5" s="13"/>
      <c r="BP5" s="13"/>
      <c r="BQ5" s="13"/>
      <c r="BR5" s="13"/>
      <c r="BS5" s="13"/>
      <c r="BT5" s="13"/>
      <c r="BU5" s="13"/>
      <c r="BV5" s="13"/>
      <c r="BW5" s="13"/>
      <c r="BX5" s="13"/>
      <c r="BY5" s="13"/>
      <c r="BZ5" s="13"/>
      <c r="CA5" s="13"/>
      <c r="CB5" s="13"/>
      <c r="CC5" s="13"/>
      <c r="CD5" s="13"/>
      <c r="CE5" s="13"/>
      <c r="CF5" s="13"/>
      <c r="CG5" s="13"/>
      <c r="CH5" s="13"/>
      <c r="CI5" s="13"/>
      <c r="CJ5" s="13"/>
      <c r="CK5" s="13"/>
      <c r="CL5" s="13"/>
      <c r="CM5" s="13"/>
      <c r="CN5" s="13"/>
      <c r="CO5" s="13"/>
      <c r="CP5" s="13"/>
      <c r="CQ5" s="13"/>
      <c r="CR5" s="13"/>
      <c r="CS5" s="13"/>
      <c r="CT5" s="13"/>
      <c r="CU5" s="13"/>
      <c r="CV5" s="13"/>
      <c r="CW5" s="13"/>
      <c r="CX5" s="13"/>
      <c r="CY5" s="13"/>
      <c r="CZ5" s="13"/>
      <c r="DA5" s="13"/>
      <c r="DB5" s="13"/>
      <c r="DC5" s="13"/>
      <c r="DD5" s="13"/>
      <c r="DE5" s="13"/>
      <c r="DF5" s="13"/>
      <c r="DG5" s="13"/>
      <c r="DH5" s="13"/>
      <c r="DI5" s="13"/>
      <c r="DJ5" s="13"/>
      <c r="DK5" s="13"/>
      <c r="DL5" s="13"/>
      <c r="DM5" s="13"/>
      <c r="DN5" s="13"/>
      <c r="DO5" s="13"/>
      <c r="DP5" s="13"/>
      <c r="DQ5" s="13"/>
      <c r="DR5" s="13"/>
      <c r="DS5" s="13"/>
      <c r="DT5" s="13"/>
      <c r="DU5" s="13"/>
      <c r="DV5" s="13"/>
      <c r="DW5" s="13"/>
    </row>
    <row r="6" spans="1:127">
      <c r="A6" s="13" t="str">
        <f>Schedule_Data_ScenarioB!A7</f>
        <v>PREP-001</v>
      </c>
      <c r="B6" s="13" t="str">
        <f>Schedule_Data_ScenarioB!B7</f>
        <v>0.0</v>
      </c>
      <c r="C6" s="13" t="str">
        <f>Schedule_Data_ScenarioB!C7</f>
        <v>LCT deck preparations + fenders + mooring</v>
      </c>
      <c r="D6" s="16" t="str">
        <f>Schedule_Data_ScenarioB!D7</f>
        <v>DECK_PREP</v>
      </c>
      <c r="E6" s="33">
        <f>Schedule_Data_ScenarioB!F7</f>
        <v>46038</v>
      </c>
      <c r="F6" s="33">
        <f>Schedule_Data_ScenarioB!G7</f>
        <v>46041</v>
      </c>
      <c r="G6" s="13">
        <f>Schedule_Data_ScenarioB!H7</f>
        <v>3</v>
      </c>
      <c r="H6" s="13"/>
      <c r="I6" s="16"/>
      <c r="J6" s="16"/>
      <c r="K6" s="16"/>
      <c r="L6" s="13"/>
      <c r="M6" s="13"/>
      <c r="N6" s="13"/>
      <c r="O6" s="13"/>
      <c r="P6" s="13"/>
      <c r="Q6" s="13"/>
      <c r="R6" s="13"/>
      <c r="S6" s="13"/>
      <c r="T6" s="13"/>
      <c r="U6" s="13"/>
      <c r="V6" s="13"/>
      <c r="W6" s="13"/>
      <c r="X6" s="13"/>
      <c r="Y6" s="13"/>
      <c r="Z6" s="13"/>
      <c r="AA6" s="13"/>
      <c r="AB6" s="13"/>
      <c r="AC6" s="13"/>
      <c r="AD6" s="13"/>
      <c r="AE6" s="13"/>
      <c r="AF6" s="13"/>
      <c r="AG6" s="13"/>
      <c r="AH6" s="13"/>
      <c r="AI6" s="13"/>
      <c r="AJ6" s="13"/>
      <c r="AK6" s="13"/>
      <c r="AL6" s="13"/>
      <c r="AM6" s="13"/>
      <c r="AN6" s="13"/>
      <c r="AO6" s="13"/>
      <c r="AP6" s="13"/>
      <c r="AQ6" s="13"/>
      <c r="AR6" s="13"/>
      <c r="AS6" s="13"/>
      <c r="AT6" s="13"/>
      <c r="AU6" s="13"/>
      <c r="AV6" s="13"/>
      <c r="AW6" s="13"/>
      <c r="AX6" s="13"/>
      <c r="AY6" s="13"/>
      <c r="AZ6" s="13"/>
      <c r="BA6" s="13"/>
      <c r="BB6" s="13"/>
      <c r="BC6" s="13"/>
      <c r="BD6" s="13"/>
      <c r="BE6" s="13"/>
      <c r="BF6" s="13"/>
      <c r="BG6" s="13"/>
      <c r="BH6" s="13"/>
      <c r="BI6" s="13"/>
      <c r="BJ6" s="13"/>
      <c r="BK6" s="13"/>
      <c r="BL6" s="13"/>
      <c r="BM6" s="13"/>
      <c r="BN6" s="13"/>
      <c r="BO6" s="13"/>
      <c r="BP6" s="13"/>
      <c r="BQ6" s="13"/>
      <c r="BR6" s="13"/>
      <c r="BS6" s="13"/>
      <c r="BT6" s="13"/>
      <c r="BU6" s="13"/>
      <c r="BV6" s="13"/>
      <c r="BW6" s="13"/>
      <c r="BX6" s="13"/>
      <c r="BY6" s="13"/>
      <c r="BZ6" s="13"/>
      <c r="CA6" s="13"/>
      <c r="CB6" s="13"/>
      <c r="CC6" s="13"/>
      <c r="CD6" s="13"/>
      <c r="CE6" s="13"/>
      <c r="CF6" s="13"/>
      <c r="CG6" s="13"/>
      <c r="CH6" s="13"/>
      <c r="CI6" s="13"/>
      <c r="CJ6" s="13"/>
      <c r="CK6" s="13"/>
      <c r="CL6" s="13"/>
      <c r="CM6" s="13"/>
      <c r="CN6" s="13"/>
      <c r="CO6" s="13"/>
      <c r="CP6" s="13"/>
      <c r="CQ6" s="13"/>
      <c r="CR6" s="13"/>
      <c r="CS6" s="13"/>
      <c r="CT6" s="13"/>
      <c r="CU6" s="13"/>
      <c r="CV6" s="13"/>
      <c r="CW6" s="13"/>
      <c r="CX6" s="13"/>
      <c r="CY6" s="13"/>
      <c r="CZ6" s="13"/>
      <c r="DA6" s="13"/>
      <c r="DB6" s="13"/>
      <c r="DC6" s="13"/>
      <c r="DD6" s="13"/>
      <c r="DE6" s="13"/>
      <c r="DF6" s="13"/>
      <c r="DG6" s="13"/>
      <c r="DH6" s="13"/>
      <c r="DI6" s="13"/>
      <c r="DJ6" s="13"/>
      <c r="DK6" s="13"/>
      <c r="DL6" s="13"/>
      <c r="DM6" s="13"/>
      <c r="DN6" s="13"/>
      <c r="DO6" s="13"/>
      <c r="DP6" s="13"/>
      <c r="DQ6" s="13"/>
      <c r="DR6" s="13"/>
      <c r="DS6" s="13"/>
      <c r="DT6" s="13"/>
      <c r="DU6" s="13"/>
      <c r="DV6" s="13"/>
      <c r="DW6" s="13"/>
    </row>
    <row r="7" spans="1:127">
      <c r="A7" s="13" t="str">
        <f>Schedule_Data_ScenarioB!A8</f>
        <v>V1</v>
      </c>
      <c r="B7" s="13" t="str">
        <f>Schedule_Data_ScenarioB!B8</f>
        <v>1.0</v>
      </c>
      <c r="C7" s="13" t="str">
        <f>Schedule_Data_ScenarioB!C8</f>
        <v>VOYAGE 1: TR1 Transport</v>
      </c>
      <c r="D7" s="34" t="str">
        <f>Schedule_Data_ScenarioB!D8</f>
        <v>MILESTONE</v>
      </c>
      <c r="E7" s="33">
        <f>Schedule_Data_ScenarioB!F8</f>
        <v>46041</v>
      </c>
      <c r="F7" s="33">
        <f>Schedule_Data_ScenarioB!G8</f>
        <v>46041</v>
      </c>
      <c r="G7" s="13">
        <f>Schedule_Data_ScenarioB!H8</f>
        <v>0</v>
      </c>
      <c r="H7" s="13"/>
      <c r="I7" s="13"/>
      <c r="J7" s="13"/>
      <c r="K7" s="13"/>
      <c r="L7" s="35" t="s">
        <v>270</v>
      </c>
      <c r="M7" s="13"/>
      <c r="N7" s="13"/>
      <c r="O7" s="13"/>
      <c r="P7" s="13"/>
      <c r="Q7" s="13"/>
      <c r="R7" s="13"/>
      <c r="S7" s="13"/>
      <c r="T7" s="13"/>
      <c r="U7" s="13"/>
      <c r="V7" s="13"/>
      <c r="W7" s="13"/>
      <c r="X7" s="13"/>
      <c r="Y7" s="13"/>
      <c r="Z7" s="13"/>
      <c r="AA7" s="13"/>
      <c r="AB7" s="13"/>
      <c r="AC7" s="13"/>
      <c r="AD7" s="13"/>
      <c r="AE7" s="13"/>
      <c r="AF7" s="13"/>
      <c r="AG7" s="13"/>
      <c r="AH7" s="13"/>
      <c r="AI7" s="13"/>
      <c r="AJ7" s="13"/>
      <c r="AK7" s="13"/>
      <c r="AL7" s="13"/>
      <c r="AM7" s="13"/>
      <c r="AN7" s="13"/>
      <c r="AO7" s="13"/>
      <c r="AP7" s="13"/>
      <c r="AQ7" s="13"/>
      <c r="AR7" s="13"/>
      <c r="AS7" s="13"/>
      <c r="AT7" s="13"/>
      <c r="AU7" s="13"/>
      <c r="AV7" s="13"/>
      <c r="AW7" s="13"/>
      <c r="AX7" s="13"/>
      <c r="AY7" s="13"/>
      <c r="AZ7" s="13"/>
      <c r="BA7" s="13"/>
      <c r="BB7" s="13"/>
      <c r="BC7" s="13"/>
      <c r="BD7" s="13"/>
      <c r="BE7" s="13"/>
      <c r="BF7" s="13"/>
      <c r="BG7" s="13"/>
      <c r="BH7" s="13"/>
      <c r="BI7" s="13"/>
      <c r="BJ7" s="13"/>
      <c r="BK7" s="13"/>
      <c r="BL7" s="13"/>
      <c r="BM7" s="13"/>
      <c r="BN7" s="13"/>
      <c r="BO7" s="13"/>
      <c r="BP7" s="13"/>
      <c r="BQ7" s="13"/>
      <c r="BR7" s="13"/>
      <c r="BS7" s="13"/>
      <c r="BT7" s="13"/>
      <c r="BU7" s="13"/>
      <c r="BV7" s="13"/>
      <c r="BW7" s="13"/>
      <c r="BX7" s="13"/>
      <c r="BY7" s="13"/>
      <c r="BZ7" s="13"/>
      <c r="CA7" s="13"/>
      <c r="CB7" s="13"/>
      <c r="CC7" s="13"/>
      <c r="CD7" s="13"/>
      <c r="CE7" s="13"/>
      <c r="CF7" s="13"/>
      <c r="CG7" s="13"/>
      <c r="CH7" s="13"/>
      <c r="CI7" s="13"/>
      <c r="CJ7" s="13"/>
      <c r="CK7" s="13"/>
      <c r="CL7" s="13"/>
      <c r="CM7" s="13"/>
      <c r="CN7" s="13"/>
      <c r="CO7" s="13"/>
      <c r="CP7" s="13"/>
      <c r="CQ7" s="13"/>
      <c r="CR7" s="13"/>
      <c r="CS7" s="13"/>
      <c r="CT7" s="13"/>
      <c r="CU7" s="13"/>
      <c r="CV7" s="13"/>
      <c r="CW7" s="13"/>
      <c r="CX7" s="13"/>
      <c r="CY7" s="13"/>
      <c r="CZ7" s="13"/>
      <c r="DA7" s="13"/>
      <c r="DB7" s="13"/>
      <c r="DC7" s="13"/>
      <c r="DD7" s="13"/>
      <c r="DE7" s="13"/>
      <c r="DF7" s="13"/>
      <c r="DG7" s="13"/>
      <c r="DH7" s="13"/>
      <c r="DI7" s="13"/>
      <c r="DJ7" s="13"/>
      <c r="DK7" s="13"/>
      <c r="DL7" s="13"/>
      <c r="DM7" s="13"/>
      <c r="DN7" s="13"/>
      <c r="DO7" s="13"/>
      <c r="DP7" s="13"/>
      <c r="DQ7" s="13"/>
      <c r="DR7" s="13"/>
      <c r="DS7" s="13"/>
      <c r="DT7" s="13"/>
      <c r="DU7" s="13"/>
      <c r="DV7" s="13"/>
      <c r="DW7" s="13"/>
    </row>
    <row r="8" spans="1:127">
      <c r="A8" s="13" t="str">
        <f>Schedule_Data_ScenarioB!A9</f>
        <v>LO-01</v>
      </c>
      <c r="B8" s="13" t="str">
        <f>Schedule_Data_ScenarioB!B9</f>
        <v>1.0</v>
      </c>
      <c r="C8" s="13" t="str">
        <f>Schedule_Data_ScenarioB!C9</f>
        <v>Loadout TR1 onto LCT</v>
      </c>
      <c r="D8" s="20" t="str">
        <f>Schedule_Data_ScenarioB!D9</f>
        <v>LOADOUT</v>
      </c>
      <c r="E8" s="33">
        <f>Schedule_Data_ScenarioB!F9</f>
        <v>46041</v>
      </c>
      <c r="F8" s="33">
        <f>Schedule_Data_ScenarioB!G9</f>
        <v>46041.5</v>
      </c>
      <c r="G8" s="13">
        <f>Schedule_Data_ScenarioB!H9</f>
        <v>0.5</v>
      </c>
      <c r="H8" s="13"/>
      <c r="I8" s="13"/>
      <c r="J8" s="13"/>
      <c r="K8" s="13"/>
      <c r="L8" s="20"/>
      <c r="M8" s="13"/>
      <c r="N8" s="13"/>
      <c r="O8" s="13"/>
      <c r="P8" s="13"/>
      <c r="Q8" s="13"/>
      <c r="R8" s="13"/>
      <c r="S8" s="13"/>
      <c r="T8" s="13"/>
      <c r="U8" s="13"/>
      <c r="V8" s="13"/>
      <c r="W8" s="13"/>
      <c r="X8" s="13"/>
      <c r="Y8" s="13"/>
      <c r="Z8" s="13"/>
      <c r="AA8" s="13"/>
      <c r="AB8" s="13"/>
      <c r="AC8" s="13"/>
      <c r="AD8" s="13"/>
      <c r="AE8" s="13"/>
      <c r="AF8" s="13"/>
      <c r="AG8" s="13"/>
      <c r="AH8" s="13"/>
      <c r="AI8" s="13"/>
      <c r="AJ8" s="13"/>
      <c r="AK8" s="13"/>
      <c r="AL8" s="13"/>
      <c r="AM8" s="13"/>
      <c r="AN8" s="13"/>
      <c r="AO8" s="13"/>
      <c r="AP8" s="13"/>
      <c r="AQ8" s="13"/>
      <c r="AR8" s="13"/>
      <c r="AS8" s="13"/>
      <c r="AT8" s="13"/>
      <c r="AU8" s="13"/>
      <c r="AV8" s="13"/>
      <c r="AW8" s="13"/>
      <c r="AX8" s="13"/>
      <c r="AY8" s="13"/>
      <c r="AZ8" s="13"/>
      <c r="BA8" s="13"/>
      <c r="BB8" s="13"/>
      <c r="BC8" s="13"/>
      <c r="BD8" s="13"/>
      <c r="BE8" s="13"/>
      <c r="BF8" s="13"/>
      <c r="BG8" s="13"/>
      <c r="BH8" s="13"/>
      <c r="BI8" s="13"/>
      <c r="BJ8" s="13"/>
      <c r="BK8" s="13"/>
      <c r="BL8" s="13"/>
      <c r="BM8" s="13"/>
      <c r="BN8" s="13"/>
      <c r="BO8" s="13"/>
      <c r="BP8" s="13"/>
      <c r="BQ8" s="13"/>
      <c r="BR8" s="13"/>
      <c r="BS8" s="13"/>
      <c r="BT8" s="13"/>
      <c r="BU8" s="13"/>
      <c r="BV8" s="13"/>
      <c r="BW8" s="13"/>
      <c r="BX8" s="13"/>
      <c r="BY8" s="13"/>
      <c r="BZ8" s="13"/>
      <c r="CA8" s="13"/>
      <c r="CB8" s="13"/>
      <c r="CC8" s="13"/>
      <c r="CD8" s="13"/>
      <c r="CE8" s="13"/>
      <c r="CF8" s="13"/>
      <c r="CG8" s="13"/>
      <c r="CH8" s="13"/>
      <c r="CI8" s="13"/>
      <c r="CJ8" s="13"/>
      <c r="CK8" s="13"/>
      <c r="CL8" s="13"/>
      <c r="CM8" s="13"/>
      <c r="CN8" s="13"/>
      <c r="CO8" s="13"/>
      <c r="CP8" s="13"/>
      <c r="CQ8" s="13"/>
      <c r="CR8" s="13"/>
      <c r="CS8" s="13"/>
      <c r="CT8" s="13"/>
      <c r="CU8" s="13"/>
      <c r="CV8" s="13"/>
      <c r="CW8" s="13"/>
      <c r="CX8" s="13"/>
      <c r="CY8" s="13"/>
      <c r="CZ8" s="13"/>
      <c r="DA8" s="13"/>
      <c r="DB8" s="13"/>
      <c r="DC8" s="13"/>
      <c r="DD8" s="13"/>
      <c r="DE8" s="13"/>
      <c r="DF8" s="13"/>
      <c r="DG8" s="13"/>
      <c r="DH8" s="13"/>
      <c r="DI8" s="13"/>
      <c r="DJ8" s="13"/>
      <c r="DK8" s="13"/>
      <c r="DL8" s="13"/>
      <c r="DM8" s="13"/>
      <c r="DN8" s="13"/>
      <c r="DO8" s="13"/>
      <c r="DP8" s="13"/>
      <c r="DQ8" s="13"/>
      <c r="DR8" s="13"/>
      <c r="DS8" s="13"/>
      <c r="DT8" s="13"/>
      <c r="DU8" s="13"/>
      <c r="DV8" s="13"/>
      <c r="DW8" s="13"/>
    </row>
    <row r="9" spans="1:127">
      <c r="A9" s="13" t="str">
        <f>Schedule_Data_ScenarioB!A10</f>
        <v>SF-01</v>
      </c>
      <c r="B9" s="13" t="str">
        <f>Schedule_Data_ScenarioB!B10</f>
        <v>1.0</v>
      </c>
      <c r="C9" s="13" t="str">
        <f>Schedule_Data_ScenarioB!C10</f>
        <v>Sea fastening + MWS checks (TR1)</v>
      </c>
      <c r="D9" s="21" t="str">
        <f>Schedule_Data_ScenarioB!D10</f>
        <v>SEAFAST</v>
      </c>
      <c r="E9" s="33">
        <f>Schedule_Data_ScenarioB!F10</f>
        <v>46042</v>
      </c>
      <c r="F9" s="33">
        <f>Schedule_Data_ScenarioB!G10</f>
        <v>46042</v>
      </c>
      <c r="G9" s="13">
        <f>Schedule_Data_ScenarioB!H10</f>
        <v>0</v>
      </c>
      <c r="H9" s="13"/>
      <c r="I9" s="13"/>
      <c r="J9" s="13"/>
      <c r="K9" s="13"/>
      <c r="L9" s="13"/>
      <c r="M9" s="21"/>
      <c r="N9" s="13"/>
      <c r="O9" s="13"/>
      <c r="P9" s="13"/>
      <c r="Q9" s="13"/>
      <c r="R9" s="13"/>
      <c r="S9" s="13"/>
      <c r="T9" s="13"/>
      <c r="U9" s="13"/>
      <c r="V9" s="13"/>
      <c r="W9" s="13"/>
      <c r="X9" s="13"/>
      <c r="Y9" s="13"/>
      <c r="Z9" s="13"/>
      <c r="AA9" s="13"/>
      <c r="AB9" s="13"/>
      <c r="AC9" s="13"/>
      <c r="AD9" s="13"/>
      <c r="AE9" s="13"/>
      <c r="AF9" s="13"/>
      <c r="AG9" s="13"/>
      <c r="AH9" s="13"/>
      <c r="AI9" s="13"/>
      <c r="AJ9" s="13"/>
      <c r="AK9" s="13"/>
      <c r="AL9" s="13"/>
      <c r="AM9" s="13"/>
      <c r="AN9" s="13"/>
      <c r="AO9" s="13"/>
      <c r="AP9" s="13"/>
      <c r="AQ9" s="13"/>
      <c r="AR9" s="13"/>
      <c r="AS9" s="13"/>
      <c r="AT9" s="13"/>
      <c r="AU9" s="13"/>
      <c r="AV9" s="13"/>
      <c r="AW9" s="13"/>
      <c r="AX9" s="13"/>
      <c r="AY9" s="13"/>
      <c r="AZ9" s="13"/>
      <c r="BA9" s="13"/>
      <c r="BB9" s="13"/>
      <c r="BC9" s="13"/>
      <c r="BD9" s="13"/>
      <c r="BE9" s="13"/>
      <c r="BF9" s="13"/>
      <c r="BG9" s="13"/>
      <c r="BH9" s="13"/>
      <c r="BI9" s="13"/>
      <c r="BJ9" s="13"/>
      <c r="BK9" s="13"/>
      <c r="BL9" s="13"/>
      <c r="BM9" s="13"/>
      <c r="BN9" s="13"/>
      <c r="BO9" s="13"/>
      <c r="BP9" s="13"/>
      <c r="BQ9" s="13"/>
      <c r="BR9" s="13"/>
      <c r="BS9" s="13"/>
      <c r="BT9" s="13"/>
      <c r="BU9" s="13"/>
      <c r="BV9" s="13"/>
      <c r="BW9" s="13"/>
      <c r="BX9" s="13"/>
      <c r="BY9" s="13"/>
      <c r="BZ9" s="13"/>
      <c r="CA9" s="13"/>
      <c r="CB9" s="13"/>
      <c r="CC9" s="13"/>
      <c r="CD9" s="13"/>
      <c r="CE9" s="13"/>
      <c r="CF9" s="13"/>
      <c r="CG9" s="13"/>
      <c r="CH9" s="13"/>
      <c r="CI9" s="13"/>
      <c r="CJ9" s="13"/>
      <c r="CK9" s="13"/>
      <c r="CL9" s="13"/>
      <c r="CM9" s="13"/>
      <c r="CN9" s="13"/>
      <c r="CO9" s="13"/>
      <c r="CP9" s="13"/>
      <c r="CQ9" s="13"/>
      <c r="CR9" s="13"/>
      <c r="CS9" s="13"/>
      <c r="CT9" s="13"/>
      <c r="CU9" s="13"/>
      <c r="CV9" s="13"/>
      <c r="CW9" s="13"/>
      <c r="CX9" s="13"/>
      <c r="CY9" s="13"/>
      <c r="CZ9" s="13"/>
      <c r="DA9" s="13"/>
      <c r="DB9" s="13"/>
      <c r="DC9" s="13"/>
      <c r="DD9" s="13"/>
      <c r="DE9" s="13"/>
      <c r="DF9" s="13"/>
      <c r="DG9" s="13"/>
      <c r="DH9" s="13"/>
      <c r="DI9" s="13"/>
      <c r="DJ9" s="13"/>
      <c r="DK9" s="13"/>
      <c r="DL9" s="13"/>
      <c r="DM9" s="13"/>
      <c r="DN9" s="13"/>
      <c r="DO9" s="13"/>
      <c r="DP9" s="13"/>
      <c r="DQ9" s="13"/>
      <c r="DR9" s="13"/>
      <c r="DS9" s="13"/>
      <c r="DT9" s="13"/>
      <c r="DU9" s="13"/>
      <c r="DV9" s="13"/>
      <c r="DW9" s="13"/>
    </row>
    <row r="10" spans="1:127">
      <c r="A10" s="13" t="str">
        <f>Schedule_Data_ScenarioB!A11</f>
        <v>SAIL-01</v>
      </c>
      <c r="B10" s="13" t="str">
        <f>Schedule_Data_ScenarioB!B11</f>
        <v>1.0</v>
      </c>
      <c r="C10" s="13" t="str">
        <f>Schedule_Data_ScenarioB!C11</f>
        <v>Sail-away MZP→AGI</v>
      </c>
      <c r="D10" s="23" t="str">
        <f>Schedule_Data_ScenarioB!D11</f>
        <v>SAIL</v>
      </c>
      <c r="E10" s="33">
        <f>Schedule_Data_ScenarioB!F11</f>
        <v>46043</v>
      </c>
      <c r="F10" s="33">
        <f>Schedule_Data_ScenarioB!G11</f>
        <v>46043</v>
      </c>
      <c r="G10" s="13">
        <f>Schedule_Data_ScenarioB!H11</f>
        <v>0</v>
      </c>
      <c r="H10" s="13"/>
      <c r="I10" s="13"/>
      <c r="J10" s="13"/>
      <c r="K10" s="13"/>
      <c r="L10" s="13"/>
      <c r="M10" s="13"/>
      <c r="N10" s="23"/>
      <c r="O10" s="13"/>
      <c r="P10" s="13"/>
      <c r="Q10" s="13"/>
      <c r="R10" s="13"/>
      <c r="S10" s="13"/>
      <c r="T10" s="13"/>
      <c r="U10" s="13"/>
      <c r="V10" s="13"/>
      <c r="W10" s="13"/>
      <c r="X10" s="13"/>
      <c r="Y10" s="13"/>
      <c r="Z10" s="13"/>
      <c r="AA10" s="13"/>
      <c r="AB10" s="13"/>
      <c r="AC10" s="13"/>
      <c r="AD10" s="13"/>
      <c r="AE10" s="13"/>
      <c r="AF10" s="13"/>
      <c r="AG10" s="13"/>
      <c r="AH10" s="13"/>
      <c r="AI10" s="13"/>
      <c r="AJ10" s="13"/>
      <c r="AK10" s="13"/>
      <c r="AL10" s="13"/>
      <c r="AM10" s="13"/>
      <c r="AN10" s="13"/>
      <c r="AO10" s="13"/>
      <c r="AP10" s="13"/>
      <c r="AQ10" s="13"/>
      <c r="AR10" s="13"/>
      <c r="AS10" s="13"/>
      <c r="AT10" s="13"/>
      <c r="AU10" s="13"/>
      <c r="AV10" s="13"/>
      <c r="AW10" s="13"/>
      <c r="AX10" s="13"/>
      <c r="AY10" s="13"/>
      <c r="AZ10" s="13"/>
      <c r="BA10" s="13"/>
      <c r="BB10" s="13"/>
      <c r="BC10" s="13"/>
      <c r="BD10" s="13"/>
      <c r="BE10" s="13"/>
      <c r="BF10" s="13"/>
      <c r="BG10" s="13"/>
      <c r="BH10" s="13"/>
      <c r="BI10" s="13"/>
      <c r="BJ10" s="13"/>
      <c r="BK10" s="13"/>
      <c r="BL10" s="13"/>
      <c r="BM10" s="13"/>
      <c r="BN10" s="13"/>
      <c r="BO10" s="13"/>
      <c r="BP10" s="13"/>
      <c r="BQ10" s="13"/>
      <c r="BR10" s="13"/>
      <c r="BS10" s="13"/>
      <c r="BT10" s="13"/>
      <c r="BU10" s="13"/>
      <c r="BV10" s="13"/>
      <c r="BW10" s="13"/>
      <c r="BX10" s="13"/>
      <c r="BY10" s="13"/>
      <c r="BZ10" s="13"/>
      <c r="CA10" s="13"/>
      <c r="CB10" s="13"/>
      <c r="CC10" s="13"/>
      <c r="CD10" s="13"/>
      <c r="CE10" s="13"/>
      <c r="CF10" s="13"/>
      <c r="CG10" s="13"/>
      <c r="CH10" s="13"/>
      <c r="CI10" s="13"/>
      <c r="CJ10" s="13"/>
      <c r="CK10" s="13"/>
      <c r="CL10" s="13"/>
      <c r="CM10" s="13"/>
      <c r="CN10" s="13"/>
      <c r="CO10" s="13"/>
      <c r="CP10" s="13"/>
      <c r="CQ10" s="13"/>
      <c r="CR10" s="13"/>
      <c r="CS10" s="13"/>
      <c r="CT10" s="13"/>
      <c r="CU10" s="13"/>
      <c r="CV10" s="13"/>
      <c r="CW10" s="13"/>
      <c r="CX10" s="13"/>
      <c r="CY10" s="13"/>
      <c r="CZ10" s="13"/>
      <c r="DA10" s="13"/>
      <c r="DB10" s="13"/>
      <c r="DC10" s="13"/>
      <c r="DD10" s="13"/>
      <c r="DE10" s="13"/>
      <c r="DF10" s="13"/>
      <c r="DG10" s="13"/>
      <c r="DH10" s="13"/>
      <c r="DI10" s="13"/>
      <c r="DJ10" s="13"/>
      <c r="DK10" s="13"/>
      <c r="DL10" s="13"/>
      <c r="DM10" s="13"/>
      <c r="DN10" s="13"/>
      <c r="DO10" s="13"/>
      <c r="DP10" s="13"/>
      <c r="DQ10" s="13"/>
      <c r="DR10" s="13"/>
      <c r="DS10" s="13"/>
      <c r="DT10" s="13"/>
      <c r="DU10" s="13"/>
      <c r="DV10" s="13"/>
      <c r="DW10" s="13"/>
    </row>
    <row r="11" spans="1:127">
      <c r="A11" s="13" t="str">
        <f>Schedule_Data_ScenarioB!A12</f>
        <v>UL-01-1</v>
      </c>
      <c r="B11" s="13" t="str">
        <f>Schedule_Data_ScenarioB!B12</f>
        <v>1.0</v>
      </c>
      <c r="C11" s="13" t="str">
        <f>Schedule_Data_ScenarioB!C12</f>
        <v>Unload TR1 at AGI (1 unit/day)</v>
      </c>
      <c r="D11" s="24" t="str">
        <f>Schedule_Data_ScenarioB!D12</f>
        <v>AGI_UNLOAD</v>
      </c>
      <c r="E11" s="33">
        <f>Schedule_Data_ScenarioB!F12</f>
        <v>46044</v>
      </c>
      <c r="F11" s="33">
        <f>Schedule_Data_ScenarioB!G12</f>
        <v>46044</v>
      </c>
      <c r="G11" s="13">
        <f>Schedule_Data_ScenarioB!H12</f>
        <v>0</v>
      </c>
      <c r="H11" s="13"/>
      <c r="I11" s="13"/>
      <c r="J11" s="13"/>
      <c r="K11" s="13"/>
      <c r="L11" s="13"/>
      <c r="M11" s="13"/>
      <c r="N11" s="13"/>
      <c r="O11" s="24"/>
      <c r="P11" s="13"/>
      <c r="Q11" s="13"/>
      <c r="R11" s="13"/>
      <c r="S11" s="13"/>
      <c r="T11" s="13"/>
      <c r="U11" s="13"/>
      <c r="V11" s="13"/>
      <c r="W11" s="13"/>
      <c r="X11" s="13"/>
      <c r="Y11" s="13"/>
      <c r="Z11" s="13"/>
      <c r="AA11" s="13"/>
      <c r="AB11" s="13"/>
      <c r="AC11" s="13"/>
      <c r="AD11" s="13"/>
      <c r="AE11" s="13"/>
      <c r="AF11" s="13"/>
      <c r="AG11" s="13"/>
      <c r="AH11" s="13"/>
      <c r="AI11" s="13"/>
      <c r="AJ11" s="13"/>
      <c r="AK11" s="13"/>
      <c r="AL11" s="13"/>
      <c r="AM11" s="13"/>
      <c r="AN11" s="13"/>
      <c r="AO11" s="13"/>
      <c r="AP11" s="13"/>
      <c r="AQ11" s="13"/>
      <c r="AR11" s="13"/>
      <c r="AS11" s="13"/>
      <c r="AT11" s="13"/>
      <c r="AU11" s="13"/>
      <c r="AV11" s="13"/>
      <c r="AW11" s="13"/>
      <c r="AX11" s="13"/>
      <c r="AY11" s="13"/>
      <c r="AZ11" s="13"/>
      <c r="BA11" s="13"/>
      <c r="BB11" s="13"/>
      <c r="BC11" s="13"/>
      <c r="BD11" s="13"/>
      <c r="BE11" s="13"/>
      <c r="BF11" s="13"/>
      <c r="BG11" s="13"/>
      <c r="BH11" s="13"/>
      <c r="BI11" s="13"/>
      <c r="BJ11" s="13"/>
      <c r="BK11" s="13"/>
      <c r="BL11" s="13"/>
      <c r="BM11" s="13"/>
      <c r="BN11" s="13"/>
      <c r="BO11" s="13"/>
      <c r="BP11" s="13"/>
      <c r="BQ11" s="13"/>
      <c r="BR11" s="13"/>
      <c r="BS11" s="13"/>
      <c r="BT11" s="13"/>
      <c r="BU11" s="13"/>
      <c r="BV11" s="13"/>
      <c r="BW11" s="13"/>
      <c r="BX11" s="13"/>
      <c r="BY11" s="13"/>
      <c r="BZ11" s="13"/>
      <c r="CA11" s="13"/>
      <c r="CB11" s="13"/>
      <c r="CC11" s="13"/>
      <c r="CD11" s="13"/>
      <c r="CE11" s="13"/>
      <c r="CF11" s="13"/>
      <c r="CG11" s="13"/>
      <c r="CH11" s="13"/>
      <c r="CI11" s="13"/>
      <c r="CJ11" s="13"/>
      <c r="CK11" s="13"/>
      <c r="CL11" s="13"/>
      <c r="CM11" s="13"/>
      <c r="CN11" s="13"/>
      <c r="CO11" s="13"/>
      <c r="CP11" s="13"/>
      <c r="CQ11" s="13"/>
      <c r="CR11" s="13"/>
      <c r="CS11" s="13"/>
      <c r="CT11" s="13"/>
      <c r="CU11" s="13"/>
      <c r="CV11" s="13"/>
      <c r="CW11" s="13"/>
      <c r="CX11" s="13"/>
      <c r="CY11" s="13"/>
      <c r="CZ11" s="13"/>
      <c r="DA11" s="13"/>
      <c r="DB11" s="13"/>
      <c r="DC11" s="13"/>
      <c r="DD11" s="13"/>
      <c r="DE11" s="13"/>
      <c r="DF11" s="13"/>
      <c r="DG11" s="13"/>
      <c r="DH11" s="13"/>
      <c r="DI11" s="13"/>
      <c r="DJ11" s="13"/>
      <c r="DK11" s="13"/>
      <c r="DL11" s="13"/>
      <c r="DM11" s="13"/>
      <c r="DN11" s="13"/>
      <c r="DO11" s="13"/>
      <c r="DP11" s="13"/>
      <c r="DQ11" s="13"/>
      <c r="DR11" s="13"/>
      <c r="DS11" s="13"/>
      <c r="DT11" s="13"/>
      <c r="DU11" s="13"/>
      <c r="DV11" s="13"/>
      <c r="DW11" s="13"/>
    </row>
    <row r="12" spans="1:127">
      <c r="A12" s="13" t="str">
        <f>Schedule_Data_ScenarioB!A13</f>
        <v>TURN-01-1</v>
      </c>
      <c r="B12" s="13" t="str">
        <f>Schedule_Data_ScenarioB!B13</f>
        <v>1.0</v>
      </c>
      <c r="C12" s="13" t="str">
        <f>Schedule_Data_ScenarioB!C13</f>
        <v>Turning TR1 (90°)</v>
      </c>
      <c r="D12" s="26" t="str">
        <f>Schedule_Data_ScenarioB!D13</f>
        <v>TURNING</v>
      </c>
      <c r="E12" s="33">
        <f>Schedule_Data_ScenarioB!F13</f>
        <v>46045</v>
      </c>
      <c r="F12" s="33">
        <f>Schedule_Data_ScenarioB!G13</f>
        <v>46045</v>
      </c>
      <c r="G12" s="13">
        <f>Schedule_Data_ScenarioB!H13</f>
        <v>0</v>
      </c>
      <c r="H12" s="13"/>
      <c r="I12" s="13"/>
      <c r="J12" s="13"/>
      <c r="K12" s="13"/>
      <c r="L12" s="13"/>
      <c r="M12" s="13"/>
      <c r="N12" s="13"/>
      <c r="O12" s="13"/>
      <c r="P12" s="26"/>
      <c r="Q12" s="13"/>
      <c r="R12" s="13"/>
      <c r="S12" s="13"/>
      <c r="T12" s="13"/>
      <c r="U12" s="13"/>
      <c r="V12" s="13"/>
      <c r="W12" s="13"/>
      <c r="X12" s="13"/>
      <c r="Y12" s="13"/>
      <c r="Z12" s="13"/>
      <c r="AA12" s="13"/>
      <c r="AB12" s="13"/>
      <c r="AC12" s="13"/>
      <c r="AD12" s="13"/>
      <c r="AE12" s="13"/>
      <c r="AF12" s="13"/>
      <c r="AG12" s="13"/>
      <c r="AH12" s="13"/>
      <c r="AI12" s="13"/>
      <c r="AJ12" s="13"/>
      <c r="AK12" s="13"/>
      <c r="AL12" s="13"/>
      <c r="AM12" s="13"/>
      <c r="AN12" s="13"/>
      <c r="AO12" s="13"/>
      <c r="AP12" s="13"/>
      <c r="AQ12" s="13"/>
      <c r="AR12" s="13"/>
      <c r="AS12" s="13"/>
      <c r="AT12" s="13"/>
      <c r="AU12" s="13"/>
      <c r="AV12" s="13"/>
      <c r="AW12" s="13"/>
      <c r="AX12" s="13"/>
      <c r="AY12" s="13"/>
      <c r="AZ12" s="13"/>
      <c r="BA12" s="13"/>
      <c r="BB12" s="13"/>
      <c r="BC12" s="13"/>
      <c r="BD12" s="13"/>
      <c r="BE12" s="13"/>
      <c r="BF12" s="13"/>
      <c r="BG12" s="13"/>
      <c r="BH12" s="13"/>
      <c r="BI12" s="13"/>
      <c r="BJ12" s="13"/>
      <c r="BK12" s="13"/>
      <c r="BL12" s="13"/>
      <c r="BM12" s="13"/>
      <c r="BN12" s="13"/>
      <c r="BO12" s="13"/>
      <c r="BP12" s="13"/>
      <c r="BQ12" s="13"/>
      <c r="BR12" s="13"/>
      <c r="BS12" s="13"/>
      <c r="BT12" s="13"/>
      <c r="BU12" s="13"/>
      <c r="BV12" s="13"/>
      <c r="BW12" s="13"/>
      <c r="BX12" s="13"/>
      <c r="BY12" s="13"/>
      <c r="BZ12" s="13"/>
      <c r="CA12" s="13"/>
      <c r="CB12" s="13"/>
      <c r="CC12" s="13"/>
      <c r="CD12" s="13"/>
      <c r="CE12" s="13"/>
      <c r="CF12" s="13"/>
      <c r="CG12" s="13"/>
      <c r="CH12" s="13"/>
      <c r="CI12" s="13"/>
      <c r="CJ12" s="13"/>
      <c r="CK12" s="13"/>
      <c r="CL12" s="13"/>
      <c r="CM12" s="13"/>
      <c r="CN12" s="13"/>
      <c r="CO12" s="13"/>
      <c r="CP12" s="13"/>
      <c r="CQ12" s="13"/>
      <c r="CR12" s="13"/>
      <c r="CS12" s="13"/>
      <c r="CT12" s="13"/>
      <c r="CU12" s="13"/>
      <c r="CV12" s="13"/>
      <c r="CW12" s="13"/>
      <c r="CX12" s="13"/>
      <c r="CY12" s="13"/>
      <c r="CZ12" s="13"/>
      <c r="DA12" s="13"/>
      <c r="DB12" s="13"/>
      <c r="DC12" s="13"/>
      <c r="DD12" s="13"/>
      <c r="DE12" s="13"/>
      <c r="DF12" s="13"/>
      <c r="DG12" s="13"/>
      <c r="DH12" s="13"/>
      <c r="DI12" s="13"/>
      <c r="DJ12" s="13"/>
      <c r="DK12" s="13"/>
      <c r="DL12" s="13"/>
      <c r="DM12" s="13"/>
      <c r="DN12" s="13"/>
      <c r="DO12" s="13"/>
      <c r="DP12" s="13"/>
      <c r="DQ12" s="13"/>
      <c r="DR12" s="13"/>
      <c r="DS12" s="13"/>
      <c r="DT12" s="13"/>
      <c r="DU12" s="13"/>
      <c r="DV12" s="13"/>
      <c r="DW12" s="13"/>
    </row>
    <row r="13" spans="1:127">
      <c r="A13" s="13" t="str">
        <f>Schedule_Data_ScenarioB!A14</f>
        <v>JD-01-1</v>
      </c>
      <c r="B13" s="13" t="str">
        <f>Schedule_Data_ScenarioB!B14</f>
        <v>1.0</v>
      </c>
      <c r="C13" s="13" t="str">
        <f>Schedule_Data_ScenarioB!C14</f>
        <v>Jackdown TR1</v>
      </c>
      <c r="D13" s="42" t="str">
        <f>Schedule_Data_ScenarioB!D14</f>
        <v>JACKDOWN</v>
      </c>
      <c r="E13" s="33">
        <f>Schedule_Data_ScenarioB!F14</f>
        <v>46048</v>
      </c>
      <c r="F13" s="33">
        <f>Schedule_Data_ScenarioB!G14</f>
        <v>46048</v>
      </c>
      <c r="G13" s="13">
        <f>Schedule_Data_ScenarioB!H14</f>
        <v>0</v>
      </c>
      <c r="H13" s="13"/>
      <c r="I13" s="13"/>
      <c r="J13" s="13"/>
      <c r="K13" s="13"/>
      <c r="L13" s="13"/>
      <c r="M13" s="13"/>
      <c r="N13" s="13"/>
      <c r="O13" s="13"/>
      <c r="P13" s="13"/>
      <c r="Q13" s="13"/>
      <c r="R13" s="13"/>
      <c r="S13" s="42"/>
      <c r="T13" s="13"/>
      <c r="U13" s="13"/>
      <c r="V13" s="13"/>
      <c r="W13" s="13"/>
      <c r="X13" s="13"/>
      <c r="Y13" s="13"/>
      <c r="Z13" s="13"/>
      <c r="AA13" s="13"/>
      <c r="AB13" s="13"/>
      <c r="AC13" s="13"/>
      <c r="AD13" s="13"/>
      <c r="AE13" s="13"/>
      <c r="AF13" s="13"/>
      <c r="AG13" s="13"/>
      <c r="AH13" s="13"/>
      <c r="AI13" s="13"/>
      <c r="AJ13" s="13"/>
      <c r="AK13" s="13"/>
      <c r="AL13" s="13"/>
      <c r="AM13" s="13"/>
      <c r="AN13" s="13"/>
      <c r="AO13" s="13"/>
      <c r="AP13" s="13"/>
      <c r="AQ13" s="13"/>
      <c r="AR13" s="13"/>
      <c r="AS13" s="13"/>
      <c r="AT13" s="13"/>
      <c r="AU13" s="13"/>
      <c r="AV13" s="13"/>
      <c r="AW13" s="13"/>
      <c r="AX13" s="13"/>
      <c r="AY13" s="13"/>
      <c r="AZ13" s="13"/>
      <c r="BA13" s="13"/>
      <c r="BB13" s="13"/>
      <c r="BC13" s="13"/>
      <c r="BD13" s="13"/>
      <c r="BE13" s="13"/>
      <c r="BF13" s="13"/>
      <c r="BG13" s="13"/>
      <c r="BH13" s="13"/>
      <c r="BI13" s="13"/>
      <c r="BJ13" s="13"/>
      <c r="BK13" s="13"/>
      <c r="BL13" s="13"/>
      <c r="BM13" s="13"/>
      <c r="BN13" s="13"/>
      <c r="BO13" s="13"/>
      <c r="BP13" s="13"/>
      <c r="BQ13" s="13"/>
      <c r="BR13" s="13"/>
      <c r="BS13" s="13"/>
      <c r="BT13" s="13"/>
      <c r="BU13" s="13"/>
      <c r="BV13" s="13"/>
      <c r="BW13" s="13"/>
      <c r="BX13" s="13"/>
      <c r="BY13" s="13"/>
      <c r="BZ13" s="13"/>
      <c r="CA13" s="13"/>
      <c r="CB13" s="13"/>
      <c r="CC13" s="13"/>
      <c r="CD13" s="13"/>
      <c r="CE13" s="13"/>
      <c r="CF13" s="13"/>
      <c r="CG13" s="13"/>
      <c r="CH13" s="13"/>
      <c r="CI13" s="13"/>
      <c r="CJ13" s="13"/>
      <c r="CK13" s="13"/>
      <c r="CL13" s="13"/>
      <c r="CM13" s="13"/>
      <c r="CN13" s="13"/>
      <c r="CO13" s="13"/>
      <c r="CP13" s="13"/>
      <c r="CQ13" s="13"/>
      <c r="CR13" s="13"/>
      <c r="CS13" s="13"/>
      <c r="CT13" s="13"/>
      <c r="CU13" s="13"/>
      <c r="CV13" s="13"/>
      <c r="CW13" s="13"/>
      <c r="CX13" s="13"/>
      <c r="CY13" s="13"/>
      <c r="CZ13" s="13"/>
      <c r="DA13" s="13"/>
      <c r="DB13" s="13"/>
      <c r="DC13" s="13"/>
      <c r="DD13" s="13"/>
      <c r="DE13" s="13"/>
      <c r="DF13" s="13"/>
      <c r="DG13" s="13"/>
      <c r="DH13" s="13"/>
      <c r="DI13" s="13"/>
      <c r="DJ13" s="13"/>
      <c r="DK13" s="13"/>
      <c r="DL13" s="13"/>
      <c r="DM13" s="13"/>
      <c r="DN13" s="13"/>
      <c r="DO13" s="13"/>
      <c r="DP13" s="13"/>
      <c r="DQ13" s="13"/>
      <c r="DR13" s="13"/>
      <c r="DS13" s="13"/>
      <c r="DT13" s="13"/>
      <c r="DU13" s="13"/>
      <c r="DV13" s="13"/>
      <c r="DW13" s="13"/>
    </row>
    <row r="14" spans="1:127">
      <c r="A14" s="13" t="str">
        <f>Schedule_Data_ScenarioB!A15</f>
        <v>RET-01</v>
      </c>
      <c r="B14" s="13" t="str">
        <f>Schedule_Data_ScenarioB!B15</f>
        <v>1.0</v>
      </c>
      <c r="C14" s="13" t="str">
        <f>Schedule_Data_ScenarioB!C15</f>
        <v>LCT Return AGI→MZP</v>
      </c>
      <c r="D14" s="25" t="str">
        <f>Schedule_Data_ScenarioB!D15</f>
        <v>RETURN</v>
      </c>
      <c r="E14" s="33">
        <f>Schedule_Data_ScenarioB!F15</f>
        <v>46049</v>
      </c>
      <c r="F14" s="33">
        <f>Schedule_Data_ScenarioB!G15</f>
        <v>46049</v>
      </c>
      <c r="G14" s="13">
        <f>Schedule_Data_ScenarioB!H15</f>
        <v>0</v>
      </c>
      <c r="H14" s="13"/>
      <c r="I14" s="13"/>
      <c r="J14" s="13"/>
      <c r="K14" s="13"/>
      <c r="L14" s="13"/>
      <c r="M14" s="13"/>
      <c r="N14" s="13"/>
      <c r="O14" s="13"/>
      <c r="P14" s="13"/>
      <c r="Q14" s="13"/>
      <c r="R14" s="13"/>
      <c r="S14" s="13"/>
      <c r="T14" s="25"/>
      <c r="U14" s="13"/>
      <c r="V14" s="13"/>
      <c r="W14" s="13"/>
      <c r="X14" s="13"/>
      <c r="Y14" s="13"/>
      <c r="Z14" s="13"/>
      <c r="AA14" s="13"/>
      <c r="AB14" s="13"/>
      <c r="AC14" s="13"/>
      <c r="AD14" s="13"/>
      <c r="AE14" s="13"/>
      <c r="AF14" s="13"/>
      <c r="AG14" s="13"/>
      <c r="AH14" s="13"/>
      <c r="AI14" s="13"/>
      <c r="AJ14" s="13"/>
      <c r="AK14" s="13"/>
      <c r="AL14" s="13"/>
      <c r="AM14" s="13"/>
      <c r="AN14" s="13"/>
      <c r="AO14" s="13"/>
      <c r="AP14" s="13"/>
      <c r="AQ14" s="13"/>
      <c r="AR14" s="13"/>
      <c r="AS14" s="13"/>
      <c r="AT14" s="13"/>
      <c r="AU14" s="13"/>
      <c r="AV14" s="13"/>
      <c r="AW14" s="13"/>
      <c r="AX14" s="13"/>
      <c r="AY14" s="13"/>
      <c r="AZ14" s="13"/>
      <c r="BA14" s="13"/>
      <c r="BB14" s="13"/>
      <c r="BC14" s="13"/>
      <c r="BD14" s="13"/>
      <c r="BE14" s="13"/>
      <c r="BF14" s="13"/>
      <c r="BG14" s="13"/>
      <c r="BH14" s="13"/>
      <c r="BI14" s="13"/>
      <c r="BJ14" s="13"/>
      <c r="BK14" s="13"/>
      <c r="BL14" s="13"/>
      <c r="BM14" s="13"/>
      <c r="BN14" s="13"/>
      <c r="BO14" s="13"/>
      <c r="BP14" s="13"/>
      <c r="BQ14" s="13"/>
      <c r="BR14" s="13"/>
      <c r="BS14" s="13"/>
      <c r="BT14" s="13"/>
      <c r="BU14" s="13"/>
      <c r="BV14" s="13"/>
      <c r="BW14" s="13"/>
      <c r="BX14" s="13"/>
      <c r="BY14" s="13"/>
      <c r="BZ14" s="13"/>
      <c r="CA14" s="13"/>
      <c r="CB14" s="13"/>
      <c r="CC14" s="13"/>
      <c r="CD14" s="13"/>
      <c r="CE14" s="13"/>
      <c r="CF14" s="13"/>
      <c r="CG14" s="13"/>
      <c r="CH14" s="13"/>
      <c r="CI14" s="13"/>
      <c r="CJ14" s="13"/>
      <c r="CK14" s="13"/>
      <c r="CL14" s="13"/>
      <c r="CM14" s="13"/>
      <c r="CN14" s="13"/>
      <c r="CO14" s="13"/>
      <c r="CP14" s="13"/>
      <c r="CQ14" s="13"/>
      <c r="CR14" s="13"/>
      <c r="CS14" s="13"/>
      <c r="CT14" s="13"/>
      <c r="CU14" s="13"/>
      <c r="CV14" s="13"/>
      <c r="CW14" s="13"/>
      <c r="CX14" s="13"/>
      <c r="CY14" s="13"/>
      <c r="CZ14" s="13"/>
      <c r="DA14" s="13"/>
      <c r="DB14" s="13"/>
      <c r="DC14" s="13"/>
      <c r="DD14" s="13"/>
      <c r="DE14" s="13"/>
      <c r="DF14" s="13"/>
      <c r="DG14" s="13"/>
      <c r="DH14" s="13"/>
      <c r="DI14" s="13"/>
      <c r="DJ14" s="13"/>
      <c r="DK14" s="13"/>
      <c r="DL14" s="13"/>
      <c r="DM14" s="13"/>
      <c r="DN14" s="13"/>
      <c r="DO14" s="13"/>
      <c r="DP14" s="13"/>
      <c r="DQ14" s="13"/>
      <c r="DR14" s="13"/>
      <c r="DS14" s="13"/>
      <c r="DT14" s="13"/>
      <c r="DU14" s="13"/>
      <c r="DV14" s="13"/>
      <c r="DW14" s="13"/>
    </row>
    <row r="15" spans="1:127">
      <c r="A15" s="13" t="str">
        <f>Schedule_Data_ScenarioB!A16</f>
        <v>BUF-01</v>
      </c>
      <c r="B15" s="13" t="str">
        <f>Schedule_Data_ScenarioB!B16</f>
        <v>1.0</v>
      </c>
      <c r="C15" s="13" t="str">
        <f>Schedule_Data_ScenarioB!C16</f>
        <v>Buffer / reset</v>
      </c>
      <c r="D15" s="22" t="str">
        <f>Schedule_Data_ScenarioB!D16</f>
        <v>BUFFER</v>
      </c>
      <c r="E15" s="33">
        <f>Schedule_Data_ScenarioB!F16</f>
        <v>46050</v>
      </c>
      <c r="F15" s="33">
        <f>Schedule_Data_ScenarioB!G16</f>
        <v>46050</v>
      </c>
      <c r="G15" s="13">
        <f>Schedule_Data_ScenarioB!H16</f>
        <v>0</v>
      </c>
      <c r="H15" s="13"/>
      <c r="I15" s="13"/>
      <c r="J15" s="13"/>
      <c r="K15" s="13"/>
      <c r="L15" s="13"/>
      <c r="M15" s="13"/>
      <c r="N15" s="13"/>
      <c r="O15" s="13"/>
      <c r="P15" s="13"/>
      <c r="Q15" s="13"/>
      <c r="R15" s="13"/>
      <c r="S15" s="13"/>
      <c r="T15" s="13"/>
      <c r="U15" s="22"/>
      <c r="V15" s="13"/>
      <c r="W15" s="13"/>
      <c r="X15" s="13"/>
      <c r="Y15" s="13"/>
      <c r="Z15" s="13"/>
      <c r="AA15" s="13"/>
      <c r="AB15" s="13"/>
      <c r="AC15" s="13"/>
      <c r="AD15" s="13"/>
      <c r="AE15" s="13"/>
      <c r="AF15" s="13"/>
      <c r="AG15" s="13"/>
      <c r="AH15" s="13"/>
      <c r="AI15" s="13"/>
      <c r="AJ15" s="13"/>
      <c r="AK15" s="13"/>
      <c r="AL15" s="13"/>
      <c r="AM15" s="13"/>
      <c r="AN15" s="13"/>
      <c r="AO15" s="13"/>
      <c r="AP15" s="13"/>
      <c r="AQ15" s="13"/>
      <c r="AR15" s="13"/>
      <c r="AS15" s="13"/>
      <c r="AT15" s="13"/>
      <c r="AU15" s="13"/>
      <c r="AV15" s="13"/>
      <c r="AW15" s="13"/>
      <c r="AX15" s="13"/>
      <c r="AY15" s="13"/>
      <c r="AZ15" s="13"/>
      <c r="BA15" s="13"/>
      <c r="BB15" s="13"/>
      <c r="BC15" s="13"/>
      <c r="BD15" s="13"/>
      <c r="BE15" s="13"/>
      <c r="BF15" s="13"/>
      <c r="BG15" s="13"/>
      <c r="BH15" s="13"/>
      <c r="BI15" s="13"/>
      <c r="BJ15" s="13"/>
      <c r="BK15" s="13"/>
      <c r="BL15" s="13"/>
      <c r="BM15" s="13"/>
      <c r="BN15" s="13"/>
      <c r="BO15" s="13"/>
      <c r="BP15" s="13"/>
      <c r="BQ15" s="13"/>
      <c r="BR15" s="13"/>
      <c r="BS15" s="13"/>
      <c r="BT15" s="13"/>
      <c r="BU15" s="13"/>
      <c r="BV15" s="13"/>
      <c r="BW15" s="13"/>
      <c r="BX15" s="13"/>
      <c r="BY15" s="13"/>
      <c r="BZ15" s="13"/>
      <c r="CA15" s="13"/>
      <c r="CB15" s="13"/>
      <c r="CC15" s="13"/>
      <c r="CD15" s="13"/>
      <c r="CE15" s="13"/>
      <c r="CF15" s="13"/>
      <c r="CG15" s="13"/>
      <c r="CH15" s="13"/>
      <c r="CI15" s="13"/>
      <c r="CJ15" s="13"/>
      <c r="CK15" s="13"/>
      <c r="CL15" s="13"/>
      <c r="CM15" s="13"/>
      <c r="CN15" s="13"/>
      <c r="CO15" s="13"/>
      <c r="CP15" s="13"/>
      <c r="CQ15" s="13"/>
      <c r="CR15" s="13"/>
      <c r="CS15" s="13"/>
      <c r="CT15" s="13"/>
      <c r="CU15" s="13"/>
      <c r="CV15" s="13"/>
      <c r="CW15" s="13"/>
      <c r="CX15" s="13"/>
      <c r="CY15" s="13"/>
      <c r="CZ15" s="13"/>
      <c r="DA15" s="13"/>
      <c r="DB15" s="13"/>
      <c r="DC15" s="13"/>
      <c r="DD15" s="13"/>
      <c r="DE15" s="13"/>
      <c r="DF15" s="13"/>
      <c r="DG15" s="13"/>
      <c r="DH15" s="13"/>
      <c r="DI15" s="13"/>
      <c r="DJ15" s="13"/>
      <c r="DK15" s="13"/>
      <c r="DL15" s="13"/>
      <c r="DM15" s="13"/>
      <c r="DN15" s="13"/>
      <c r="DO15" s="13"/>
      <c r="DP15" s="13"/>
      <c r="DQ15" s="13"/>
      <c r="DR15" s="13"/>
      <c r="DS15" s="13"/>
      <c r="DT15" s="13"/>
      <c r="DU15" s="13"/>
      <c r="DV15" s="13"/>
      <c r="DW15" s="13"/>
    </row>
    <row r="16" spans="1:127">
      <c r="A16" s="13" t="str">
        <f>Schedule_Data_ScenarioB!A17</f>
        <v>V2</v>
      </c>
      <c r="B16" s="13" t="str">
        <f>Schedule_Data_ScenarioB!B17</f>
        <v>2.0</v>
      </c>
      <c r="C16" s="13" t="str">
        <f>Schedule_Data_ScenarioB!C17</f>
        <v>VOYAGE 2: TR2-TR3 Transport</v>
      </c>
      <c r="D16" s="34" t="str">
        <f>Schedule_Data_ScenarioB!D17</f>
        <v>MILESTONE</v>
      </c>
      <c r="E16" s="33">
        <f>Schedule_Data_ScenarioB!F17</f>
        <v>46051</v>
      </c>
      <c r="F16" s="33">
        <f>Schedule_Data_ScenarioB!G17</f>
        <v>46051</v>
      </c>
      <c r="G16" s="13">
        <f>Schedule_Data_ScenarioB!H17</f>
        <v>0</v>
      </c>
      <c r="H16" s="13"/>
      <c r="I16" s="13"/>
      <c r="J16" s="13"/>
      <c r="K16" s="13"/>
      <c r="L16" s="13"/>
      <c r="M16" s="13"/>
      <c r="N16" s="13"/>
      <c r="O16" s="13"/>
      <c r="P16" s="13"/>
      <c r="Q16" s="13"/>
      <c r="R16" s="13"/>
      <c r="S16" s="13"/>
      <c r="T16" s="13"/>
      <c r="U16" s="13"/>
      <c r="V16" s="35" t="s">
        <v>270</v>
      </c>
      <c r="W16" s="13"/>
      <c r="X16" s="13"/>
      <c r="Y16" s="13"/>
      <c r="Z16" s="13"/>
      <c r="AA16" s="13"/>
      <c r="AB16" s="13"/>
      <c r="AC16" s="13"/>
      <c r="AD16" s="13"/>
      <c r="AE16" s="13"/>
      <c r="AF16" s="13"/>
      <c r="AG16" s="13"/>
      <c r="AH16" s="13"/>
      <c r="AI16" s="13"/>
      <c r="AJ16" s="13"/>
      <c r="AK16" s="13"/>
      <c r="AL16" s="13"/>
      <c r="AM16" s="13"/>
      <c r="AN16" s="13"/>
      <c r="AO16" s="13"/>
      <c r="AP16" s="13"/>
      <c r="AQ16" s="13"/>
      <c r="AR16" s="13"/>
      <c r="AS16" s="13"/>
      <c r="AT16" s="13"/>
      <c r="AU16" s="13"/>
      <c r="AV16" s="13"/>
      <c r="AW16" s="13"/>
      <c r="AX16" s="13"/>
      <c r="AY16" s="13"/>
      <c r="AZ16" s="13"/>
      <c r="BA16" s="13"/>
      <c r="BB16" s="13"/>
      <c r="BC16" s="13"/>
      <c r="BD16" s="13"/>
      <c r="BE16" s="13"/>
      <c r="BF16" s="13"/>
      <c r="BG16" s="13"/>
      <c r="BH16" s="13"/>
      <c r="BI16" s="13"/>
      <c r="BJ16" s="13"/>
      <c r="BK16" s="13"/>
      <c r="BL16" s="13"/>
      <c r="BM16" s="13"/>
      <c r="BN16" s="13"/>
      <c r="BO16" s="13"/>
      <c r="BP16" s="13"/>
      <c r="BQ16" s="13"/>
      <c r="BR16" s="13"/>
      <c r="BS16" s="13"/>
      <c r="BT16" s="13"/>
      <c r="BU16" s="13"/>
      <c r="BV16" s="13"/>
      <c r="BW16" s="13"/>
      <c r="BX16" s="13"/>
      <c r="BY16" s="13"/>
      <c r="BZ16" s="13"/>
      <c r="CA16" s="13"/>
      <c r="CB16" s="13"/>
      <c r="CC16" s="13"/>
      <c r="CD16" s="13"/>
      <c r="CE16" s="13"/>
      <c r="CF16" s="13"/>
      <c r="CG16" s="13"/>
      <c r="CH16" s="13"/>
      <c r="CI16" s="13"/>
      <c r="CJ16" s="13"/>
      <c r="CK16" s="13"/>
      <c r="CL16" s="13"/>
      <c r="CM16" s="13"/>
      <c r="CN16" s="13"/>
      <c r="CO16" s="13"/>
      <c r="CP16" s="13"/>
      <c r="CQ16" s="13"/>
      <c r="CR16" s="13"/>
      <c r="CS16" s="13"/>
      <c r="CT16" s="13"/>
      <c r="CU16" s="13"/>
      <c r="CV16" s="13"/>
      <c r="CW16" s="13"/>
      <c r="CX16" s="13"/>
      <c r="CY16" s="13"/>
      <c r="CZ16" s="13"/>
      <c r="DA16" s="13"/>
      <c r="DB16" s="13"/>
      <c r="DC16" s="13"/>
      <c r="DD16" s="13"/>
      <c r="DE16" s="13"/>
      <c r="DF16" s="13"/>
      <c r="DG16" s="13"/>
      <c r="DH16" s="13"/>
      <c r="DI16" s="13"/>
      <c r="DJ16" s="13"/>
      <c r="DK16" s="13"/>
      <c r="DL16" s="13"/>
      <c r="DM16" s="13"/>
      <c r="DN16" s="13"/>
      <c r="DO16" s="13"/>
      <c r="DP16" s="13"/>
      <c r="DQ16" s="13"/>
      <c r="DR16" s="13"/>
      <c r="DS16" s="13"/>
      <c r="DT16" s="13"/>
      <c r="DU16" s="13"/>
      <c r="DV16" s="13"/>
      <c r="DW16" s="13"/>
    </row>
    <row r="17" spans="1:127">
      <c r="A17" s="13" t="str">
        <f>Schedule_Data_ScenarioB!A18</f>
        <v>LO-02</v>
      </c>
      <c r="B17" s="13" t="str">
        <f>Schedule_Data_ScenarioB!B18</f>
        <v>2.0</v>
      </c>
      <c r="C17" s="13" t="str">
        <f>Schedule_Data_ScenarioB!C18</f>
        <v>Loadout TR2-TR3 onto LCT</v>
      </c>
      <c r="D17" s="20" t="str">
        <f>Schedule_Data_ScenarioB!D18</f>
        <v>LOADOUT</v>
      </c>
      <c r="E17" s="33">
        <f>Schedule_Data_ScenarioB!F18</f>
        <v>46051</v>
      </c>
      <c r="F17" s="33">
        <f>Schedule_Data_ScenarioB!G18</f>
        <v>46053</v>
      </c>
      <c r="G17" s="13">
        <f>Schedule_Data_ScenarioB!H18</f>
        <v>2</v>
      </c>
      <c r="H17" s="13"/>
      <c r="I17" s="13"/>
      <c r="J17" s="13"/>
      <c r="K17" s="13"/>
      <c r="L17" s="13"/>
      <c r="M17" s="13"/>
      <c r="N17" s="13"/>
      <c r="O17" s="13"/>
      <c r="P17" s="13"/>
      <c r="Q17" s="13"/>
      <c r="R17" s="13"/>
      <c r="S17" s="13"/>
      <c r="T17" s="13"/>
      <c r="U17" s="13"/>
      <c r="V17" s="20"/>
      <c r="W17" s="20"/>
      <c r="X17" s="13"/>
      <c r="Y17" s="13"/>
      <c r="Z17" s="13"/>
      <c r="AA17" s="13"/>
      <c r="AB17" s="13"/>
      <c r="AC17" s="13"/>
      <c r="AD17" s="13"/>
      <c r="AE17" s="13"/>
      <c r="AF17" s="13"/>
      <c r="AG17" s="13"/>
      <c r="AH17" s="13"/>
      <c r="AI17" s="13"/>
      <c r="AJ17" s="13"/>
      <c r="AK17" s="13"/>
      <c r="AL17" s="13"/>
      <c r="AM17" s="13"/>
      <c r="AN17" s="13"/>
      <c r="AO17" s="13"/>
      <c r="AP17" s="13"/>
      <c r="AQ17" s="13"/>
      <c r="AR17" s="13"/>
      <c r="AS17" s="13"/>
      <c r="AT17" s="13"/>
      <c r="AU17" s="13"/>
      <c r="AV17" s="13"/>
      <c r="AW17" s="13"/>
      <c r="AX17" s="13"/>
      <c r="AY17" s="13"/>
      <c r="AZ17" s="13"/>
      <c r="BA17" s="13"/>
      <c r="BB17" s="13"/>
      <c r="BC17" s="13"/>
      <c r="BD17" s="13"/>
      <c r="BE17" s="13"/>
      <c r="BF17" s="13"/>
      <c r="BG17" s="13"/>
      <c r="BH17" s="13"/>
      <c r="BI17" s="13"/>
      <c r="BJ17" s="13"/>
      <c r="BK17" s="13"/>
      <c r="BL17" s="13"/>
      <c r="BM17" s="13"/>
      <c r="BN17" s="13"/>
      <c r="BO17" s="13"/>
      <c r="BP17" s="13"/>
      <c r="BQ17" s="13"/>
      <c r="BR17" s="13"/>
      <c r="BS17" s="13"/>
      <c r="BT17" s="13"/>
      <c r="BU17" s="13"/>
      <c r="BV17" s="13"/>
      <c r="BW17" s="13"/>
      <c r="BX17" s="13"/>
      <c r="BY17" s="13"/>
      <c r="BZ17" s="13"/>
      <c r="CA17" s="13"/>
      <c r="CB17" s="13"/>
      <c r="CC17" s="13"/>
      <c r="CD17" s="13"/>
      <c r="CE17" s="13"/>
      <c r="CF17" s="13"/>
      <c r="CG17" s="13"/>
      <c r="CH17" s="13"/>
      <c r="CI17" s="13"/>
      <c r="CJ17" s="13"/>
      <c r="CK17" s="13"/>
      <c r="CL17" s="13"/>
      <c r="CM17" s="13"/>
      <c r="CN17" s="13"/>
      <c r="CO17" s="13"/>
      <c r="CP17" s="13"/>
      <c r="CQ17" s="13"/>
      <c r="CR17" s="13"/>
      <c r="CS17" s="13"/>
      <c r="CT17" s="13"/>
      <c r="CU17" s="13"/>
      <c r="CV17" s="13"/>
      <c r="CW17" s="13"/>
      <c r="CX17" s="13"/>
      <c r="CY17" s="13"/>
      <c r="CZ17" s="13"/>
      <c r="DA17" s="13"/>
      <c r="DB17" s="13"/>
      <c r="DC17" s="13"/>
      <c r="DD17" s="13"/>
      <c r="DE17" s="13"/>
      <c r="DF17" s="13"/>
      <c r="DG17" s="13"/>
      <c r="DH17" s="13"/>
      <c r="DI17" s="13"/>
      <c r="DJ17" s="13"/>
      <c r="DK17" s="13"/>
      <c r="DL17" s="13"/>
      <c r="DM17" s="13"/>
      <c r="DN17" s="13"/>
      <c r="DO17" s="13"/>
      <c r="DP17" s="13"/>
      <c r="DQ17" s="13"/>
      <c r="DR17" s="13"/>
      <c r="DS17" s="13"/>
      <c r="DT17" s="13"/>
      <c r="DU17" s="13"/>
      <c r="DV17" s="13"/>
      <c r="DW17" s="13"/>
    </row>
    <row r="18" spans="1:127">
      <c r="A18" s="13" t="str">
        <f>Schedule_Data_ScenarioB!A19</f>
        <v>SF-02</v>
      </c>
      <c r="B18" s="13" t="str">
        <f>Schedule_Data_ScenarioB!B19</f>
        <v>2.0</v>
      </c>
      <c r="C18" s="13" t="str">
        <f>Schedule_Data_ScenarioB!C19</f>
        <v>Sea fastening + MWS checks (TR2-TR3)</v>
      </c>
      <c r="D18" s="21" t="str">
        <f>Schedule_Data_ScenarioB!D19</f>
        <v>SEAFAST</v>
      </c>
      <c r="E18" s="33">
        <f>Schedule_Data_ScenarioB!F19</f>
        <v>46053</v>
      </c>
      <c r="F18" s="33">
        <f>Schedule_Data_ScenarioB!G19</f>
        <v>46053</v>
      </c>
      <c r="G18" s="13">
        <f>Schedule_Data_ScenarioB!H19</f>
        <v>0</v>
      </c>
      <c r="H18" s="13"/>
      <c r="I18" s="13"/>
      <c r="J18" s="13"/>
      <c r="K18" s="13"/>
      <c r="L18" s="13"/>
      <c r="M18" s="13"/>
      <c r="N18" s="13"/>
      <c r="O18" s="13"/>
      <c r="P18" s="13"/>
      <c r="Q18" s="13"/>
      <c r="R18" s="13"/>
      <c r="S18" s="13"/>
      <c r="T18" s="13"/>
      <c r="U18" s="13"/>
      <c r="V18" s="13"/>
      <c r="W18" s="13"/>
      <c r="X18" s="21"/>
      <c r="Y18" s="13"/>
      <c r="Z18" s="13"/>
      <c r="AA18" s="13"/>
      <c r="AB18" s="13"/>
      <c r="AC18" s="13"/>
      <c r="AD18" s="13"/>
      <c r="AE18" s="13"/>
      <c r="AF18" s="13"/>
      <c r="AG18" s="13"/>
      <c r="AH18" s="13"/>
      <c r="AI18" s="13"/>
      <c r="AJ18" s="13"/>
      <c r="AK18" s="13"/>
      <c r="AL18" s="13"/>
      <c r="AM18" s="13"/>
      <c r="AN18" s="13"/>
      <c r="AO18" s="13"/>
      <c r="AP18" s="13"/>
      <c r="AQ18" s="13"/>
      <c r="AR18" s="13"/>
      <c r="AS18" s="13"/>
      <c r="AT18" s="13"/>
      <c r="AU18" s="13"/>
      <c r="AV18" s="13"/>
      <c r="AW18" s="13"/>
      <c r="AX18" s="13"/>
      <c r="AY18" s="13"/>
      <c r="AZ18" s="13"/>
      <c r="BA18" s="13"/>
      <c r="BB18" s="13"/>
      <c r="BC18" s="13"/>
      <c r="BD18" s="13"/>
      <c r="BE18" s="13"/>
      <c r="BF18" s="13"/>
      <c r="BG18" s="13"/>
      <c r="BH18" s="13"/>
      <c r="BI18" s="13"/>
      <c r="BJ18" s="13"/>
      <c r="BK18" s="13"/>
      <c r="BL18" s="13"/>
      <c r="BM18" s="13"/>
      <c r="BN18" s="13"/>
      <c r="BO18" s="13"/>
      <c r="BP18" s="13"/>
      <c r="BQ18" s="13"/>
      <c r="BR18" s="13"/>
      <c r="BS18" s="13"/>
      <c r="BT18" s="13"/>
      <c r="BU18" s="13"/>
      <c r="BV18" s="13"/>
      <c r="BW18" s="13"/>
      <c r="BX18" s="13"/>
      <c r="BY18" s="13"/>
      <c r="BZ18" s="13"/>
      <c r="CA18" s="13"/>
      <c r="CB18" s="13"/>
      <c r="CC18" s="13"/>
      <c r="CD18" s="13"/>
      <c r="CE18" s="13"/>
      <c r="CF18" s="13"/>
      <c r="CG18" s="13"/>
      <c r="CH18" s="13"/>
      <c r="CI18" s="13"/>
      <c r="CJ18" s="13"/>
      <c r="CK18" s="13"/>
      <c r="CL18" s="13"/>
      <c r="CM18" s="13"/>
      <c r="CN18" s="13"/>
      <c r="CO18" s="13"/>
      <c r="CP18" s="13"/>
      <c r="CQ18" s="13"/>
      <c r="CR18" s="13"/>
      <c r="CS18" s="13"/>
      <c r="CT18" s="13"/>
      <c r="CU18" s="13"/>
      <c r="CV18" s="13"/>
      <c r="CW18" s="13"/>
      <c r="CX18" s="13"/>
      <c r="CY18" s="13"/>
      <c r="CZ18" s="13"/>
      <c r="DA18" s="13"/>
      <c r="DB18" s="13"/>
      <c r="DC18" s="13"/>
      <c r="DD18" s="13"/>
      <c r="DE18" s="13"/>
      <c r="DF18" s="13"/>
      <c r="DG18" s="13"/>
      <c r="DH18" s="13"/>
      <c r="DI18" s="13"/>
      <c r="DJ18" s="13"/>
      <c r="DK18" s="13"/>
      <c r="DL18" s="13"/>
      <c r="DM18" s="13"/>
      <c r="DN18" s="13"/>
      <c r="DO18" s="13"/>
      <c r="DP18" s="13"/>
      <c r="DQ18" s="13"/>
      <c r="DR18" s="13"/>
      <c r="DS18" s="13"/>
      <c r="DT18" s="13"/>
      <c r="DU18" s="13"/>
      <c r="DV18" s="13"/>
      <c r="DW18" s="13"/>
    </row>
    <row r="19" spans="1:127">
      <c r="A19" s="13" t="str">
        <f>Schedule_Data_ScenarioB!A20</f>
        <v>SAIL-02</v>
      </c>
      <c r="B19" s="13" t="str">
        <f>Schedule_Data_ScenarioB!B20</f>
        <v>2.0</v>
      </c>
      <c r="C19" s="13" t="str">
        <f>Schedule_Data_ScenarioB!C20</f>
        <v>Sail-away MZP→AGI</v>
      </c>
      <c r="D19" s="23" t="str">
        <f>Schedule_Data_ScenarioB!D20</f>
        <v>SAIL</v>
      </c>
      <c r="E19" s="33">
        <f>Schedule_Data_ScenarioB!F20</f>
        <v>46054</v>
      </c>
      <c r="F19" s="33">
        <f>Schedule_Data_ScenarioB!G20</f>
        <v>46054</v>
      </c>
      <c r="G19" s="13">
        <f>Schedule_Data_ScenarioB!H20</f>
        <v>0</v>
      </c>
      <c r="H19" s="13"/>
      <c r="I19" s="13"/>
      <c r="J19" s="13"/>
      <c r="K19" s="13"/>
      <c r="L19" s="13"/>
      <c r="M19" s="13"/>
      <c r="N19" s="13"/>
      <c r="O19" s="13"/>
      <c r="P19" s="13"/>
      <c r="Q19" s="13"/>
      <c r="R19" s="13"/>
      <c r="S19" s="13"/>
      <c r="T19" s="13"/>
      <c r="U19" s="13"/>
      <c r="V19" s="13"/>
      <c r="W19" s="13"/>
      <c r="X19" s="13"/>
      <c r="Y19" s="23"/>
      <c r="Z19" s="13"/>
      <c r="AA19" s="13"/>
      <c r="AB19" s="13"/>
      <c r="AC19" s="13"/>
      <c r="AD19" s="13"/>
      <c r="AE19" s="13"/>
      <c r="AF19" s="13"/>
      <c r="AG19" s="13"/>
      <c r="AH19" s="13"/>
      <c r="AI19" s="13"/>
      <c r="AJ19" s="13"/>
      <c r="AK19" s="13"/>
      <c r="AL19" s="13"/>
      <c r="AM19" s="13"/>
      <c r="AN19" s="13"/>
      <c r="AO19" s="13"/>
      <c r="AP19" s="13"/>
      <c r="AQ19" s="13"/>
      <c r="AR19" s="13"/>
      <c r="AS19" s="13"/>
      <c r="AT19" s="13"/>
      <c r="AU19" s="13"/>
      <c r="AV19" s="13"/>
      <c r="AW19" s="13"/>
      <c r="AX19" s="13"/>
      <c r="AY19" s="13"/>
      <c r="AZ19" s="13"/>
      <c r="BA19" s="13"/>
      <c r="BB19" s="13"/>
      <c r="BC19" s="13"/>
      <c r="BD19" s="13"/>
      <c r="BE19" s="13"/>
      <c r="BF19" s="13"/>
      <c r="BG19" s="13"/>
      <c r="BH19" s="13"/>
      <c r="BI19" s="13"/>
      <c r="BJ19" s="13"/>
      <c r="BK19" s="13"/>
      <c r="BL19" s="13"/>
      <c r="BM19" s="13"/>
      <c r="BN19" s="13"/>
      <c r="BO19" s="13"/>
      <c r="BP19" s="13"/>
      <c r="BQ19" s="13"/>
      <c r="BR19" s="13"/>
      <c r="BS19" s="13"/>
      <c r="BT19" s="13"/>
      <c r="BU19" s="13"/>
      <c r="BV19" s="13"/>
      <c r="BW19" s="13"/>
      <c r="BX19" s="13"/>
      <c r="BY19" s="13"/>
      <c r="BZ19" s="13"/>
      <c r="CA19" s="13"/>
      <c r="CB19" s="13"/>
      <c r="CC19" s="13"/>
      <c r="CD19" s="13"/>
      <c r="CE19" s="13"/>
      <c r="CF19" s="13"/>
      <c r="CG19" s="13"/>
      <c r="CH19" s="13"/>
      <c r="CI19" s="13"/>
      <c r="CJ19" s="13"/>
      <c r="CK19" s="13"/>
      <c r="CL19" s="13"/>
      <c r="CM19" s="13"/>
      <c r="CN19" s="13"/>
      <c r="CO19" s="13"/>
      <c r="CP19" s="13"/>
      <c r="CQ19" s="13"/>
      <c r="CR19" s="13"/>
      <c r="CS19" s="13"/>
      <c r="CT19" s="13"/>
      <c r="CU19" s="13"/>
      <c r="CV19" s="13"/>
      <c r="CW19" s="13"/>
      <c r="CX19" s="13"/>
      <c r="CY19" s="13"/>
      <c r="CZ19" s="13"/>
      <c r="DA19" s="13"/>
      <c r="DB19" s="13"/>
      <c r="DC19" s="13"/>
      <c r="DD19" s="13"/>
      <c r="DE19" s="13"/>
      <c r="DF19" s="13"/>
      <c r="DG19" s="13"/>
      <c r="DH19" s="13"/>
      <c r="DI19" s="13"/>
      <c r="DJ19" s="13"/>
      <c r="DK19" s="13"/>
      <c r="DL19" s="13"/>
      <c r="DM19" s="13"/>
      <c r="DN19" s="13"/>
      <c r="DO19" s="13"/>
      <c r="DP19" s="13"/>
      <c r="DQ19" s="13"/>
      <c r="DR19" s="13"/>
      <c r="DS19" s="13"/>
      <c r="DT19" s="13"/>
      <c r="DU19" s="13"/>
      <c r="DV19" s="13"/>
      <c r="DW19" s="13"/>
    </row>
    <row r="20" spans="1:127">
      <c r="A20" s="13" t="str">
        <f>Schedule_Data_ScenarioB!A21</f>
        <v>UL-02-1</v>
      </c>
      <c r="B20" s="13" t="str">
        <f>Schedule_Data_ScenarioB!B21</f>
        <v>2.0</v>
      </c>
      <c r="C20" s="13" t="str">
        <f>Schedule_Data_ScenarioB!C21</f>
        <v>Unload TR2 at AGI (1 unit/day)</v>
      </c>
      <c r="D20" s="24" t="str">
        <f>Schedule_Data_ScenarioB!D21</f>
        <v>AGI_UNLOAD</v>
      </c>
      <c r="E20" s="33">
        <f>Schedule_Data_ScenarioB!F21</f>
        <v>46055</v>
      </c>
      <c r="F20" s="33">
        <f>Schedule_Data_ScenarioB!G21</f>
        <v>46055</v>
      </c>
      <c r="G20" s="13">
        <f>Schedule_Data_ScenarioB!H21</f>
        <v>0</v>
      </c>
      <c r="H20" s="13"/>
      <c r="I20" s="13"/>
      <c r="J20" s="13"/>
      <c r="K20" s="13"/>
      <c r="L20" s="13"/>
      <c r="M20" s="13"/>
      <c r="N20" s="13"/>
      <c r="O20" s="13"/>
      <c r="P20" s="13"/>
      <c r="Q20" s="13"/>
      <c r="R20" s="13"/>
      <c r="S20" s="13"/>
      <c r="T20" s="13"/>
      <c r="U20" s="13"/>
      <c r="V20" s="13"/>
      <c r="W20" s="13"/>
      <c r="X20" s="13"/>
      <c r="Y20" s="13"/>
      <c r="Z20" s="24"/>
      <c r="AA20" s="13"/>
      <c r="AB20" s="13"/>
      <c r="AC20" s="13"/>
      <c r="AD20" s="13"/>
      <c r="AE20" s="13"/>
      <c r="AF20" s="13"/>
      <c r="AG20" s="13"/>
      <c r="AH20" s="13"/>
      <c r="AI20" s="13"/>
      <c r="AJ20" s="13"/>
      <c r="AK20" s="13"/>
      <c r="AL20" s="13"/>
      <c r="AM20" s="13"/>
      <c r="AN20" s="13"/>
      <c r="AO20" s="13"/>
      <c r="AP20" s="13"/>
      <c r="AQ20" s="13"/>
      <c r="AR20" s="13"/>
      <c r="AS20" s="13"/>
      <c r="AT20" s="13"/>
      <c r="AU20" s="13"/>
      <c r="AV20" s="13"/>
      <c r="AW20" s="13"/>
      <c r="AX20" s="13"/>
      <c r="AY20" s="13"/>
      <c r="AZ20" s="13"/>
      <c r="BA20" s="13"/>
      <c r="BB20" s="13"/>
      <c r="BC20" s="13"/>
      <c r="BD20" s="13"/>
      <c r="BE20" s="13"/>
      <c r="BF20" s="13"/>
      <c r="BG20" s="13"/>
      <c r="BH20" s="13"/>
      <c r="BI20" s="13"/>
      <c r="BJ20" s="13"/>
      <c r="BK20" s="13"/>
      <c r="BL20" s="13"/>
      <c r="BM20" s="13"/>
      <c r="BN20" s="13"/>
      <c r="BO20" s="13"/>
      <c r="BP20" s="13"/>
      <c r="BQ20" s="13"/>
      <c r="BR20" s="13"/>
      <c r="BS20" s="13"/>
      <c r="BT20" s="13"/>
      <c r="BU20" s="13"/>
      <c r="BV20" s="13"/>
      <c r="BW20" s="13"/>
      <c r="BX20" s="13"/>
      <c r="BY20" s="13"/>
      <c r="BZ20" s="13"/>
      <c r="CA20" s="13"/>
      <c r="CB20" s="13"/>
      <c r="CC20" s="13"/>
      <c r="CD20" s="13"/>
      <c r="CE20" s="13"/>
      <c r="CF20" s="13"/>
      <c r="CG20" s="13"/>
      <c r="CH20" s="13"/>
      <c r="CI20" s="13"/>
      <c r="CJ20" s="13"/>
      <c r="CK20" s="13"/>
      <c r="CL20" s="13"/>
      <c r="CM20" s="13"/>
      <c r="CN20" s="13"/>
      <c r="CO20" s="13"/>
      <c r="CP20" s="13"/>
      <c r="CQ20" s="13"/>
      <c r="CR20" s="13"/>
      <c r="CS20" s="13"/>
      <c r="CT20" s="13"/>
      <c r="CU20" s="13"/>
      <c r="CV20" s="13"/>
      <c r="CW20" s="13"/>
      <c r="CX20" s="13"/>
      <c r="CY20" s="13"/>
      <c r="CZ20" s="13"/>
      <c r="DA20" s="13"/>
      <c r="DB20" s="13"/>
      <c r="DC20" s="13"/>
      <c r="DD20" s="13"/>
      <c r="DE20" s="13"/>
      <c r="DF20" s="13"/>
      <c r="DG20" s="13"/>
      <c r="DH20" s="13"/>
      <c r="DI20" s="13"/>
      <c r="DJ20" s="13"/>
      <c r="DK20" s="13"/>
      <c r="DL20" s="13"/>
      <c r="DM20" s="13"/>
      <c r="DN20" s="13"/>
      <c r="DO20" s="13"/>
      <c r="DP20" s="13"/>
      <c r="DQ20" s="13"/>
      <c r="DR20" s="13"/>
      <c r="DS20" s="13"/>
      <c r="DT20" s="13"/>
      <c r="DU20" s="13"/>
      <c r="DV20" s="13"/>
      <c r="DW20" s="13"/>
    </row>
    <row r="21" spans="1:127">
      <c r="A21" s="13" t="str">
        <f>Schedule_Data_ScenarioB!A22</f>
        <v>UL-02-2</v>
      </c>
      <c r="B21" s="13" t="str">
        <f>Schedule_Data_ScenarioB!B22</f>
        <v>2.0</v>
      </c>
      <c r="C21" s="13" t="str">
        <f>Schedule_Data_ScenarioB!C22</f>
        <v>Unload TR3 at AGI (1 unit/day)</v>
      </c>
      <c r="D21" s="24" t="str">
        <f>Schedule_Data_ScenarioB!D22</f>
        <v>AGI_UNLOAD</v>
      </c>
      <c r="E21" s="33">
        <f>Schedule_Data_ScenarioB!F22</f>
        <v>46056</v>
      </c>
      <c r="F21" s="33">
        <f>Schedule_Data_ScenarioB!G22</f>
        <v>46056</v>
      </c>
      <c r="G21" s="13">
        <f>Schedule_Data_ScenarioB!H22</f>
        <v>0</v>
      </c>
      <c r="H21" s="13"/>
      <c r="I21" s="13"/>
      <c r="J21" s="13"/>
      <c r="K21" s="13"/>
      <c r="L21" s="13"/>
      <c r="M21" s="13"/>
      <c r="N21" s="13"/>
      <c r="O21" s="13"/>
      <c r="P21" s="13"/>
      <c r="Q21" s="13"/>
      <c r="R21" s="13"/>
      <c r="S21" s="13"/>
      <c r="T21" s="13"/>
      <c r="U21" s="13"/>
      <c r="V21" s="13"/>
      <c r="W21" s="13"/>
      <c r="X21" s="13"/>
      <c r="Y21" s="13"/>
      <c r="Z21" s="13"/>
      <c r="AA21" s="24"/>
      <c r="AB21" s="13"/>
      <c r="AC21" s="13"/>
      <c r="AD21" s="13"/>
      <c r="AE21" s="13"/>
      <c r="AF21" s="13"/>
      <c r="AG21" s="13"/>
      <c r="AH21" s="13"/>
      <c r="AI21" s="13"/>
      <c r="AJ21" s="13"/>
      <c r="AK21" s="13"/>
      <c r="AL21" s="13"/>
      <c r="AM21" s="13"/>
      <c r="AN21" s="13"/>
      <c r="AO21" s="13"/>
      <c r="AP21" s="13"/>
      <c r="AQ21" s="13"/>
      <c r="AR21" s="13"/>
      <c r="AS21" s="13"/>
      <c r="AT21" s="13"/>
      <c r="AU21" s="13"/>
      <c r="AV21" s="13"/>
      <c r="AW21" s="13"/>
      <c r="AX21" s="13"/>
      <c r="AY21" s="13"/>
      <c r="AZ21" s="13"/>
      <c r="BA21" s="13"/>
      <c r="BB21" s="13"/>
      <c r="BC21" s="13"/>
      <c r="BD21" s="13"/>
      <c r="BE21" s="13"/>
      <c r="BF21" s="13"/>
      <c r="BG21" s="13"/>
      <c r="BH21" s="13"/>
      <c r="BI21" s="13"/>
      <c r="BJ21" s="13"/>
      <c r="BK21" s="13"/>
      <c r="BL21" s="13"/>
      <c r="BM21" s="13"/>
      <c r="BN21" s="13"/>
      <c r="BO21" s="13"/>
      <c r="BP21" s="13"/>
      <c r="BQ21" s="13"/>
      <c r="BR21" s="13"/>
      <c r="BS21" s="13"/>
      <c r="BT21" s="13"/>
      <c r="BU21" s="13"/>
      <c r="BV21" s="13"/>
      <c r="BW21" s="13"/>
      <c r="BX21" s="13"/>
      <c r="BY21" s="13"/>
      <c r="BZ21" s="13"/>
      <c r="CA21" s="13"/>
      <c r="CB21" s="13"/>
      <c r="CC21" s="13"/>
      <c r="CD21" s="13"/>
      <c r="CE21" s="13"/>
      <c r="CF21" s="13"/>
      <c r="CG21" s="13"/>
      <c r="CH21" s="13"/>
      <c r="CI21" s="13"/>
      <c r="CJ21" s="13"/>
      <c r="CK21" s="13"/>
      <c r="CL21" s="13"/>
      <c r="CM21" s="13"/>
      <c r="CN21" s="13"/>
      <c r="CO21" s="13"/>
      <c r="CP21" s="13"/>
      <c r="CQ21" s="13"/>
      <c r="CR21" s="13"/>
      <c r="CS21" s="13"/>
      <c r="CT21" s="13"/>
      <c r="CU21" s="13"/>
      <c r="CV21" s="13"/>
      <c r="CW21" s="13"/>
      <c r="CX21" s="13"/>
      <c r="CY21" s="13"/>
      <c r="CZ21" s="13"/>
      <c r="DA21" s="13"/>
      <c r="DB21" s="13"/>
      <c r="DC21" s="13"/>
      <c r="DD21" s="13"/>
      <c r="DE21" s="13"/>
      <c r="DF21" s="13"/>
      <c r="DG21" s="13"/>
      <c r="DH21" s="13"/>
      <c r="DI21" s="13"/>
      <c r="DJ21" s="13"/>
      <c r="DK21" s="13"/>
      <c r="DL21" s="13"/>
      <c r="DM21" s="13"/>
      <c r="DN21" s="13"/>
      <c r="DO21" s="13"/>
      <c r="DP21" s="13"/>
      <c r="DQ21" s="13"/>
      <c r="DR21" s="13"/>
      <c r="DS21" s="13"/>
      <c r="DT21" s="13"/>
      <c r="DU21" s="13"/>
      <c r="DV21" s="13"/>
      <c r="DW21" s="13"/>
    </row>
    <row r="22" spans="1:127">
      <c r="A22" s="13" t="str">
        <f>Schedule_Data_ScenarioB!A23</f>
        <v>TURN-02-1</v>
      </c>
      <c r="B22" s="13" t="str">
        <f>Schedule_Data_ScenarioB!B23</f>
        <v>2.0</v>
      </c>
      <c r="C22" s="13" t="str">
        <f>Schedule_Data_ScenarioB!C23</f>
        <v>Turning TR2 (90°)</v>
      </c>
      <c r="D22" s="26" t="str">
        <f>Schedule_Data_ScenarioB!D23</f>
        <v>TURNING</v>
      </c>
      <c r="E22" s="33">
        <f>Schedule_Data_ScenarioB!F23</f>
        <v>46057</v>
      </c>
      <c r="F22" s="33">
        <f>Schedule_Data_ScenarioB!G23</f>
        <v>46057</v>
      </c>
      <c r="G22" s="13">
        <f>Schedule_Data_ScenarioB!H23</f>
        <v>0</v>
      </c>
      <c r="H22" s="13"/>
      <c r="I22" s="13"/>
      <c r="J22" s="13"/>
      <c r="K22" s="13"/>
      <c r="L22" s="13"/>
      <c r="M22" s="13"/>
      <c r="N22" s="13"/>
      <c r="O22" s="13"/>
      <c r="P22" s="13"/>
      <c r="Q22" s="13"/>
      <c r="R22" s="13"/>
      <c r="S22" s="13"/>
      <c r="T22" s="13"/>
      <c r="U22" s="13"/>
      <c r="V22" s="13"/>
      <c r="W22" s="13"/>
      <c r="X22" s="13"/>
      <c r="Y22" s="13"/>
      <c r="Z22" s="13"/>
      <c r="AA22" s="13"/>
      <c r="AB22" s="26"/>
      <c r="AC22" s="13"/>
      <c r="AD22" s="13"/>
      <c r="AE22" s="13"/>
      <c r="AF22" s="13"/>
      <c r="AG22" s="13"/>
      <c r="AH22" s="13"/>
      <c r="AI22" s="13"/>
      <c r="AJ22" s="13"/>
      <c r="AK22" s="13"/>
      <c r="AL22" s="13"/>
      <c r="AM22" s="13"/>
      <c r="AN22" s="13"/>
      <c r="AO22" s="13"/>
      <c r="AP22" s="13"/>
      <c r="AQ22" s="13"/>
      <c r="AR22" s="13"/>
      <c r="AS22" s="13"/>
      <c r="AT22" s="13"/>
      <c r="AU22" s="13"/>
      <c r="AV22" s="13"/>
      <c r="AW22" s="13"/>
      <c r="AX22" s="13"/>
      <c r="AY22" s="13"/>
      <c r="AZ22" s="13"/>
      <c r="BA22" s="13"/>
      <c r="BB22" s="13"/>
      <c r="BC22" s="13"/>
      <c r="BD22" s="13"/>
      <c r="BE22" s="13"/>
      <c r="BF22" s="13"/>
      <c r="BG22" s="13"/>
      <c r="BH22" s="13"/>
      <c r="BI22" s="13"/>
      <c r="BJ22" s="13"/>
      <c r="BK22" s="13"/>
      <c r="BL22" s="13"/>
      <c r="BM22" s="13"/>
      <c r="BN22" s="13"/>
      <c r="BO22" s="13"/>
      <c r="BP22" s="13"/>
      <c r="BQ22" s="13"/>
      <c r="BR22" s="13"/>
      <c r="BS22" s="13"/>
      <c r="BT22" s="13"/>
      <c r="BU22" s="13"/>
      <c r="BV22" s="13"/>
      <c r="BW22" s="13"/>
      <c r="BX22" s="13"/>
      <c r="BY22" s="13"/>
      <c r="BZ22" s="13"/>
      <c r="CA22" s="13"/>
      <c r="CB22" s="13"/>
      <c r="CC22" s="13"/>
      <c r="CD22" s="13"/>
      <c r="CE22" s="13"/>
      <c r="CF22" s="13"/>
      <c r="CG22" s="13"/>
      <c r="CH22" s="13"/>
      <c r="CI22" s="13"/>
      <c r="CJ22" s="13"/>
      <c r="CK22" s="13"/>
      <c r="CL22" s="13"/>
      <c r="CM22" s="13"/>
      <c r="CN22" s="13"/>
      <c r="CO22" s="13"/>
      <c r="CP22" s="13"/>
      <c r="CQ22" s="13"/>
      <c r="CR22" s="13"/>
      <c r="CS22" s="13"/>
      <c r="CT22" s="13"/>
      <c r="CU22" s="13"/>
      <c r="CV22" s="13"/>
      <c r="CW22" s="13"/>
      <c r="CX22" s="13"/>
      <c r="CY22" s="13"/>
      <c r="CZ22" s="13"/>
      <c r="DA22" s="13"/>
      <c r="DB22" s="13"/>
      <c r="DC22" s="13"/>
      <c r="DD22" s="13"/>
      <c r="DE22" s="13"/>
      <c r="DF22" s="13"/>
      <c r="DG22" s="13"/>
      <c r="DH22" s="13"/>
      <c r="DI22" s="13"/>
      <c r="DJ22" s="13"/>
      <c r="DK22" s="13"/>
      <c r="DL22" s="13"/>
      <c r="DM22" s="13"/>
      <c r="DN22" s="13"/>
      <c r="DO22" s="13"/>
      <c r="DP22" s="13"/>
      <c r="DQ22" s="13"/>
      <c r="DR22" s="13"/>
      <c r="DS22" s="13"/>
      <c r="DT22" s="13"/>
      <c r="DU22" s="13"/>
      <c r="DV22" s="13"/>
      <c r="DW22" s="13"/>
    </row>
    <row r="23" spans="1:127">
      <c r="A23" s="13" t="str">
        <f>Schedule_Data_ScenarioB!A24</f>
        <v>JD-02-1</v>
      </c>
      <c r="B23" s="13" t="str">
        <f>Schedule_Data_ScenarioB!B24</f>
        <v>2.0</v>
      </c>
      <c r="C23" s="13" t="str">
        <f>Schedule_Data_ScenarioB!C24</f>
        <v>Jackdown TR2</v>
      </c>
      <c r="D23" s="42" t="str">
        <f>Schedule_Data_ScenarioB!D24</f>
        <v>JACKDOWN</v>
      </c>
      <c r="E23" s="33">
        <f>Schedule_Data_ScenarioB!F24</f>
        <v>46060</v>
      </c>
      <c r="F23" s="33">
        <f>Schedule_Data_ScenarioB!G24</f>
        <v>46060</v>
      </c>
      <c r="G23" s="13">
        <f>Schedule_Data_ScenarioB!H24</f>
        <v>0</v>
      </c>
      <c r="H23" s="13"/>
      <c r="I23" s="13"/>
      <c r="J23" s="13"/>
      <c r="K23" s="13"/>
      <c r="L23" s="13"/>
      <c r="M23" s="13"/>
      <c r="N23" s="13"/>
      <c r="O23" s="13"/>
      <c r="P23" s="13"/>
      <c r="Q23" s="13"/>
      <c r="R23" s="13"/>
      <c r="S23" s="13"/>
      <c r="T23" s="13"/>
      <c r="U23" s="13"/>
      <c r="V23" s="13"/>
      <c r="W23" s="13"/>
      <c r="X23" s="13"/>
      <c r="Y23" s="13"/>
      <c r="Z23" s="13"/>
      <c r="AA23" s="13"/>
      <c r="AB23" s="13"/>
      <c r="AC23" s="13"/>
      <c r="AD23" s="13"/>
      <c r="AE23" s="42"/>
      <c r="AF23" s="13"/>
      <c r="AG23" s="13"/>
      <c r="AH23" s="13"/>
      <c r="AI23" s="13"/>
      <c r="AJ23" s="13"/>
      <c r="AK23" s="13"/>
      <c r="AL23" s="13"/>
      <c r="AM23" s="13"/>
      <c r="AN23" s="13"/>
      <c r="AO23" s="13"/>
      <c r="AP23" s="13"/>
      <c r="AQ23" s="13"/>
      <c r="AR23" s="13"/>
      <c r="AS23" s="13"/>
      <c r="AT23" s="13"/>
      <c r="AU23" s="13"/>
      <c r="AV23" s="13"/>
      <c r="AW23" s="13"/>
      <c r="AX23" s="13"/>
      <c r="AY23" s="13"/>
      <c r="AZ23" s="13"/>
      <c r="BA23" s="13"/>
      <c r="BB23" s="13"/>
      <c r="BC23" s="13"/>
      <c r="BD23" s="13"/>
      <c r="BE23" s="13"/>
      <c r="BF23" s="13"/>
      <c r="BG23" s="13"/>
      <c r="BH23" s="13"/>
      <c r="BI23" s="13"/>
      <c r="BJ23" s="13"/>
      <c r="BK23" s="13"/>
      <c r="BL23" s="13"/>
      <c r="BM23" s="13"/>
      <c r="BN23" s="13"/>
      <c r="BO23" s="13"/>
      <c r="BP23" s="13"/>
      <c r="BQ23" s="13"/>
      <c r="BR23" s="13"/>
      <c r="BS23" s="13"/>
      <c r="BT23" s="13"/>
      <c r="BU23" s="13"/>
      <c r="BV23" s="13"/>
      <c r="BW23" s="13"/>
      <c r="BX23" s="13"/>
      <c r="BY23" s="13"/>
      <c r="BZ23" s="13"/>
      <c r="CA23" s="13"/>
      <c r="CB23" s="13"/>
      <c r="CC23" s="13"/>
      <c r="CD23" s="13"/>
      <c r="CE23" s="13"/>
      <c r="CF23" s="13"/>
      <c r="CG23" s="13"/>
      <c r="CH23" s="13"/>
      <c r="CI23" s="13"/>
      <c r="CJ23" s="13"/>
      <c r="CK23" s="13"/>
      <c r="CL23" s="13"/>
      <c r="CM23" s="13"/>
      <c r="CN23" s="13"/>
      <c r="CO23" s="13"/>
      <c r="CP23" s="13"/>
      <c r="CQ23" s="13"/>
      <c r="CR23" s="13"/>
      <c r="CS23" s="13"/>
      <c r="CT23" s="13"/>
      <c r="CU23" s="13"/>
      <c r="CV23" s="13"/>
      <c r="CW23" s="13"/>
      <c r="CX23" s="13"/>
      <c r="CY23" s="13"/>
      <c r="CZ23" s="13"/>
      <c r="DA23" s="13"/>
      <c r="DB23" s="13"/>
      <c r="DC23" s="13"/>
      <c r="DD23" s="13"/>
      <c r="DE23" s="13"/>
      <c r="DF23" s="13"/>
      <c r="DG23" s="13"/>
      <c r="DH23" s="13"/>
      <c r="DI23" s="13"/>
      <c r="DJ23" s="13"/>
      <c r="DK23" s="13"/>
      <c r="DL23" s="13"/>
      <c r="DM23" s="13"/>
      <c r="DN23" s="13"/>
      <c r="DO23" s="13"/>
      <c r="DP23" s="13"/>
      <c r="DQ23" s="13"/>
      <c r="DR23" s="13"/>
      <c r="DS23" s="13"/>
      <c r="DT23" s="13"/>
      <c r="DU23" s="13"/>
      <c r="DV23" s="13"/>
      <c r="DW23" s="13"/>
    </row>
    <row r="24" spans="1:127">
      <c r="A24" s="13" t="str">
        <f>Schedule_Data_ScenarioB!A25</f>
        <v>TURN-02-2</v>
      </c>
      <c r="B24" s="13" t="str">
        <f>Schedule_Data_ScenarioB!B25</f>
        <v>2.0</v>
      </c>
      <c r="C24" s="13" t="str">
        <f>Schedule_Data_ScenarioB!C25</f>
        <v>Turning TR3 (90°)</v>
      </c>
      <c r="D24" s="26" t="str">
        <f>Schedule_Data_ScenarioB!D25</f>
        <v>TURNING</v>
      </c>
      <c r="E24" s="33">
        <f>Schedule_Data_ScenarioB!F25</f>
        <v>46061</v>
      </c>
      <c r="F24" s="33">
        <f>Schedule_Data_ScenarioB!G25</f>
        <v>46061</v>
      </c>
      <c r="G24" s="13">
        <f>Schedule_Data_ScenarioB!H25</f>
        <v>0</v>
      </c>
      <c r="H24" s="13"/>
      <c r="I24" s="13"/>
      <c r="J24" s="13"/>
      <c r="K24" s="13"/>
      <c r="L24" s="13"/>
      <c r="M24" s="13"/>
      <c r="N24" s="13"/>
      <c r="O24" s="13"/>
      <c r="P24" s="13"/>
      <c r="Q24" s="13"/>
      <c r="R24" s="13"/>
      <c r="S24" s="13"/>
      <c r="T24" s="13"/>
      <c r="U24" s="13"/>
      <c r="V24" s="13"/>
      <c r="W24" s="13"/>
      <c r="X24" s="13"/>
      <c r="Y24" s="13"/>
      <c r="Z24" s="13"/>
      <c r="AA24" s="13"/>
      <c r="AB24" s="13"/>
      <c r="AC24" s="13"/>
      <c r="AD24" s="13"/>
      <c r="AE24" s="13"/>
      <c r="AF24" s="26"/>
      <c r="AG24" s="13"/>
      <c r="AH24" s="13"/>
      <c r="AI24" s="13"/>
      <c r="AJ24" s="13"/>
      <c r="AK24" s="13"/>
      <c r="AL24" s="13"/>
      <c r="AM24" s="13"/>
      <c r="AN24" s="13"/>
      <c r="AO24" s="13"/>
      <c r="AP24" s="13"/>
      <c r="AQ24" s="13"/>
      <c r="AR24" s="13"/>
      <c r="AS24" s="13"/>
      <c r="AT24" s="13"/>
      <c r="AU24" s="13"/>
      <c r="AV24" s="13"/>
      <c r="AW24" s="13"/>
      <c r="AX24" s="13"/>
      <c r="AY24" s="13"/>
      <c r="AZ24" s="13"/>
      <c r="BA24" s="13"/>
      <c r="BB24" s="13"/>
      <c r="BC24" s="13"/>
      <c r="BD24" s="13"/>
      <c r="BE24" s="13"/>
      <c r="BF24" s="13"/>
      <c r="BG24" s="13"/>
      <c r="BH24" s="13"/>
      <c r="BI24" s="13"/>
      <c r="BJ24" s="13"/>
      <c r="BK24" s="13"/>
      <c r="BL24" s="13"/>
      <c r="BM24" s="13"/>
      <c r="BN24" s="13"/>
      <c r="BO24" s="13"/>
      <c r="BP24" s="13"/>
      <c r="BQ24" s="13"/>
      <c r="BR24" s="13"/>
      <c r="BS24" s="13"/>
      <c r="BT24" s="13"/>
      <c r="BU24" s="13"/>
      <c r="BV24" s="13"/>
      <c r="BW24" s="13"/>
      <c r="BX24" s="13"/>
      <c r="BY24" s="13"/>
      <c r="BZ24" s="13"/>
      <c r="CA24" s="13"/>
      <c r="CB24" s="13"/>
      <c r="CC24" s="13"/>
      <c r="CD24" s="13"/>
      <c r="CE24" s="13"/>
      <c r="CF24" s="13"/>
      <c r="CG24" s="13"/>
      <c r="CH24" s="13"/>
      <c r="CI24" s="13"/>
      <c r="CJ24" s="13"/>
      <c r="CK24" s="13"/>
      <c r="CL24" s="13"/>
      <c r="CM24" s="13"/>
      <c r="CN24" s="13"/>
      <c r="CO24" s="13"/>
      <c r="CP24" s="13"/>
      <c r="CQ24" s="13"/>
      <c r="CR24" s="13"/>
      <c r="CS24" s="13"/>
      <c r="CT24" s="13"/>
      <c r="CU24" s="13"/>
      <c r="CV24" s="13"/>
      <c r="CW24" s="13"/>
      <c r="CX24" s="13"/>
      <c r="CY24" s="13"/>
      <c r="CZ24" s="13"/>
      <c r="DA24" s="13"/>
      <c r="DB24" s="13"/>
      <c r="DC24" s="13"/>
      <c r="DD24" s="13"/>
      <c r="DE24" s="13"/>
      <c r="DF24" s="13"/>
      <c r="DG24" s="13"/>
      <c r="DH24" s="13"/>
      <c r="DI24" s="13"/>
      <c r="DJ24" s="13"/>
      <c r="DK24" s="13"/>
      <c r="DL24" s="13"/>
      <c r="DM24" s="13"/>
      <c r="DN24" s="13"/>
      <c r="DO24" s="13"/>
      <c r="DP24" s="13"/>
      <c r="DQ24" s="13"/>
      <c r="DR24" s="13"/>
      <c r="DS24" s="13"/>
      <c r="DT24" s="13"/>
      <c r="DU24" s="13"/>
      <c r="DV24" s="13"/>
      <c r="DW24" s="13"/>
    </row>
    <row r="25" spans="1:127">
      <c r="A25" s="13" t="str">
        <f>Schedule_Data_ScenarioB!A26</f>
        <v>JD-02-2</v>
      </c>
      <c r="B25" s="13" t="str">
        <f>Schedule_Data_ScenarioB!B26</f>
        <v>2.0</v>
      </c>
      <c r="C25" s="13" t="str">
        <f>Schedule_Data_ScenarioB!C26</f>
        <v>Jackdown TR3</v>
      </c>
      <c r="D25" s="42" t="str">
        <f>Schedule_Data_ScenarioB!D26</f>
        <v>JACKDOWN</v>
      </c>
      <c r="E25" s="33">
        <f>Schedule_Data_ScenarioB!F26</f>
        <v>46064</v>
      </c>
      <c r="F25" s="33">
        <f>Schedule_Data_ScenarioB!G26</f>
        <v>46064</v>
      </c>
      <c r="G25" s="13">
        <f>Schedule_Data_ScenarioB!H26</f>
        <v>0</v>
      </c>
      <c r="H25" s="13"/>
      <c r="I25" s="13"/>
      <c r="J25" s="13"/>
      <c r="K25" s="13"/>
      <c r="L25" s="13"/>
      <c r="M25" s="13"/>
      <c r="N25" s="13"/>
      <c r="O25" s="13"/>
      <c r="P25" s="13"/>
      <c r="Q25" s="13"/>
      <c r="R25" s="13"/>
      <c r="S25" s="13"/>
      <c r="T25" s="13"/>
      <c r="U25" s="13"/>
      <c r="V25" s="13"/>
      <c r="W25" s="13"/>
      <c r="X25" s="13"/>
      <c r="Y25" s="13"/>
      <c r="Z25" s="13"/>
      <c r="AA25" s="13"/>
      <c r="AB25" s="13"/>
      <c r="AC25" s="13"/>
      <c r="AD25" s="13"/>
      <c r="AE25" s="13"/>
      <c r="AF25" s="13"/>
      <c r="AG25" s="13"/>
      <c r="AH25" s="13"/>
      <c r="AI25" s="42"/>
      <c r="AJ25" s="13"/>
      <c r="AK25" s="13"/>
      <c r="AL25" s="13"/>
      <c r="AM25" s="13"/>
      <c r="AN25" s="13"/>
      <c r="AO25" s="13"/>
      <c r="AP25" s="13"/>
      <c r="AQ25" s="13"/>
      <c r="AR25" s="13"/>
      <c r="AS25" s="13"/>
      <c r="AT25" s="13"/>
      <c r="AU25" s="13"/>
      <c r="AV25" s="13"/>
      <c r="AW25" s="13"/>
      <c r="AX25" s="13"/>
      <c r="AY25" s="13"/>
      <c r="AZ25" s="13"/>
      <c r="BA25" s="13"/>
      <c r="BB25" s="13"/>
      <c r="BC25" s="13"/>
      <c r="BD25" s="13"/>
      <c r="BE25" s="13"/>
      <c r="BF25" s="13"/>
      <c r="BG25" s="13"/>
      <c r="BH25" s="13"/>
      <c r="BI25" s="13"/>
      <c r="BJ25" s="13"/>
      <c r="BK25" s="13"/>
      <c r="BL25" s="13"/>
      <c r="BM25" s="13"/>
      <c r="BN25" s="13"/>
      <c r="BO25" s="13"/>
      <c r="BP25" s="13"/>
      <c r="BQ25" s="13"/>
      <c r="BR25" s="13"/>
      <c r="BS25" s="13"/>
      <c r="BT25" s="13"/>
      <c r="BU25" s="13"/>
      <c r="BV25" s="13"/>
      <c r="BW25" s="13"/>
      <c r="BX25" s="13"/>
      <c r="BY25" s="13"/>
      <c r="BZ25" s="13"/>
      <c r="CA25" s="13"/>
      <c r="CB25" s="13"/>
      <c r="CC25" s="13"/>
      <c r="CD25" s="13"/>
      <c r="CE25" s="13"/>
      <c r="CF25" s="13"/>
      <c r="CG25" s="13"/>
      <c r="CH25" s="13"/>
      <c r="CI25" s="13"/>
      <c r="CJ25" s="13"/>
      <c r="CK25" s="13"/>
      <c r="CL25" s="13"/>
      <c r="CM25" s="13"/>
      <c r="CN25" s="13"/>
      <c r="CO25" s="13"/>
      <c r="CP25" s="13"/>
      <c r="CQ25" s="13"/>
      <c r="CR25" s="13"/>
      <c r="CS25" s="13"/>
      <c r="CT25" s="13"/>
      <c r="CU25" s="13"/>
      <c r="CV25" s="13"/>
      <c r="CW25" s="13"/>
      <c r="CX25" s="13"/>
      <c r="CY25" s="13"/>
      <c r="CZ25" s="13"/>
      <c r="DA25" s="13"/>
      <c r="DB25" s="13"/>
      <c r="DC25" s="13"/>
      <c r="DD25" s="13"/>
      <c r="DE25" s="13"/>
      <c r="DF25" s="13"/>
      <c r="DG25" s="13"/>
      <c r="DH25" s="13"/>
      <c r="DI25" s="13"/>
      <c r="DJ25" s="13"/>
      <c r="DK25" s="13"/>
      <c r="DL25" s="13"/>
      <c r="DM25" s="13"/>
      <c r="DN25" s="13"/>
      <c r="DO25" s="13"/>
      <c r="DP25" s="13"/>
      <c r="DQ25" s="13"/>
      <c r="DR25" s="13"/>
      <c r="DS25" s="13"/>
      <c r="DT25" s="13"/>
      <c r="DU25" s="13"/>
      <c r="DV25" s="13"/>
      <c r="DW25" s="13"/>
    </row>
    <row r="26" spans="1:127">
      <c r="A26" s="13" t="str">
        <f>Schedule_Data_ScenarioB!A27</f>
        <v>RET-02</v>
      </c>
      <c r="B26" s="13" t="str">
        <f>Schedule_Data_ScenarioB!B27</f>
        <v>2.0</v>
      </c>
      <c r="C26" s="13" t="str">
        <f>Schedule_Data_ScenarioB!C27</f>
        <v>LCT Return AGI→MZP</v>
      </c>
      <c r="D26" s="25" t="str">
        <f>Schedule_Data_ScenarioB!D27</f>
        <v>RETURN</v>
      </c>
      <c r="E26" s="33">
        <f>Schedule_Data_ScenarioB!F27</f>
        <v>46065</v>
      </c>
      <c r="F26" s="33">
        <f>Schedule_Data_ScenarioB!G27</f>
        <v>46065</v>
      </c>
      <c r="G26" s="13">
        <f>Schedule_Data_ScenarioB!H27</f>
        <v>0</v>
      </c>
      <c r="H26" s="13"/>
      <c r="I26" s="13"/>
      <c r="J26" s="13"/>
      <c r="K26" s="13"/>
      <c r="L26" s="13"/>
      <c r="M26" s="13"/>
      <c r="N26" s="13"/>
      <c r="O26" s="13"/>
      <c r="P26" s="13"/>
      <c r="Q26" s="13"/>
      <c r="R26" s="13"/>
      <c r="S26" s="13"/>
      <c r="T26" s="13"/>
      <c r="U26" s="13"/>
      <c r="V26" s="13"/>
      <c r="W26" s="13"/>
      <c r="X26" s="13"/>
      <c r="Y26" s="13"/>
      <c r="Z26" s="13"/>
      <c r="AA26" s="13"/>
      <c r="AB26" s="13"/>
      <c r="AC26" s="13"/>
      <c r="AD26" s="13"/>
      <c r="AE26" s="13"/>
      <c r="AF26" s="13"/>
      <c r="AG26" s="13"/>
      <c r="AH26" s="13"/>
      <c r="AI26" s="13"/>
      <c r="AJ26" s="25"/>
      <c r="AK26" s="13"/>
      <c r="AL26" s="13"/>
      <c r="AM26" s="13"/>
      <c r="AN26" s="13"/>
      <c r="AO26" s="13"/>
      <c r="AP26" s="13"/>
      <c r="AQ26" s="13"/>
      <c r="AR26" s="13"/>
      <c r="AS26" s="13"/>
      <c r="AT26" s="13"/>
      <c r="AU26" s="13"/>
      <c r="AV26" s="13"/>
      <c r="AW26" s="13"/>
      <c r="AX26" s="13"/>
      <c r="AY26" s="13"/>
      <c r="AZ26" s="13"/>
      <c r="BA26" s="13"/>
      <c r="BB26" s="13"/>
      <c r="BC26" s="13"/>
      <c r="BD26" s="13"/>
      <c r="BE26" s="13"/>
      <c r="BF26" s="13"/>
      <c r="BG26" s="13"/>
      <c r="BH26" s="13"/>
      <c r="BI26" s="13"/>
      <c r="BJ26" s="13"/>
      <c r="BK26" s="13"/>
      <c r="BL26" s="13"/>
      <c r="BM26" s="13"/>
      <c r="BN26" s="13"/>
      <c r="BO26" s="13"/>
      <c r="BP26" s="13"/>
      <c r="BQ26" s="13"/>
      <c r="BR26" s="13"/>
      <c r="BS26" s="13"/>
      <c r="BT26" s="13"/>
      <c r="BU26" s="13"/>
      <c r="BV26" s="13"/>
      <c r="BW26" s="13"/>
      <c r="BX26" s="13"/>
      <c r="BY26" s="13"/>
      <c r="BZ26" s="13"/>
      <c r="CA26" s="13"/>
      <c r="CB26" s="13"/>
      <c r="CC26" s="13"/>
      <c r="CD26" s="13"/>
      <c r="CE26" s="13"/>
      <c r="CF26" s="13"/>
      <c r="CG26" s="13"/>
      <c r="CH26" s="13"/>
      <c r="CI26" s="13"/>
      <c r="CJ26" s="13"/>
      <c r="CK26" s="13"/>
      <c r="CL26" s="13"/>
      <c r="CM26" s="13"/>
      <c r="CN26" s="13"/>
      <c r="CO26" s="13"/>
      <c r="CP26" s="13"/>
      <c r="CQ26" s="13"/>
      <c r="CR26" s="13"/>
      <c r="CS26" s="13"/>
      <c r="CT26" s="13"/>
      <c r="CU26" s="13"/>
      <c r="CV26" s="13"/>
      <c r="CW26" s="13"/>
      <c r="CX26" s="13"/>
      <c r="CY26" s="13"/>
      <c r="CZ26" s="13"/>
      <c r="DA26" s="13"/>
      <c r="DB26" s="13"/>
      <c r="DC26" s="13"/>
      <c r="DD26" s="13"/>
      <c r="DE26" s="13"/>
      <c r="DF26" s="13"/>
      <c r="DG26" s="13"/>
      <c r="DH26" s="13"/>
      <c r="DI26" s="13"/>
      <c r="DJ26" s="13"/>
      <c r="DK26" s="13"/>
      <c r="DL26" s="13"/>
      <c r="DM26" s="13"/>
      <c r="DN26" s="13"/>
      <c r="DO26" s="13"/>
      <c r="DP26" s="13"/>
      <c r="DQ26" s="13"/>
      <c r="DR26" s="13"/>
      <c r="DS26" s="13"/>
      <c r="DT26" s="13"/>
      <c r="DU26" s="13"/>
      <c r="DV26" s="13"/>
      <c r="DW26" s="13"/>
    </row>
    <row r="27" spans="1:127">
      <c r="A27" s="13" t="str">
        <f>Schedule_Data_ScenarioB!A28</f>
        <v>BUF-02</v>
      </c>
      <c r="B27" s="13" t="str">
        <f>Schedule_Data_ScenarioB!B28</f>
        <v>2.0</v>
      </c>
      <c r="C27" s="13" t="str">
        <f>Schedule_Data_ScenarioB!C28</f>
        <v>Buffer / reset</v>
      </c>
      <c r="D27" s="22" t="str">
        <f>Schedule_Data_ScenarioB!D28</f>
        <v>BUFFER</v>
      </c>
      <c r="E27" s="33">
        <f>Schedule_Data_ScenarioB!F28</f>
        <v>46066</v>
      </c>
      <c r="F27" s="33">
        <f>Schedule_Data_ScenarioB!G28</f>
        <v>46066</v>
      </c>
      <c r="G27" s="13">
        <f>Schedule_Data_ScenarioB!H28</f>
        <v>0</v>
      </c>
      <c r="H27" s="13"/>
      <c r="I27" s="13"/>
      <c r="J27" s="13"/>
      <c r="K27" s="13"/>
      <c r="L27" s="13"/>
      <c r="M27" s="13"/>
      <c r="N27" s="13"/>
      <c r="O27" s="13"/>
      <c r="P27" s="13"/>
      <c r="Q27" s="13"/>
      <c r="R27" s="13"/>
      <c r="S27" s="13"/>
      <c r="T27" s="13"/>
      <c r="U27" s="13"/>
      <c r="V27" s="13"/>
      <c r="W27" s="13"/>
      <c r="X27" s="13"/>
      <c r="Y27" s="13"/>
      <c r="Z27" s="13"/>
      <c r="AA27" s="13"/>
      <c r="AB27" s="13"/>
      <c r="AC27" s="13"/>
      <c r="AD27" s="13"/>
      <c r="AE27" s="13"/>
      <c r="AF27" s="13"/>
      <c r="AG27" s="13"/>
      <c r="AH27" s="13"/>
      <c r="AI27" s="13"/>
      <c r="AJ27" s="13"/>
      <c r="AK27" s="22"/>
      <c r="AL27" s="13"/>
      <c r="AM27" s="13"/>
      <c r="AN27" s="13"/>
      <c r="AO27" s="13"/>
      <c r="AP27" s="13"/>
      <c r="AQ27" s="13"/>
      <c r="AR27" s="13"/>
      <c r="AS27" s="13"/>
      <c r="AT27" s="13"/>
      <c r="AU27" s="13"/>
      <c r="AV27" s="13"/>
      <c r="AW27" s="13"/>
      <c r="AX27" s="13"/>
      <c r="AY27" s="13"/>
      <c r="AZ27" s="13"/>
      <c r="BA27" s="13"/>
      <c r="BB27" s="13"/>
      <c r="BC27" s="13"/>
      <c r="BD27" s="13"/>
      <c r="BE27" s="13"/>
      <c r="BF27" s="13"/>
      <c r="BG27" s="13"/>
      <c r="BH27" s="13"/>
      <c r="BI27" s="13"/>
      <c r="BJ27" s="13"/>
      <c r="BK27" s="13"/>
      <c r="BL27" s="13"/>
      <c r="BM27" s="13"/>
      <c r="BN27" s="13"/>
      <c r="BO27" s="13"/>
      <c r="BP27" s="13"/>
      <c r="BQ27" s="13"/>
      <c r="BR27" s="13"/>
      <c r="BS27" s="13"/>
      <c r="BT27" s="13"/>
      <c r="BU27" s="13"/>
      <c r="BV27" s="13"/>
      <c r="BW27" s="13"/>
      <c r="BX27" s="13"/>
      <c r="BY27" s="13"/>
      <c r="BZ27" s="13"/>
      <c r="CA27" s="13"/>
      <c r="CB27" s="13"/>
      <c r="CC27" s="13"/>
      <c r="CD27" s="13"/>
      <c r="CE27" s="13"/>
      <c r="CF27" s="13"/>
      <c r="CG27" s="13"/>
      <c r="CH27" s="13"/>
      <c r="CI27" s="13"/>
      <c r="CJ27" s="13"/>
      <c r="CK27" s="13"/>
      <c r="CL27" s="13"/>
      <c r="CM27" s="13"/>
      <c r="CN27" s="13"/>
      <c r="CO27" s="13"/>
      <c r="CP27" s="13"/>
      <c r="CQ27" s="13"/>
      <c r="CR27" s="13"/>
      <c r="CS27" s="13"/>
      <c r="CT27" s="13"/>
      <c r="CU27" s="13"/>
      <c r="CV27" s="13"/>
      <c r="CW27" s="13"/>
      <c r="CX27" s="13"/>
      <c r="CY27" s="13"/>
      <c r="CZ27" s="13"/>
      <c r="DA27" s="13"/>
      <c r="DB27" s="13"/>
      <c r="DC27" s="13"/>
      <c r="DD27" s="13"/>
      <c r="DE27" s="13"/>
      <c r="DF27" s="13"/>
      <c r="DG27" s="13"/>
      <c r="DH27" s="13"/>
      <c r="DI27" s="13"/>
      <c r="DJ27" s="13"/>
      <c r="DK27" s="13"/>
      <c r="DL27" s="13"/>
      <c r="DM27" s="13"/>
      <c r="DN27" s="13"/>
      <c r="DO27" s="13"/>
      <c r="DP27" s="13"/>
      <c r="DQ27" s="13"/>
      <c r="DR27" s="13"/>
      <c r="DS27" s="13"/>
      <c r="DT27" s="13"/>
      <c r="DU27" s="13"/>
      <c r="DV27" s="13"/>
      <c r="DW27" s="13"/>
    </row>
    <row r="28" spans="1:127">
      <c r="A28" s="13" t="str">
        <f>Schedule_Data_ScenarioB!A29</f>
        <v>V3</v>
      </c>
      <c r="B28" s="13" t="str">
        <f>Schedule_Data_ScenarioB!B29</f>
        <v>3.0</v>
      </c>
      <c r="C28" s="13" t="str">
        <f>Schedule_Data_ScenarioB!C29</f>
        <v>VOYAGE 3: TR4-TR5 Transport</v>
      </c>
      <c r="D28" s="34" t="str">
        <f>Schedule_Data_ScenarioB!D29</f>
        <v>MILESTONE</v>
      </c>
      <c r="E28" s="33">
        <f>Schedule_Data_ScenarioB!F29</f>
        <v>46068</v>
      </c>
      <c r="F28" s="33">
        <f>Schedule_Data_ScenarioB!G29</f>
        <v>46068</v>
      </c>
      <c r="G28" s="13">
        <f>Schedule_Data_ScenarioB!H29</f>
        <v>0</v>
      </c>
      <c r="H28" s="13"/>
      <c r="I28" s="13"/>
      <c r="J28" s="13"/>
      <c r="K28" s="13"/>
      <c r="L28" s="13"/>
      <c r="M28" s="13"/>
      <c r="N28" s="13"/>
      <c r="O28" s="13"/>
      <c r="P28" s="13"/>
      <c r="Q28" s="13"/>
      <c r="R28" s="13"/>
      <c r="S28" s="13"/>
      <c r="T28" s="13"/>
      <c r="U28" s="13"/>
      <c r="V28" s="13"/>
      <c r="W28" s="13"/>
      <c r="X28" s="13"/>
      <c r="Y28" s="13"/>
      <c r="Z28" s="13"/>
      <c r="AA28" s="13"/>
      <c r="AB28" s="13"/>
      <c r="AC28" s="13"/>
      <c r="AD28" s="13"/>
      <c r="AE28" s="13"/>
      <c r="AF28" s="13"/>
      <c r="AG28" s="13"/>
      <c r="AH28" s="13"/>
      <c r="AI28" s="13"/>
      <c r="AJ28" s="13"/>
      <c r="AK28" s="13"/>
      <c r="AL28" s="13"/>
      <c r="AM28" s="35" t="s">
        <v>270</v>
      </c>
      <c r="AN28" s="13"/>
      <c r="AO28" s="13"/>
      <c r="AP28" s="13"/>
      <c r="AQ28" s="13"/>
      <c r="AR28" s="13"/>
      <c r="AS28" s="13"/>
      <c r="AT28" s="13"/>
      <c r="AU28" s="13"/>
      <c r="AV28" s="13"/>
      <c r="AW28" s="13"/>
      <c r="AX28" s="13"/>
      <c r="AY28" s="13"/>
      <c r="AZ28" s="13"/>
      <c r="BA28" s="13"/>
      <c r="BB28" s="13"/>
      <c r="BC28" s="13"/>
      <c r="BD28" s="13"/>
      <c r="BE28" s="13"/>
      <c r="BF28" s="13"/>
      <c r="BG28" s="13"/>
      <c r="BH28" s="13"/>
      <c r="BI28" s="13"/>
      <c r="BJ28" s="13"/>
      <c r="BK28" s="13"/>
      <c r="BL28" s="13"/>
      <c r="BM28" s="13"/>
      <c r="BN28" s="13"/>
      <c r="BO28" s="13"/>
      <c r="BP28" s="13"/>
      <c r="BQ28" s="13"/>
      <c r="BR28" s="13"/>
      <c r="BS28" s="13"/>
      <c r="BT28" s="13"/>
      <c r="BU28" s="13"/>
      <c r="BV28" s="13"/>
      <c r="BW28" s="13"/>
      <c r="BX28" s="13"/>
      <c r="BY28" s="13"/>
      <c r="BZ28" s="13"/>
      <c r="CA28" s="13"/>
      <c r="CB28" s="13"/>
      <c r="CC28" s="13"/>
      <c r="CD28" s="13"/>
      <c r="CE28" s="13"/>
      <c r="CF28" s="13"/>
      <c r="CG28" s="13"/>
      <c r="CH28" s="13"/>
      <c r="CI28" s="13"/>
      <c r="CJ28" s="13"/>
      <c r="CK28" s="13"/>
      <c r="CL28" s="13"/>
      <c r="CM28" s="13"/>
      <c r="CN28" s="13"/>
      <c r="CO28" s="13"/>
      <c r="CP28" s="13"/>
      <c r="CQ28" s="13"/>
      <c r="CR28" s="13"/>
      <c r="CS28" s="13"/>
      <c r="CT28" s="13"/>
      <c r="CU28" s="13"/>
      <c r="CV28" s="13"/>
      <c r="CW28" s="13"/>
      <c r="CX28" s="13"/>
      <c r="CY28" s="13"/>
      <c r="CZ28" s="13"/>
      <c r="DA28" s="13"/>
      <c r="DB28" s="13"/>
      <c r="DC28" s="13"/>
      <c r="DD28" s="13"/>
      <c r="DE28" s="13"/>
      <c r="DF28" s="13"/>
      <c r="DG28" s="13"/>
      <c r="DH28" s="13"/>
      <c r="DI28" s="13"/>
      <c r="DJ28" s="13"/>
      <c r="DK28" s="13"/>
      <c r="DL28" s="13"/>
      <c r="DM28" s="13"/>
      <c r="DN28" s="13"/>
      <c r="DO28" s="13"/>
      <c r="DP28" s="13"/>
      <c r="DQ28" s="13"/>
      <c r="DR28" s="13"/>
      <c r="DS28" s="13"/>
      <c r="DT28" s="13"/>
      <c r="DU28" s="13"/>
      <c r="DV28" s="13"/>
      <c r="DW28" s="13"/>
    </row>
    <row r="29" spans="1:127">
      <c r="A29" s="13" t="str">
        <f>Schedule_Data_ScenarioB!A30</f>
        <v>LO-03</v>
      </c>
      <c r="B29" s="13" t="str">
        <f>Schedule_Data_ScenarioB!B30</f>
        <v>3.0</v>
      </c>
      <c r="C29" s="13" t="str">
        <f>Schedule_Data_ScenarioB!C30</f>
        <v>Loadout TR4-TR5 onto LCT</v>
      </c>
      <c r="D29" s="20" t="str">
        <f>Schedule_Data_ScenarioB!D30</f>
        <v>LOADOUT</v>
      </c>
      <c r="E29" s="33">
        <f>Schedule_Data_ScenarioB!F30</f>
        <v>46068</v>
      </c>
      <c r="F29" s="33">
        <f>Schedule_Data_ScenarioB!G30</f>
        <v>46070</v>
      </c>
      <c r="G29" s="13">
        <f>Schedule_Data_ScenarioB!H30</f>
        <v>2</v>
      </c>
      <c r="H29" s="13"/>
      <c r="I29" s="13"/>
      <c r="J29" s="13"/>
      <c r="K29" s="13"/>
      <c r="L29" s="13"/>
      <c r="M29" s="13"/>
      <c r="N29" s="13"/>
      <c r="O29" s="13"/>
      <c r="P29" s="13"/>
      <c r="Q29" s="13"/>
      <c r="R29" s="13"/>
      <c r="S29" s="13"/>
      <c r="T29" s="13"/>
      <c r="U29" s="13"/>
      <c r="V29" s="13"/>
      <c r="W29" s="13"/>
      <c r="X29" s="13"/>
      <c r="Y29" s="13"/>
      <c r="Z29" s="13"/>
      <c r="AA29" s="13"/>
      <c r="AB29" s="13"/>
      <c r="AC29" s="13"/>
      <c r="AD29" s="13"/>
      <c r="AE29" s="13"/>
      <c r="AF29" s="13"/>
      <c r="AG29" s="13"/>
      <c r="AH29" s="13"/>
      <c r="AI29" s="13"/>
      <c r="AJ29" s="13"/>
      <c r="AK29" s="13"/>
      <c r="AL29" s="13"/>
      <c r="AM29" s="20"/>
      <c r="AN29" s="20"/>
      <c r="AO29" s="13"/>
      <c r="AP29" s="13"/>
      <c r="AQ29" s="13"/>
      <c r="AR29" s="13"/>
      <c r="AS29" s="13"/>
      <c r="AT29" s="13"/>
      <c r="AU29" s="13"/>
      <c r="AV29" s="13"/>
      <c r="AW29" s="13"/>
      <c r="AX29" s="13"/>
      <c r="AY29" s="13"/>
      <c r="AZ29" s="13"/>
      <c r="BA29" s="13"/>
      <c r="BB29" s="13"/>
      <c r="BC29" s="13"/>
      <c r="BD29" s="13"/>
      <c r="BE29" s="13"/>
      <c r="BF29" s="13"/>
      <c r="BG29" s="13"/>
      <c r="BH29" s="13"/>
      <c r="BI29" s="13"/>
      <c r="BJ29" s="13"/>
      <c r="BK29" s="13"/>
      <c r="BL29" s="13"/>
      <c r="BM29" s="13"/>
      <c r="BN29" s="13"/>
      <c r="BO29" s="13"/>
      <c r="BP29" s="13"/>
      <c r="BQ29" s="13"/>
      <c r="BR29" s="13"/>
      <c r="BS29" s="13"/>
      <c r="BT29" s="13"/>
      <c r="BU29" s="13"/>
      <c r="BV29" s="13"/>
      <c r="BW29" s="13"/>
      <c r="BX29" s="13"/>
      <c r="BY29" s="13"/>
      <c r="BZ29" s="13"/>
      <c r="CA29" s="13"/>
      <c r="CB29" s="13"/>
      <c r="CC29" s="13"/>
      <c r="CD29" s="13"/>
      <c r="CE29" s="13"/>
      <c r="CF29" s="13"/>
      <c r="CG29" s="13"/>
      <c r="CH29" s="13"/>
      <c r="CI29" s="13"/>
      <c r="CJ29" s="13"/>
      <c r="CK29" s="13"/>
      <c r="CL29" s="13"/>
      <c r="CM29" s="13"/>
      <c r="CN29" s="13"/>
      <c r="CO29" s="13"/>
      <c r="CP29" s="13"/>
      <c r="CQ29" s="13"/>
      <c r="CR29" s="13"/>
      <c r="CS29" s="13"/>
      <c r="CT29" s="13"/>
      <c r="CU29" s="13"/>
      <c r="CV29" s="13"/>
      <c r="CW29" s="13"/>
      <c r="CX29" s="13"/>
      <c r="CY29" s="13"/>
      <c r="CZ29" s="13"/>
      <c r="DA29" s="13"/>
      <c r="DB29" s="13"/>
      <c r="DC29" s="13"/>
      <c r="DD29" s="13"/>
      <c r="DE29" s="13"/>
      <c r="DF29" s="13"/>
      <c r="DG29" s="13"/>
      <c r="DH29" s="13"/>
      <c r="DI29" s="13"/>
      <c r="DJ29" s="13"/>
      <c r="DK29" s="13"/>
      <c r="DL29" s="13"/>
      <c r="DM29" s="13"/>
      <c r="DN29" s="13"/>
      <c r="DO29" s="13"/>
      <c r="DP29" s="13"/>
      <c r="DQ29" s="13"/>
      <c r="DR29" s="13"/>
      <c r="DS29" s="13"/>
      <c r="DT29" s="13"/>
      <c r="DU29" s="13"/>
      <c r="DV29" s="13"/>
      <c r="DW29" s="13"/>
    </row>
    <row r="30" spans="1:127">
      <c r="A30" s="13" t="str">
        <f>Schedule_Data_ScenarioB!A31</f>
        <v>SF-03</v>
      </c>
      <c r="B30" s="13" t="str">
        <f>Schedule_Data_ScenarioB!B31</f>
        <v>3.0</v>
      </c>
      <c r="C30" s="13" t="str">
        <f>Schedule_Data_ScenarioB!C31</f>
        <v>Sea fastening + MWS checks (TR4-TR5)</v>
      </c>
      <c r="D30" s="21" t="str">
        <f>Schedule_Data_ScenarioB!D31</f>
        <v>SEAFAST</v>
      </c>
      <c r="E30" s="33">
        <f>Schedule_Data_ScenarioB!F31</f>
        <v>46070</v>
      </c>
      <c r="F30" s="33">
        <f>Schedule_Data_ScenarioB!G31</f>
        <v>46070</v>
      </c>
      <c r="G30" s="13">
        <f>Schedule_Data_ScenarioB!H31</f>
        <v>0</v>
      </c>
      <c r="H30" s="13"/>
      <c r="I30" s="13"/>
      <c r="J30" s="13"/>
      <c r="K30" s="13"/>
      <c r="L30" s="13"/>
      <c r="M30" s="13"/>
      <c r="N30" s="13"/>
      <c r="O30" s="13"/>
      <c r="P30" s="13"/>
      <c r="Q30" s="13"/>
      <c r="R30" s="13"/>
      <c r="S30" s="13"/>
      <c r="T30" s="13"/>
      <c r="U30" s="13"/>
      <c r="V30" s="13"/>
      <c r="W30" s="13"/>
      <c r="X30" s="13"/>
      <c r="Y30" s="13"/>
      <c r="Z30" s="13"/>
      <c r="AA30" s="13"/>
      <c r="AB30" s="13"/>
      <c r="AC30" s="13"/>
      <c r="AD30" s="13"/>
      <c r="AE30" s="13"/>
      <c r="AF30" s="13"/>
      <c r="AG30" s="13"/>
      <c r="AH30" s="13"/>
      <c r="AI30" s="13"/>
      <c r="AJ30" s="13"/>
      <c r="AK30" s="13"/>
      <c r="AL30" s="13"/>
      <c r="AM30" s="13"/>
      <c r="AN30" s="13"/>
      <c r="AO30" s="21"/>
      <c r="AP30" s="13"/>
      <c r="AQ30" s="13"/>
      <c r="AR30" s="13"/>
      <c r="AS30" s="13"/>
      <c r="AT30" s="13"/>
      <c r="AU30" s="13"/>
      <c r="AV30" s="13"/>
      <c r="AW30" s="13"/>
      <c r="AX30" s="13"/>
      <c r="AY30" s="13"/>
      <c r="AZ30" s="13"/>
      <c r="BA30" s="13"/>
      <c r="BB30" s="13"/>
      <c r="BC30" s="13"/>
      <c r="BD30" s="13"/>
      <c r="BE30" s="13"/>
      <c r="BF30" s="13"/>
      <c r="BG30" s="13"/>
      <c r="BH30" s="13"/>
      <c r="BI30" s="13"/>
      <c r="BJ30" s="13"/>
      <c r="BK30" s="13"/>
      <c r="BL30" s="13"/>
      <c r="BM30" s="13"/>
      <c r="BN30" s="13"/>
      <c r="BO30" s="13"/>
      <c r="BP30" s="13"/>
      <c r="BQ30" s="13"/>
      <c r="BR30" s="13"/>
      <c r="BS30" s="13"/>
      <c r="BT30" s="13"/>
      <c r="BU30" s="13"/>
      <c r="BV30" s="13"/>
      <c r="BW30" s="13"/>
      <c r="BX30" s="13"/>
      <c r="BY30" s="13"/>
      <c r="BZ30" s="13"/>
      <c r="CA30" s="13"/>
      <c r="CB30" s="13"/>
      <c r="CC30" s="13"/>
      <c r="CD30" s="13"/>
      <c r="CE30" s="13"/>
      <c r="CF30" s="13"/>
      <c r="CG30" s="13"/>
      <c r="CH30" s="13"/>
      <c r="CI30" s="13"/>
      <c r="CJ30" s="13"/>
      <c r="CK30" s="13"/>
      <c r="CL30" s="13"/>
      <c r="CM30" s="13"/>
      <c r="CN30" s="13"/>
      <c r="CO30" s="13"/>
      <c r="CP30" s="13"/>
      <c r="CQ30" s="13"/>
      <c r="CR30" s="13"/>
      <c r="CS30" s="13"/>
      <c r="CT30" s="13"/>
      <c r="CU30" s="13"/>
      <c r="CV30" s="13"/>
      <c r="CW30" s="13"/>
      <c r="CX30" s="13"/>
      <c r="CY30" s="13"/>
      <c r="CZ30" s="13"/>
      <c r="DA30" s="13"/>
      <c r="DB30" s="13"/>
      <c r="DC30" s="13"/>
      <c r="DD30" s="13"/>
      <c r="DE30" s="13"/>
      <c r="DF30" s="13"/>
      <c r="DG30" s="13"/>
      <c r="DH30" s="13"/>
      <c r="DI30" s="13"/>
      <c r="DJ30" s="13"/>
      <c r="DK30" s="13"/>
      <c r="DL30" s="13"/>
      <c r="DM30" s="13"/>
      <c r="DN30" s="13"/>
      <c r="DO30" s="13"/>
      <c r="DP30" s="13"/>
      <c r="DQ30" s="13"/>
      <c r="DR30" s="13"/>
      <c r="DS30" s="13"/>
      <c r="DT30" s="13"/>
      <c r="DU30" s="13"/>
      <c r="DV30" s="13"/>
      <c r="DW30" s="13"/>
    </row>
    <row r="31" spans="1:127">
      <c r="A31" s="13" t="str">
        <f>Schedule_Data_ScenarioB!A32</f>
        <v>SAIL-03</v>
      </c>
      <c r="B31" s="13" t="str">
        <f>Schedule_Data_ScenarioB!B32</f>
        <v>3.0</v>
      </c>
      <c r="C31" s="13" t="str">
        <f>Schedule_Data_ScenarioB!C32</f>
        <v>Sail-away MZP→AGI</v>
      </c>
      <c r="D31" s="23" t="str">
        <f>Schedule_Data_ScenarioB!D32</f>
        <v>SAIL</v>
      </c>
      <c r="E31" s="33">
        <f>Schedule_Data_ScenarioB!F32</f>
        <v>46071</v>
      </c>
      <c r="F31" s="33">
        <f>Schedule_Data_ScenarioB!G32</f>
        <v>46071</v>
      </c>
      <c r="G31" s="13">
        <f>Schedule_Data_ScenarioB!H32</f>
        <v>0</v>
      </c>
      <c r="H31" s="13"/>
      <c r="I31" s="13"/>
      <c r="J31" s="13"/>
      <c r="K31" s="13"/>
      <c r="L31" s="13"/>
      <c r="M31" s="13"/>
      <c r="N31" s="13"/>
      <c r="O31" s="13"/>
      <c r="P31" s="13"/>
      <c r="Q31" s="13"/>
      <c r="R31" s="13"/>
      <c r="S31" s="13"/>
      <c r="T31" s="13"/>
      <c r="U31" s="13"/>
      <c r="V31" s="13"/>
      <c r="W31" s="13"/>
      <c r="X31" s="13"/>
      <c r="Y31" s="13"/>
      <c r="Z31" s="13"/>
      <c r="AA31" s="13"/>
      <c r="AB31" s="13"/>
      <c r="AC31" s="13"/>
      <c r="AD31" s="13"/>
      <c r="AE31" s="13"/>
      <c r="AF31" s="13"/>
      <c r="AG31" s="13"/>
      <c r="AH31" s="13"/>
      <c r="AI31" s="13"/>
      <c r="AJ31" s="13"/>
      <c r="AK31" s="13"/>
      <c r="AL31" s="13"/>
      <c r="AM31" s="13"/>
      <c r="AN31" s="13"/>
      <c r="AO31" s="13"/>
      <c r="AP31" s="23"/>
      <c r="AQ31" s="13"/>
      <c r="AR31" s="13"/>
      <c r="AS31" s="13"/>
      <c r="AT31" s="13"/>
      <c r="AU31" s="13"/>
      <c r="AV31" s="13"/>
      <c r="AW31" s="13"/>
      <c r="AX31" s="13"/>
      <c r="AY31" s="13"/>
      <c r="AZ31" s="13"/>
      <c r="BA31" s="13"/>
      <c r="BB31" s="13"/>
      <c r="BC31" s="13"/>
      <c r="BD31" s="13"/>
      <c r="BE31" s="13"/>
      <c r="BF31" s="13"/>
      <c r="BG31" s="13"/>
      <c r="BH31" s="13"/>
      <c r="BI31" s="13"/>
      <c r="BJ31" s="13"/>
      <c r="BK31" s="13"/>
      <c r="BL31" s="13"/>
      <c r="BM31" s="13"/>
      <c r="BN31" s="13"/>
      <c r="BO31" s="13"/>
      <c r="BP31" s="13"/>
      <c r="BQ31" s="13"/>
      <c r="BR31" s="13"/>
      <c r="BS31" s="13"/>
      <c r="BT31" s="13"/>
      <c r="BU31" s="13"/>
      <c r="BV31" s="13"/>
      <c r="BW31" s="13"/>
      <c r="BX31" s="13"/>
      <c r="BY31" s="13"/>
      <c r="BZ31" s="13"/>
      <c r="CA31" s="13"/>
      <c r="CB31" s="13"/>
      <c r="CC31" s="13"/>
      <c r="CD31" s="13"/>
      <c r="CE31" s="13"/>
      <c r="CF31" s="13"/>
      <c r="CG31" s="13"/>
      <c r="CH31" s="13"/>
      <c r="CI31" s="13"/>
      <c r="CJ31" s="13"/>
      <c r="CK31" s="13"/>
      <c r="CL31" s="13"/>
      <c r="CM31" s="13"/>
      <c r="CN31" s="13"/>
      <c r="CO31" s="13"/>
      <c r="CP31" s="13"/>
      <c r="CQ31" s="13"/>
      <c r="CR31" s="13"/>
      <c r="CS31" s="13"/>
      <c r="CT31" s="13"/>
      <c r="CU31" s="13"/>
      <c r="CV31" s="13"/>
      <c r="CW31" s="13"/>
      <c r="CX31" s="13"/>
      <c r="CY31" s="13"/>
      <c r="CZ31" s="13"/>
      <c r="DA31" s="13"/>
      <c r="DB31" s="13"/>
      <c r="DC31" s="13"/>
      <c r="DD31" s="13"/>
      <c r="DE31" s="13"/>
      <c r="DF31" s="13"/>
      <c r="DG31" s="13"/>
      <c r="DH31" s="13"/>
      <c r="DI31" s="13"/>
      <c r="DJ31" s="13"/>
      <c r="DK31" s="13"/>
      <c r="DL31" s="13"/>
      <c r="DM31" s="13"/>
      <c r="DN31" s="13"/>
      <c r="DO31" s="13"/>
      <c r="DP31" s="13"/>
      <c r="DQ31" s="13"/>
      <c r="DR31" s="13"/>
      <c r="DS31" s="13"/>
      <c r="DT31" s="13"/>
      <c r="DU31" s="13"/>
      <c r="DV31" s="13"/>
      <c r="DW31" s="13"/>
    </row>
    <row r="32" spans="1:127">
      <c r="A32" s="13" t="str">
        <f>Schedule_Data_ScenarioB!A33</f>
        <v>UL-03-1</v>
      </c>
      <c r="B32" s="13" t="str">
        <f>Schedule_Data_ScenarioB!B33</f>
        <v>3.0</v>
      </c>
      <c r="C32" s="13" t="str">
        <f>Schedule_Data_ScenarioB!C33</f>
        <v>Unload TR4 at AGI (1 unit/day)</v>
      </c>
      <c r="D32" s="24" t="str">
        <f>Schedule_Data_ScenarioB!D33</f>
        <v>AGI_UNLOAD</v>
      </c>
      <c r="E32" s="33">
        <f>Schedule_Data_ScenarioB!F33</f>
        <v>46072</v>
      </c>
      <c r="F32" s="33">
        <f>Schedule_Data_ScenarioB!G33</f>
        <v>46072</v>
      </c>
      <c r="G32" s="13">
        <f>Schedule_Data_ScenarioB!H33</f>
        <v>0</v>
      </c>
      <c r="H32" s="13"/>
      <c r="I32" s="13"/>
      <c r="J32" s="13"/>
      <c r="K32" s="13"/>
      <c r="L32" s="13"/>
      <c r="M32" s="13"/>
      <c r="N32" s="13"/>
      <c r="O32" s="13"/>
      <c r="P32" s="13"/>
      <c r="Q32" s="13"/>
      <c r="R32" s="13"/>
      <c r="S32" s="13"/>
      <c r="T32" s="13"/>
      <c r="U32" s="13"/>
      <c r="V32" s="13"/>
      <c r="W32" s="13"/>
      <c r="X32" s="13"/>
      <c r="Y32" s="13"/>
      <c r="Z32" s="13"/>
      <c r="AA32" s="13"/>
      <c r="AB32" s="13"/>
      <c r="AC32" s="13"/>
      <c r="AD32" s="13"/>
      <c r="AE32" s="13"/>
      <c r="AF32" s="13"/>
      <c r="AG32" s="13"/>
      <c r="AH32" s="13"/>
      <c r="AI32" s="13"/>
      <c r="AJ32" s="13"/>
      <c r="AK32" s="13"/>
      <c r="AL32" s="13"/>
      <c r="AM32" s="13"/>
      <c r="AN32" s="13"/>
      <c r="AO32" s="13"/>
      <c r="AP32" s="13"/>
      <c r="AQ32" s="24"/>
      <c r="AR32" s="13"/>
      <c r="AS32" s="13"/>
      <c r="AT32" s="13"/>
      <c r="AU32" s="13"/>
      <c r="AV32" s="13"/>
      <c r="AW32" s="13"/>
      <c r="AX32" s="13"/>
      <c r="AY32" s="13"/>
      <c r="AZ32" s="13"/>
      <c r="BA32" s="13"/>
      <c r="BB32" s="13"/>
      <c r="BC32" s="13"/>
      <c r="BD32" s="13"/>
      <c r="BE32" s="13"/>
      <c r="BF32" s="13"/>
      <c r="BG32" s="13"/>
      <c r="BH32" s="13"/>
      <c r="BI32" s="13"/>
      <c r="BJ32" s="13"/>
      <c r="BK32" s="13"/>
      <c r="BL32" s="13"/>
      <c r="BM32" s="13"/>
      <c r="BN32" s="13"/>
      <c r="BO32" s="13"/>
      <c r="BP32" s="13"/>
      <c r="BQ32" s="13"/>
      <c r="BR32" s="13"/>
      <c r="BS32" s="13"/>
      <c r="BT32" s="13"/>
      <c r="BU32" s="13"/>
      <c r="BV32" s="13"/>
      <c r="BW32" s="13"/>
      <c r="BX32" s="13"/>
      <c r="BY32" s="13"/>
      <c r="BZ32" s="13"/>
      <c r="CA32" s="13"/>
      <c r="CB32" s="13"/>
      <c r="CC32" s="13"/>
      <c r="CD32" s="13"/>
      <c r="CE32" s="13"/>
      <c r="CF32" s="13"/>
      <c r="CG32" s="13"/>
      <c r="CH32" s="13"/>
      <c r="CI32" s="13"/>
      <c r="CJ32" s="13"/>
      <c r="CK32" s="13"/>
      <c r="CL32" s="13"/>
      <c r="CM32" s="13"/>
      <c r="CN32" s="13"/>
      <c r="CO32" s="13"/>
      <c r="CP32" s="13"/>
      <c r="CQ32" s="13"/>
      <c r="CR32" s="13"/>
      <c r="CS32" s="13"/>
      <c r="CT32" s="13"/>
      <c r="CU32" s="13"/>
      <c r="CV32" s="13"/>
      <c r="CW32" s="13"/>
      <c r="CX32" s="13"/>
      <c r="CY32" s="13"/>
      <c r="CZ32" s="13"/>
      <c r="DA32" s="13"/>
      <c r="DB32" s="13"/>
      <c r="DC32" s="13"/>
      <c r="DD32" s="13"/>
      <c r="DE32" s="13"/>
      <c r="DF32" s="13"/>
      <c r="DG32" s="13"/>
      <c r="DH32" s="13"/>
      <c r="DI32" s="13"/>
      <c r="DJ32" s="13"/>
      <c r="DK32" s="13"/>
      <c r="DL32" s="13"/>
      <c r="DM32" s="13"/>
      <c r="DN32" s="13"/>
      <c r="DO32" s="13"/>
      <c r="DP32" s="13"/>
      <c r="DQ32" s="13"/>
      <c r="DR32" s="13"/>
      <c r="DS32" s="13"/>
      <c r="DT32" s="13"/>
      <c r="DU32" s="13"/>
      <c r="DV32" s="13"/>
      <c r="DW32" s="13"/>
    </row>
    <row r="33" spans="1:127">
      <c r="A33" s="13" t="str">
        <f>Schedule_Data_ScenarioB!A34</f>
        <v>UL-03-2</v>
      </c>
      <c r="B33" s="13" t="str">
        <f>Schedule_Data_ScenarioB!B34</f>
        <v>3.0</v>
      </c>
      <c r="C33" s="13" t="str">
        <f>Schedule_Data_ScenarioB!C34</f>
        <v>Unload TR5 at AGI (1 unit/day)</v>
      </c>
      <c r="D33" s="24" t="str">
        <f>Schedule_Data_ScenarioB!D34</f>
        <v>AGI_UNLOAD</v>
      </c>
      <c r="E33" s="33">
        <f>Schedule_Data_ScenarioB!F34</f>
        <v>46073</v>
      </c>
      <c r="F33" s="33">
        <f>Schedule_Data_ScenarioB!G34</f>
        <v>46073</v>
      </c>
      <c r="G33" s="13">
        <f>Schedule_Data_ScenarioB!H34</f>
        <v>0</v>
      </c>
      <c r="H33" s="13"/>
      <c r="I33" s="13"/>
      <c r="J33" s="13"/>
      <c r="K33" s="13"/>
      <c r="L33" s="13"/>
      <c r="M33" s="13"/>
      <c r="N33" s="13"/>
      <c r="O33" s="13"/>
      <c r="P33" s="13"/>
      <c r="Q33" s="13"/>
      <c r="R33" s="13"/>
      <c r="S33" s="13"/>
      <c r="T33" s="13"/>
      <c r="U33" s="13"/>
      <c r="V33" s="13"/>
      <c r="W33" s="13"/>
      <c r="X33" s="13"/>
      <c r="Y33" s="13"/>
      <c r="Z33" s="13"/>
      <c r="AA33" s="13"/>
      <c r="AB33" s="13"/>
      <c r="AC33" s="13"/>
      <c r="AD33" s="13"/>
      <c r="AE33" s="13"/>
      <c r="AF33" s="13"/>
      <c r="AG33" s="13"/>
      <c r="AH33" s="13"/>
      <c r="AI33" s="13"/>
      <c r="AJ33" s="13"/>
      <c r="AK33" s="13"/>
      <c r="AL33" s="13"/>
      <c r="AM33" s="13"/>
      <c r="AN33" s="13"/>
      <c r="AO33" s="13"/>
      <c r="AP33" s="13"/>
      <c r="AQ33" s="13"/>
      <c r="AR33" s="24"/>
      <c r="AS33" s="13"/>
      <c r="AT33" s="13"/>
      <c r="AU33" s="13"/>
      <c r="AV33" s="13"/>
      <c r="AW33" s="13"/>
      <c r="AX33" s="13"/>
      <c r="AY33" s="13"/>
      <c r="AZ33" s="13"/>
      <c r="BA33" s="13"/>
      <c r="BB33" s="13"/>
      <c r="BC33" s="13"/>
      <c r="BD33" s="13"/>
      <c r="BE33" s="13"/>
      <c r="BF33" s="13"/>
      <c r="BG33" s="13"/>
      <c r="BH33" s="13"/>
      <c r="BI33" s="13"/>
      <c r="BJ33" s="13"/>
      <c r="BK33" s="13"/>
      <c r="BL33" s="13"/>
      <c r="BM33" s="13"/>
      <c r="BN33" s="13"/>
      <c r="BO33" s="13"/>
      <c r="BP33" s="13"/>
      <c r="BQ33" s="13"/>
      <c r="BR33" s="13"/>
      <c r="BS33" s="13"/>
      <c r="BT33" s="13"/>
      <c r="BU33" s="13"/>
      <c r="BV33" s="13"/>
      <c r="BW33" s="13"/>
      <c r="BX33" s="13"/>
      <c r="BY33" s="13"/>
      <c r="BZ33" s="13"/>
      <c r="CA33" s="13"/>
      <c r="CB33" s="13"/>
      <c r="CC33" s="13"/>
      <c r="CD33" s="13"/>
      <c r="CE33" s="13"/>
      <c r="CF33" s="13"/>
      <c r="CG33" s="13"/>
      <c r="CH33" s="13"/>
      <c r="CI33" s="13"/>
      <c r="CJ33" s="13"/>
      <c r="CK33" s="13"/>
      <c r="CL33" s="13"/>
      <c r="CM33" s="13"/>
      <c r="CN33" s="13"/>
      <c r="CO33" s="13"/>
      <c r="CP33" s="13"/>
      <c r="CQ33" s="13"/>
      <c r="CR33" s="13"/>
      <c r="CS33" s="13"/>
      <c r="CT33" s="13"/>
      <c r="CU33" s="13"/>
      <c r="CV33" s="13"/>
      <c r="CW33" s="13"/>
      <c r="CX33" s="13"/>
      <c r="CY33" s="13"/>
      <c r="CZ33" s="13"/>
      <c r="DA33" s="13"/>
      <c r="DB33" s="13"/>
      <c r="DC33" s="13"/>
      <c r="DD33" s="13"/>
      <c r="DE33" s="13"/>
      <c r="DF33" s="13"/>
      <c r="DG33" s="13"/>
      <c r="DH33" s="13"/>
      <c r="DI33" s="13"/>
      <c r="DJ33" s="13"/>
      <c r="DK33" s="13"/>
      <c r="DL33" s="13"/>
      <c r="DM33" s="13"/>
      <c r="DN33" s="13"/>
      <c r="DO33" s="13"/>
      <c r="DP33" s="13"/>
      <c r="DQ33" s="13"/>
      <c r="DR33" s="13"/>
      <c r="DS33" s="13"/>
      <c r="DT33" s="13"/>
      <c r="DU33" s="13"/>
      <c r="DV33" s="13"/>
      <c r="DW33" s="13"/>
    </row>
    <row r="34" spans="1:127">
      <c r="A34" s="13" t="str">
        <f>Schedule_Data_ScenarioB!A35</f>
        <v>TURN-03-1</v>
      </c>
      <c r="B34" s="13" t="str">
        <f>Schedule_Data_ScenarioB!B35</f>
        <v>3.0</v>
      </c>
      <c r="C34" s="13" t="str">
        <f>Schedule_Data_ScenarioB!C35</f>
        <v>Turning TR4 (90°)</v>
      </c>
      <c r="D34" s="26" t="str">
        <f>Schedule_Data_ScenarioB!D35</f>
        <v>TURNING</v>
      </c>
      <c r="E34" s="33">
        <f>Schedule_Data_ScenarioB!F35</f>
        <v>46074</v>
      </c>
      <c r="F34" s="33">
        <f>Schedule_Data_ScenarioB!G35</f>
        <v>46074</v>
      </c>
      <c r="G34" s="13">
        <f>Schedule_Data_ScenarioB!H35</f>
        <v>0</v>
      </c>
      <c r="H34" s="13"/>
      <c r="I34" s="13"/>
      <c r="J34" s="13"/>
      <c r="K34" s="13"/>
      <c r="L34" s="13"/>
      <c r="M34" s="13"/>
      <c r="N34" s="13"/>
      <c r="O34" s="13"/>
      <c r="P34" s="13"/>
      <c r="Q34" s="13"/>
      <c r="R34" s="13"/>
      <c r="S34" s="13"/>
      <c r="T34" s="13"/>
      <c r="U34" s="13"/>
      <c r="V34" s="13"/>
      <c r="W34" s="13"/>
      <c r="X34" s="13"/>
      <c r="Y34" s="13"/>
      <c r="Z34" s="13"/>
      <c r="AA34" s="13"/>
      <c r="AB34" s="13"/>
      <c r="AC34" s="13"/>
      <c r="AD34" s="13"/>
      <c r="AE34" s="13"/>
      <c r="AF34" s="13"/>
      <c r="AG34" s="13"/>
      <c r="AH34" s="13"/>
      <c r="AI34" s="13"/>
      <c r="AJ34" s="13"/>
      <c r="AK34" s="13"/>
      <c r="AL34" s="13"/>
      <c r="AM34" s="13"/>
      <c r="AN34" s="13"/>
      <c r="AO34" s="13"/>
      <c r="AP34" s="13"/>
      <c r="AQ34" s="13"/>
      <c r="AR34" s="13"/>
      <c r="AS34" s="26"/>
      <c r="AT34" s="13"/>
      <c r="AU34" s="13"/>
      <c r="AV34" s="13"/>
      <c r="AW34" s="13"/>
      <c r="AX34" s="13"/>
      <c r="AY34" s="13"/>
      <c r="AZ34" s="13"/>
      <c r="BA34" s="13"/>
      <c r="BB34" s="13"/>
      <c r="BC34" s="13"/>
      <c r="BD34" s="13"/>
      <c r="BE34" s="13"/>
      <c r="BF34" s="13"/>
      <c r="BG34" s="13"/>
      <c r="BH34" s="13"/>
      <c r="BI34" s="13"/>
      <c r="BJ34" s="13"/>
      <c r="BK34" s="13"/>
      <c r="BL34" s="13"/>
      <c r="BM34" s="13"/>
      <c r="BN34" s="13"/>
      <c r="BO34" s="13"/>
      <c r="BP34" s="13"/>
      <c r="BQ34" s="13"/>
      <c r="BR34" s="13"/>
      <c r="BS34" s="13"/>
      <c r="BT34" s="13"/>
      <c r="BU34" s="13"/>
      <c r="BV34" s="13"/>
      <c r="BW34" s="13"/>
      <c r="BX34" s="13"/>
      <c r="BY34" s="13"/>
      <c r="BZ34" s="13"/>
      <c r="CA34" s="13"/>
      <c r="CB34" s="13"/>
      <c r="CC34" s="13"/>
      <c r="CD34" s="13"/>
      <c r="CE34" s="13"/>
      <c r="CF34" s="13"/>
      <c r="CG34" s="13"/>
      <c r="CH34" s="13"/>
      <c r="CI34" s="13"/>
      <c r="CJ34" s="13"/>
      <c r="CK34" s="13"/>
      <c r="CL34" s="13"/>
      <c r="CM34" s="13"/>
      <c r="CN34" s="13"/>
      <c r="CO34" s="13"/>
      <c r="CP34" s="13"/>
      <c r="CQ34" s="13"/>
      <c r="CR34" s="13"/>
      <c r="CS34" s="13"/>
      <c r="CT34" s="13"/>
      <c r="CU34" s="13"/>
      <c r="CV34" s="13"/>
      <c r="CW34" s="13"/>
      <c r="CX34" s="13"/>
      <c r="CY34" s="13"/>
      <c r="CZ34" s="13"/>
      <c r="DA34" s="13"/>
      <c r="DB34" s="13"/>
      <c r="DC34" s="13"/>
      <c r="DD34" s="13"/>
      <c r="DE34" s="13"/>
      <c r="DF34" s="13"/>
      <c r="DG34" s="13"/>
      <c r="DH34" s="13"/>
      <c r="DI34" s="13"/>
      <c r="DJ34" s="13"/>
      <c r="DK34" s="13"/>
      <c r="DL34" s="13"/>
      <c r="DM34" s="13"/>
      <c r="DN34" s="13"/>
      <c r="DO34" s="13"/>
      <c r="DP34" s="13"/>
      <c r="DQ34" s="13"/>
      <c r="DR34" s="13"/>
      <c r="DS34" s="13"/>
      <c r="DT34" s="13"/>
      <c r="DU34" s="13"/>
      <c r="DV34" s="13"/>
      <c r="DW34" s="13"/>
    </row>
    <row r="35" spans="1:127">
      <c r="A35" s="13" t="str">
        <f>Schedule_Data_ScenarioB!A36</f>
        <v>JD-03-1</v>
      </c>
      <c r="B35" s="13" t="str">
        <f>Schedule_Data_ScenarioB!B36</f>
        <v>3.0</v>
      </c>
      <c r="C35" s="13" t="str">
        <f>Schedule_Data_ScenarioB!C36</f>
        <v>Jackdown TR4</v>
      </c>
      <c r="D35" s="42" t="str">
        <f>Schedule_Data_ScenarioB!D36</f>
        <v>JACKDOWN</v>
      </c>
      <c r="E35" s="33">
        <f>Schedule_Data_ScenarioB!F36</f>
        <v>46077</v>
      </c>
      <c r="F35" s="33">
        <f>Schedule_Data_ScenarioB!G36</f>
        <v>46077</v>
      </c>
      <c r="G35" s="13">
        <f>Schedule_Data_ScenarioB!H36</f>
        <v>0</v>
      </c>
      <c r="H35" s="13"/>
      <c r="I35" s="13"/>
      <c r="J35" s="13"/>
      <c r="K35" s="13"/>
      <c r="L35" s="13"/>
      <c r="M35" s="13"/>
      <c r="N35" s="13"/>
      <c r="O35" s="13"/>
      <c r="P35" s="13"/>
      <c r="Q35" s="13"/>
      <c r="R35" s="13"/>
      <c r="S35" s="13"/>
      <c r="T35" s="13"/>
      <c r="U35" s="13"/>
      <c r="V35" s="13"/>
      <c r="W35" s="13"/>
      <c r="X35" s="13"/>
      <c r="Y35" s="13"/>
      <c r="Z35" s="13"/>
      <c r="AA35" s="13"/>
      <c r="AB35" s="13"/>
      <c r="AC35" s="13"/>
      <c r="AD35" s="13"/>
      <c r="AE35" s="13"/>
      <c r="AF35" s="13"/>
      <c r="AG35" s="13"/>
      <c r="AH35" s="13"/>
      <c r="AI35" s="13"/>
      <c r="AJ35" s="13"/>
      <c r="AK35" s="13"/>
      <c r="AL35" s="13"/>
      <c r="AM35" s="13"/>
      <c r="AN35" s="13"/>
      <c r="AO35" s="13"/>
      <c r="AP35" s="13"/>
      <c r="AQ35" s="13"/>
      <c r="AR35" s="13"/>
      <c r="AS35" s="13"/>
      <c r="AT35" s="13"/>
      <c r="AU35" s="13"/>
      <c r="AV35" s="42"/>
      <c r="AW35" s="13"/>
      <c r="AX35" s="13"/>
      <c r="AY35" s="13"/>
      <c r="AZ35" s="13"/>
      <c r="BA35" s="13"/>
      <c r="BB35" s="13"/>
      <c r="BC35" s="13"/>
      <c r="BD35" s="13"/>
      <c r="BE35" s="13"/>
      <c r="BF35" s="13"/>
      <c r="BG35" s="13"/>
      <c r="BH35" s="13"/>
      <c r="BI35" s="13"/>
      <c r="BJ35" s="13"/>
      <c r="BK35" s="13"/>
      <c r="BL35" s="13"/>
      <c r="BM35" s="13"/>
      <c r="BN35" s="13"/>
      <c r="BO35" s="13"/>
      <c r="BP35" s="13"/>
      <c r="BQ35" s="13"/>
      <c r="BR35" s="13"/>
      <c r="BS35" s="13"/>
      <c r="BT35" s="13"/>
      <c r="BU35" s="13"/>
      <c r="BV35" s="13"/>
      <c r="BW35" s="13"/>
      <c r="BX35" s="13"/>
      <c r="BY35" s="13"/>
      <c r="BZ35" s="13"/>
      <c r="CA35" s="13"/>
      <c r="CB35" s="13"/>
      <c r="CC35" s="13"/>
      <c r="CD35" s="13"/>
      <c r="CE35" s="13"/>
      <c r="CF35" s="13"/>
      <c r="CG35" s="13"/>
      <c r="CH35" s="13"/>
      <c r="CI35" s="13"/>
      <c r="CJ35" s="13"/>
      <c r="CK35" s="13"/>
      <c r="CL35" s="13"/>
      <c r="CM35" s="13"/>
      <c r="CN35" s="13"/>
      <c r="CO35" s="13"/>
      <c r="CP35" s="13"/>
      <c r="CQ35" s="13"/>
      <c r="CR35" s="13"/>
      <c r="CS35" s="13"/>
      <c r="CT35" s="13"/>
      <c r="CU35" s="13"/>
      <c r="CV35" s="13"/>
      <c r="CW35" s="13"/>
      <c r="CX35" s="13"/>
      <c r="CY35" s="13"/>
      <c r="CZ35" s="13"/>
      <c r="DA35" s="13"/>
      <c r="DB35" s="13"/>
      <c r="DC35" s="13"/>
      <c r="DD35" s="13"/>
      <c r="DE35" s="13"/>
      <c r="DF35" s="13"/>
      <c r="DG35" s="13"/>
      <c r="DH35" s="13"/>
      <c r="DI35" s="13"/>
      <c r="DJ35" s="13"/>
      <c r="DK35" s="13"/>
      <c r="DL35" s="13"/>
      <c r="DM35" s="13"/>
      <c r="DN35" s="13"/>
      <c r="DO35" s="13"/>
      <c r="DP35" s="13"/>
      <c r="DQ35" s="13"/>
      <c r="DR35" s="13"/>
      <c r="DS35" s="13"/>
      <c r="DT35" s="13"/>
      <c r="DU35" s="13"/>
      <c r="DV35" s="13"/>
      <c r="DW35" s="13"/>
    </row>
    <row r="36" spans="1:127">
      <c r="A36" s="13" t="str">
        <f>Schedule_Data_ScenarioB!A37</f>
        <v>TURN-03-2</v>
      </c>
      <c r="B36" s="13" t="str">
        <f>Schedule_Data_ScenarioB!B37</f>
        <v>3.0</v>
      </c>
      <c r="C36" s="13" t="str">
        <f>Schedule_Data_ScenarioB!C37</f>
        <v>Turning TR5 (90°)</v>
      </c>
      <c r="D36" s="26" t="str">
        <f>Schedule_Data_ScenarioB!D37</f>
        <v>TURNING</v>
      </c>
      <c r="E36" s="33">
        <f>Schedule_Data_ScenarioB!F37</f>
        <v>46078</v>
      </c>
      <c r="F36" s="33">
        <f>Schedule_Data_ScenarioB!G37</f>
        <v>46078</v>
      </c>
      <c r="G36" s="13">
        <f>Schedule_Data_ScenarioB!H37</f>
        <v>0</v>
      </c>
      <c r="H36" s="13"/>
      <c r="I36" s="13"/>
      <c r="J36" s="13"/>
      <c r="K36" s="13"/>
      <c r="L36" s="13"/>
      <c r="M36" s="13"/>
      <c r="N36" s="13"/>
      <c r="O36" s="13"/>
      <c r="P36" s="13"/>
      <c r="Q36" s="13"/>
      <c r="R36" s="13"/>
      <c r="S36" s="13"/>
      <c r="T36" s="13"/>
      <c r="U36" s="13"/>
      <c r="V36" s="13"/>
      <c r="W36" s="13"/>
      <c r="X36" s="13"/>
      <c r="Y36" s="13"/>
      <c r="Z36" s="13"/>
      <c r="AA36" s="13"/>
      <c r="AB36" s="13"/>
      <c r="AC36" s="13"/>
      <c r="AD36" s="13"/>
      <c r="AE36" s="13"/>
      <c r="AF36" s="13"/>
      <c r="AG36" s="13"/>
      <c r="AH36" s="13"/>
      <c r="AI36" s="13"/>
      <c r="AJ36" s="13"/>
      <c r="AK36" s="13"/>
      <c r="AL36" s="13"/>
      <c r="AM36" s="13"/>
      <c r="AN36" s="13"/>
      <c r="AO36" s="13"/>
      <c r="AP36" s="13"/>
      <c r="AQ36" s="13"/>
      <c r="AR36" s="13"/>
      <c r="AS36" s="13"/>
      <c r="AT36" s="13"/>
      <c r="AU36" s="13"/>
      <c r="AV36" s="13"/>
      <c r="AW36" s="26"/>
      <c r="AX36" s="13"/>
      <c r="AY36" s="13"/>
      <c r="AZ36" s="13"/>
      <c r="BA36" s="13"/>
      <c r="BB36" s="13"/>
      <c r="BC36" s="13"/>
      <c r="BD36" s="13"/>
      <c r="BE36" s="13"/>
      <c r="BF36" s="13"/>
      <c r="BG36" s="13"/>
      <c r="BH36" s="13"/>
      <c r="BI36" s="13"/>
      <c r="BJ36" s="13"/>
      <c r="BK36" s="13"/>
      <c r="BL36" s="13"/>
      <c r="BM36" s="13"/>
      <c r="BN36" s="13"/>
      <c r="BO36" s="13"/>
      <c r="BP36" s="13"/>
      <c r="BQ36" s="13"/>
      <c r="BR36" s="13"/>
      <c r="BS36" s="13"/>
      <c r="BT36" s="13"/>
      <c r="BU36" s="13"/>
      <c r="BV36" s="13"/>
      <c r="BW36" s="13"/>
      <c r="BX36" s="13"/>
      <c r="BY36" s="13"/>
      <c r="BZ36" s="13"/>
      <c r="CA36" s="13"/>
      <c r="CB36" s="13"/>
      <c r="CC36" s="13"/>
      <c r="CD36" s="13"/>
      <c r="CE36" s="13"/>
      <c r="CF36" s="13"/>
      <c r="CG36" s="13"/>
      <c r="CH36" s="13"/>
      <c r="CI36" s="13"/>
      <c r="CJ36" s="13"/>
      <c r="CK36" s="13"/>
      <c r="CL36" s="13"/>
      <c r="CM36" s="13"/>
      <c r="CN36" s="13"/>
      <c r="CO36" s="13"/>
      <c r="CP36" s="13"/>
      <c r="CQ36" s="13"/>
      <c r="CR36" s="13"/>
      <c r="CS36" s="13"/>
      <c r="CT36" s="13"/>
      <c r="CU36" s="13"/>
      <c r="CV36" s="13"/>
      <c r="CW36" s="13"/>
      <c r="CX36" s="13"/>
      <c r="CY36" s="13"/>
      <c r="CZ36" s="13"/>
      <c r="DA36" s="13"/>
      <c r="DB36" s="13"/>
      <c r="DC36" s="13"/>
      <c r="DD36" s="13"/>
      <c r="DE36" s="13"/>
      <c r="DF36" s="13"/>
      <c r="DG36" s="13"/>
      <c r="DH36" s="13"/>
      <c r="DI36" s="13"/>
      <c r="DJ36" s="13"/>
      <c r="DK36" s="13"/>
      <c r="DL36" s="13"/>
      <c r="DM36" s="13"/>
      <c r="DN36" s="13"/>
      <c r="DO36" s="13"/>
      <c r="DP36" s="13"/>
      <c r="DQ36" s="13"/>
      <c r="DR36" s="13"/>
      <c r="DS36" s="13"/>
      <c r="DT36" s="13"/>
      <c r="DU36" s="13"/>
      <c r="DV36" s="13"/>
      <c r="DW36" s="13"/>
    </row>
    <row r="37" spans="1:127">
      <c r="A37" s="13" t="str">
        <f>Schedule_Data_ScenarioB!A38</f>
        <v>JD-03-2</v>
      </c>
      <c r="B37" s="13" t="str">
        <f>Schedule_Data_ScenarioB!B38</f>
        <v>3.0</v>
      </c>
      <c r="C37" s="13" t="str">
        <f>Schedule_Data_ScenarioB!C38</f>
        <v>Jackdown TR5</v>
      </c>
      <c r="D37" s="42" t="str">
        <f>Schedule_Data_ScenarioB!D38</f>
        <v>JACKDOWN</v>
      </c>
      <c r="E37" s="33">
        <f>Schedule_Data_ScenarioB!F38</f>
        <v>46081</v>
      </c>
      <c r="F37" s="33">
        <f>Schedule_Data_ScenarioB!G38</f>
        <v>46081</v>
      </c>
      <c r="G37" s="13">
        <f>Schedule_Data_ScenarioB!H38</f>
        <v>0</v>
      </c>
      <c r="H37" s="13"/>
      <c r="I37" s="13"/>
      <c r="J37" s="13"/>
      <c r="K37" s="13"/>
      <c r="L37" s="13"/>
      <c r="M37" s="13"/>
      <c r="N37" s="13"/>
      <c r="O37" s="13"/>
      <c r="P37" s="13"/>
      <c r="Q37" s="13"/>
      <c r="R37" s="13"/>
      <c r="S37" s="13"/>
      <c r="T37" s="13"/>
      <c r="U37" s="13"/>
      <c r="V37" s="13"/>
      <c r="W37" s="13"/>
      <c r="X37" s="13"/>
      <c r="Y37" s="13"/>
      <c r="Z37" s="13"/>
      <c r="AA37" s="13"/>
      <c r="AB37" s="13"/>
      <c r="AC37" s="13"/>
      <c r="AD37" s="13"/>
      <c r="AE37" s="13"/>
      <c r="AF37" s="13"/>
      <c r="AG37" s="13"/>
      <c r="AH37" s="13"/>
      <c r="AI37" s="13"/>
      <c r="AJ37" s="13"/>
      <c r="AK37" s="13"/>
      <c r="AL37" s="13"/>
      <c r="AM37" s="13"/>
      <c r="AN37" s="13"/>
      <c r="AO37" s="13"/>
      <c r="AP37" s="13"/>
      <c r="AQ37" s="13"/>
      <c r="AR37" s="13"/>
      <c r="AS37" s="13"/>
      <c r="AT37" s="13"/>
      <c r="AU37" s="13"/>
      <c r="AV37" s="13"/>
      <c r="AW37" s="13"/>
      <c r="AX37" s="13"/>
      <c r="AY37" s="13"/>
      <c r="AZ37" s="42"/>
      <c r="BA37" s="13"/>
      <c r="BB37" s="13"/>
      <c r="BC37" s="13"/>
      <c r="BD37" s="13"/>
      <c r="BE37" s="13"/>
      <c r="BF37" s="13"/>
      <c r="BG37" s="13"/>
      <c r="BH37" s="13"/>
      <c r="BI37" s="13"/>
      <c r="BJ37" s="13"/>
      <c r="BK37" s="13"/>
      <c r="BL37" s="13"/>
      <c r="BM37" s="13"/>
      <c r="BN37" s="13"/>
      <c r="BO37" s="13"/>
      <c r="BP37" s="13"/>
      <c r="BQ37" s="13"/>
      <c r="BR37" s="13"/>
      <c r="BS37" s="13"/>
      <c r="BT37" s="13"/>
      <c r="BU37" s="13"/>
      <c r="BV37" s="13"/>
      <c r="BW37" s="13"/>
      <c r="BX37" s="13"/>
      <c r="BY37" s="13"/>
      <c r="BZ37" s="13"/>
      <c r="CA37" s="13"/>
      <c r="CB37" s="13"/>
      <c r="CC37" s="13"/>
      <c r="CD37" s="13"/>
      <c r="CE37" s="13"/>
      <c r="CF37" s="13"/>
      <c r="CG37" s="13"/>
      <c r="CH37" s="13"/>
      <c r="CI37" s="13"/>
      <c r="CJ37" s="13"/>
      <c r="CK37" s="13"/>
      <c r="CL37" s="13"/>
      <c r="CM37" s="13"/>
      <c r="CN37" s="13"/>
      <c r="CO37" s="13"/>
      <c r="CP37" s="13"/>
      <c r="CQ37" s="13"/>
      <c r="CR37" s="13"/>
      <c r="CS37" s="13"/>
      <c r="CT37" s="13"/>
      <c r="CU37" s="13"/>
      <c r="CV37" s="13"/>
      <c r="CW37" s="13"/>
      <c r="CX37" s="13"/>
      <c r="CY37" s="13"/>
      <c r="CZ37" s="13"/>
      <c r="DA37" s="13"/>
      <c r="DB37" s="13"/>
      <c r="DC37" s="13"/>
      <c r="DD37" s="13"/>
      <c r="DE37" s="13"/>
      <c r="DF37" s="13"/>
      <c r="DG37" s="13"/>
      <c r="DH37" s="13"/>
      <c r="DI37" s="13"/>
      <c r="DJ37" s="13"/>
      <c r="DK37" s="13"/>
      <c r="DL37" s="13"/>
      <c r="DM37" s="13"/>
      <c r="DN37" s="13"/>
      <c r="DO37" s="13"/>
      <c r="DP37" s="13"/>
      <c r="DQ37" s="13"/>
      <c r="DR37" s="13"/>
      <c r="DS37" s="13"/>
      <c r="DT37" s="13"/>
      <c r="DU37" s="13"/>
      <c r="DV37" s="13"/>
      <c r="DW37" s="13"/>
    </row>
    <row r="38" spans="1:127">
      <c r="A38" s="13" t="str">
        <f>Schedule_Data_ScenarioB!A39</f>
        <v>RET-03</v>
      </c>
      <c r="B38" s="13" t="str">
        <f>Schedule_Data_ScenarioB!B39</f>
        <v>3.0</v>
      </c>
      <c r="C38" s="13" t="str">
        <f>Schedule_Data_ScenarioB!C39</f>
        <v>LCT Return AGI→MZP</v>
      </c>
      <c r="D38" s="25" t="str">
        <f>Schedule_Data_ScenarioB!D39</f>
        <v>RETURN</v>
      </c>
      <c r="E38" s="33">
        <f>Schedule_Data_ScenarioB!F39</f>
        <v>46082</v>
      </c>
      <c r="F38" s="33">
        <f>Schedule_Data_ScenarioB!G39</f>
        <v>46082</v>
      </c>
      <c r="G38" s="13">
        <f>Schedule_Data_ScenarioB!H39</f>
        <v>0</v>
      </c>
      <c r="H38" s="13"/>
      <c r="I38" s="13"/>
      <c r="J38" s="13"/>
      <c r="K38" s="13"/>
      <c r="L38" s="13"/>
      <c r="M38" s="13"/>
      <c r="N38" s="13"/>
      <c r="O38" s="13"/>
      <c r="P38" s="13"/>
      <c r="Q38" s="13"/>
      <c r="R38" s="13"/>
      <c r="S38" s="13"/>
      <c r="T38" s="13"/>
      <c r="U38" s="13"/>
      <c r="V38" s="13"/>
      <c r="W38" s="13"/>
      <c r="X38" s="13"/>
      <c r="Y38" s="13"/>
      <c r="Z38" s="13"/>
      <c r="AA38" s="13"/>
      <c r="AB38" s="13"/>
      <c r="AC38" s="13"/>
      <c r="AD38" s="13"/>
      <c r="AE38" s="13"/>
      <c r="AF38" s="13"/>
      <c r="AG38" s="13"/>
      <c r="AH38" s="13"/>
      <c r="AI38" s="13"/>
      <c r="AJ38" s="13"/>
      <c r="AK38" s="13"/>
      <c r="AL38" s="13"/>
      <c r="AM38" s="13"/>
      <c r="AN38" s="13"/>
      <c r="AO38" s="13"/>
      <c r="AP38" s="13"/>
      <c r="AQ38" s="13"/>
      <c r="AR38" s="13"/>
      <c r="AS38" s="13"/>
      <c r="AT38" s="13"/>
      <c r="AU38" s="13"/>
      <c r="AV38" s="13"/>
      <c r="AW38" s="13"/>
      <c r="AX38" s="13"/>
      <c r="AY38" s="13"/>
      <c r="AZ38" s="13"/>
      <c r="BA38" s="25"/>
      <c r="BB38" s="13"/>
      <c r="BC38" s="13"/>
      <c r="BD38" s="13"/>
      <c r="BE38" s="13"/>
      <c r="BF38" s="13"/>
      <c r="BG38" s="13"/>
      <c r="BH38" s="13"/>
      <c r="BI38" s="13"/>
      <c r="BJ38" s="13"/>
      <c r="BK38" s="13"/>
      <c r="BL38" s="13"/>
      <c r="BM38" s="13"/>
      <c r="BN38" s="13"/>
      <c r="BO38" s="13"/>
      <c r="BP38" s="13"/>
      <c r="BQ38" s="13"/>
      <c r="BR38" s="13"/>
      <c r="BS38" s="13"/>
      <c r="BT38" s="13"/>
      <c r="BU38" s="13"/>
      <c r="BV38" s="13"/>
      <c r="BW38" s="13"/>
      <c r="BX38" s="13"/>
      <c r="BY38" s="13"/>
      <c r="BZ38" s="13"/>
      <c r="CA38" s="13"/>
      <c r="CB38" s="13"/>
      <c r="CC38" s="13"/>
      <c r="CD38" s="13"/>
      <c r="CE38" s="13"/>
      <c r="CF38" s="13"/>
      <c r="CG38" s="13"/>
      <c r="CH38" s="13"/>
      <c r="CI38" s="13"/>
      <c r="CJ38" s="13"/>
      <c r="CK38" s="13"/>
      <c r="CL38" s="13"/>
      <c r="CM38" s="13"/>
      <c r="CN38" s="13"/>
      <c r="CO38" s="13"/>
      <c r="CP38" s="13"/>
      <c r="CQ38" s="13"/>
      <c r="CR38" s="13"/>
      <c r="CS38" s="13"/>
      <c r="CT38" s="13"/>
      <c r="CU38" s="13"/>
      <c r="CV38" s="13"/>
      <c r="CW38" s="13"/>
      <c r="CX38" s="13"/>
      <c r="CY38" s="13"/>
      <c r="CZ38" s="13"/>
      <c r="DA38" s="13"/>
      <c r="DB38" s="13"/>
      <c r="DC38" s="13"/>
      <c r="DD38" s="13"/>
      <c r="DE38" s="13"/>
      <c r="DF38" s="13"/>
      <c r="DG38" s="13"/>
      <c r="DH38" s="13"/>
      <c r="DI38" s="13"/>
      <c r="DJ38" s="13"/>
      <c r="DK38" s="13"/>
      <c r="DL38" s="13"/>
      <c r="DM38" s="13"/>
      <c r="DN38" s="13"/>
      <c r="DO38" s="13"/>
      <c r="DP38" s="13"/>
      <c r="DQ38" s="13"/>
      <c r="DR38" s="13"/>
      <c r="DS38" s="13"/>
      <c r="DT38" s="13"/>
      <c r="DU38" s="13"/>
      <c r="DV38" s="13"/>
      <c r="DW38" s="13"/>
    </row>
    <row r="39" spans="1:127">
      <c r="A39" s="13" t="str">
        <f>Schedule_Data_ScenarioB!A40</f>
        <v>BUF-03</v>
      </c>
      <c r="B39" s="13" t="str">
        <f>Schedule_Data_ScenarioB!B40</f>
        <v>3.0</v>
      </c>
      <c r="C39" s="13" t="str">
        <f>Schedule_Data_ScenarioB!C40</f>
        <v>Buffer / reset</v>
      </c>
      <c r="D39" s="22" t="str">
        <f>Schedule_Data_ScenarioB!D40</f>
        <v>BUFFER</v>
      </c>
      <c r="E39" s="33">
        <f>Schedule_Data_ScenarioB!F40</f>
        <v>46083</v>
      </c>
      <c r="F39" s="33">
        <f>Schedule_Data_ScenarioB!G40</f>
        <v>46083</v>
      </c>
      <c r="G39" s="13">
        <f>Schedule_Data_ScenarioB!H40</f>
        <v>0</v>
      </c>
      <c r="H39" s="13"/>
      <c r="I39" s="13"/>
      <c r="J39" s="13"/>
      <c r="K39" s="13"/>
      <c r="L39" s="13"/>
      <c r="M39" s="13"/>
      <c r="N39" s="13"/>
      <c r="O39" s="13"/>
      <c r="P39" s="13"/>
      <c r="Q39" s="13"/>
      <c r="R39" s="13"/>
      <c r="S39" s="13"/>
      <c r="T39" s="13"/>
      <c r="U39" s="13"/>
      <c r="V39" s="13"/>
      <c r="W39" s="13"/>
      <c r="X39" s="13"/>
      <c r="Y39" s="13"/>
      <c r="Z39" s="13"/>
      <c r="AA39" s="13"/>
      <c r="AB39" s="13"/>
      <c r="AC39" s="13"/>
      <c r="AD39" s="13"/>
      <c r="AE39" s="13"/>
      <c r="AF39" s="13"/>
      <c r="AG39" s="13"/>
      <c r="AH39" s="13"/>
      <c r="AI39" s="13"/>
      <c r="AJ39" s="13"/>
      <c r="AK39" s="13"/>
      <c r="AL39" s="13"/>
      <c r="AM39" s="13"/>
      <c r="AN39" s="13"/>
      <c r="AO39" s="13"/>
      <c r="AP39" s="13"/>
      <c r="AQ39" s="13"/>
      <c r="AR39" s="13"/>
      <c r="AS39" s="13"/>
      <c r="AT39" s="13"/>
      <c r="AU39" s="13"/>
      <c r="AV39" s="13"/>
      <c r="AW39" s="13"/>
      <c r="AX39" s="13"/>
      <c r="AY39" s="13"/>
      <c r="AZ39" s="13"/>
      <c r="BA39" s="13"/>
      <c r="BB39" s="22"/>
      <c r="BC39" s="13"/>
      <c r="BD39" s="13"/>
      <c r="BE39" s="13"/>
      <c r="BF39" s="13"/>
      <c r="BG39" s="13"/>
      <c r="BH39" s="13"/>
      <c r="BI39" s="13"/>
      <c r="BJ39" s="13"/>
      <c r="BK39" s="13"/>
      <c r="BL39" s="13"/>
      <c r="BM39" s="13"/>
      <c r="BN39" s="13"/>
      <c r="BO39" s="13"/>
      <c r="BP39" s="13"/>
      <c r="BQ39" s="13"/>
      <c r="BR39" s="13"/>
      <c r="BS39" s="13"/>
      <c r="BT39" s="13"/>
      <c r="BU39" s="13"/>
      <c r="BV39" s="13"/>
      <c r="BW39" s="13"/>
      <c r="BX39" s="13"/>
      <c r="BY39" s="13"/>
      <c r="BZ39" s="13"/>
      <c r="CA39" s="13"/>
      <c r="CB39" s="13"/>
      <c r="CC39" s="13"/>
      <c r="CD39" s="13"/>
      <c r="CE39" s="13"/>
      <c r="CF39" s="13"/>
      <c r="CG39" s="13"/>
      <c r="CH39" s="13"/>
      <c r="CI39" s="13"/>
      <c r="CJ39" s="13"/>
      <c r="CK39" s="13"/>
      <c r="CL39" s="13"/>
      <c r="CM39" s="13"/>
      <c r="CN39" s="13"/>
      <c r="CO39" s="13"/>
      <c r="CP39" s="13"/>
      <c r="CQ39" s="13"/>
      <c r="CR39" s="13"/>
      <c r="CS39" s="13"/>
      <c r="CT39" s="13"/>
      <c r="CU39" s="13"/>
      <c r="CV39" s="13"/>
      <c r="CW39" s="13"/>
      <c r="CX39" s="13"/>
      <c r="CY39" s="13"/>
      <c r="CZ39" s="13"/>
      <c r="DA39" s="13"/>
      <c r="DB39" s="13"/>
      <c r="DC39" s="13"/>
      <c r="DD39" s="13"/>
      <c r="DE39" s="13"/>
      <c r="DF39" s="13"/>
      <c r="DG39" s="13"/>
      <c r="DH39" s="13"/>
      <c r="DI39" s="13"/>
      <c r="DJ39" s="13"/>
      <c r="DK39" s="13"/>
      <c r="DL39" s="13"/>
      <c r="DM39" s="13"/>
      <c r="DN39" s="13"/>
      <c r="DO39" s="13"/>
      <c r="DP39" s="13"/>
      <c r="DQ39" s="13"/>
      <c r="DR39" s="13"/>
      <c r="DS39" s="13"/>
      <c r="DT39" s="13"/>
      <c r="DU39" s="13"/>
      <c r="DV39" s="13"/>
      <c r="DW39" s="13"/>
    </row>
    <row r="40" spans="1:127">
      <c r="A40" s="13" t="str">
        <f>Schedule_Data_ScenarioB!A41</f>
        <v>V4</v>
      </c>
      <c r="B40" s="13" t="str">
        <f>Schedule_Data_ScenarioB!B41</f>
        <v>4.0</v>
      </c>
      <c r="C40" s="13" t="str">
        <f>Schedule_Data_ScenarioB!C41</f>
        <v>VOYAGE 4: TR6-TR7 Transport</v>
      </c>
      <c r="D40" s="34" t="str">
        <f>Schedule_Data_ScenarioB!D41</f>
        <v>MILESTONE</v>
      </c>
      <c r="E40" s="33">
        <f>Schedule_Data_ScenarioB!F41</f>
        <v>46084</v>
      </c>
      <c r="F40" s="33">
        <f>Schedule_Data_ScenarioB!G41</f>
        <v>46084</v>
      </c>
      <c r="G40" s="13">
        <f>Schedule_Data_ScenarioB!H41</f>
        <v>0</v>
      </c>
      <c r="H40" s="13"/>
      <c r="I40" s="13"/>
      <c r="J40" s="13"/>
      <c r="K40" s="13"/>
      <c r="L40" s="13"/>
      <c r="M40" s="13"/>
      <c r="N40" s="13"/>
      <c r="O40" s="13"/>
      <c r="P40" s="13"/>
      <c r="Q40" s="13"/>
      <c r="R40" s="13"/>
      <c r="S40" s="13"/>
      <c r="T40" s="13"/>
      <c r="U40" s="13"/>
      <c r="V40" s="13"/>
      <c r="W40" s="13"/>
      <c r="X40" s="13"/>
      <c r="Y40" s="13"/>
      <c r="Z40" s="13"/>
      <c r="AA40" s="13"/>
      <c r="AB40" s="13"/>
      <c r="AC40" s="13"/>
      <c r="AD40" s="13"/>
      <c r="AE40" s="13"/>
      <c r="AF40" s="13"/>
      <c r="AG40" s="13"/>
      <c r="AH40" s="13"/>
      <c r="AI40" s="13"/>
      <c r="AJ40" s="13"/>
      <c r="AK40" s="13"/>
      <c r="AL40" s="13"/>
      <c r="AM40" s="13"/>
      <c r="AN40" s="13"/>
      <c r="AO40" s="13"/>
      <c r="AP40" s="13"/>
      <c r="AQ40" s="13"/>
      <c r="AR40" s="13"/>
      <c r="AS40" s="13"/>
      <c r="AT40" s="13"/>
      <c r="AU40" s="13"/>
      <c r="AV40" s="13"/>
      <c r="AW40" s="13"/>
      <c r="AX40" s="13"/>
      <c r="AY40" s="13"/>
      <c r="AZ40" s="13"/>
      <c r="BA40" s="13"/>
      <c r="BB40" s="13"/>
      <c r="BC40" s="35" t="s">
        <v>270</v>
      </c>
      <c r="BD40" s="13"/>
      <c r="BE40" s="13"/>
      <c r="BF40" s="13"/>
      <c r="BG40" s="13"/>
      <c r="BH40" s="13"/>
      <c r="BI40" s="13"/>
      <c r="BJ40" s="13"/>
      <c r="BK40" s="13"/>
      <c r="BL40" s="13"/>
      <c r="BM40" s="13"/>
      <c r="BN40" s="13"/>
      <c r="BO40" s="13"/>
      <c r="BP40" s="13"/>
      <c r="BQ40" s="13"/>
      <c r="BR40" s="13"/>
      <c r="BS40" s="13"/>
      <c r="BT40" s="13"/>
      <c r="BU40" s="13"/>
      <c r="BV40" s="13"/>
      <c r="BW40" s="13"/>
      <c r="BX40" s="13"/>
      <c r="BY40" s="13"/>
      <c r="BZ40" s="13"/>
      <c r="CA40" s="13"/>
      <c r="CB40" s="13"/>
      <c r="CC40" s="13"/>
      <c r="CD40" s="13"/>
      <c r="CE40" s="13"/>
      <c r="CF40" s="13"/>
      <c r="CG40" s="13"/>
      <c r="CH40" s="13"/>
      <c r="CI40" s="13"/>
      <c r="CJ40" s="13"/>
      <c r="CK40" s="13"/>
      <c r="CL40" s="13"/>
      <c r="CM40" s="13"/>
      <c r="CN40" s="13"/>
      <c r="CO40" s="13"/>
      <c r="CP40" s="13"/>
      <c r="CQ40" s="13"/>
      <c r="CR40" s="13"/>
      <c r="CS40" s="13"/>
      <c r="CT40" s="13"/>
      <c r="CU40" s="13"/>
      <c r="CV40" s="13"/>
      <c r="CW40" s="13"/>
      <c r="CX40" s="13"/>
      <c r="CY40" s="13"/>
      <c r="CZ40" s="13"/>
      <c r="DA40" s="13"/>
      <c r="DB40" s="13"/>
      <c r="DC40" s="13"/>
      <c r="DD40" s="13"/>
      <c r="DE40" s="13"/>
      <c r="DF40" s="13"/>
      <c r="DG40" s="13"/>
      <c r="DH40" s="13"/>
      <c r="DI40" s="13"/>
      <c r="DJ40" s="13"/>
      <c r="DK40" s="13"/>
      <c r="DL40" s="13"/>
      <c r="DM40" s="13"/>
      <c r="DN40" s="13"/>
      <c r="DO40" s="13"/>
      <c r="DP40" s="13"/>
      <c r="DQ40" s="13"/>
      <c r="DR40" s="13"/>
      <c r="DS40" s="13"/>
      <c r="DT40" s="13"/>
      <c r="DU40" s="13"/>
      <c r="DV40" s="13"/>
      <c r="DW40" s="13"/>
    </row>
    <row r="41" spans="1:127">
      <c r="A41" s="13" t="str">
        <f>Schedule_Data_ScenarioB!A42</f>
        <v>LO-04</v>
      </c>
      <c r="B41" s="13" t="str">
        <f>Schedule_Data_ScenarioB!B42</f>
        <v>4.0</v>
      </c>
      <c r="C41" s="13" t="str">
        <f>Schedule_Data_ScenarioB!C42</f>
        <v>Loadout TR6-TR7 onto LCT</v>
      </c>
      <c r="D41" s="20" t="str">
        <f>Schedule_Data_ScenarioB!D42</f>
        <v>LOADOUT</v>
      </c>
      <c r="E41" s="33">
        <f>Schedule_Data_ScenarioB!F42</f>
        <v>46084</v>
      </c>
      <c r="F41" s="33">
        <f>Schedule_Data_ScenarioB!G42</f>
        <v>46086</v>
      </c>
      <c r="G41" s="13">
        <f>Schedule_Data_ScenarioB!H42</f>
        <v>2</v>
      </c>
      <c r="H41" s="13"/>
      <c r="I41" s="13"/>
      <c r="J41" s="13"/>
      <c r="K41" s="13"/>
      <c r="L41" s="13"/>
      <c r="M41" s="13"/>
      <c r="N41" s="13"/>
      <c r="O41" s="13"/>
      <c r="P41" s="13"/>
      <c r="Q41" s="13"/>
      <c r="R41" s="13"/>
      <c r="S41" s="13"/>
      <c r="T41" s="13"/>
      <c r="U41" s="13"/>
      <c r="V41" s="13"/>
      <c r="W41" s="13"/>
      <c r="X41" s="13"/>
      <c r="Y41" s="13"/>
      <c r="Z41" s="13"/>
      <c r="AA41" s="13"/>
      <c r="AB41" s="13"/>
      <c r="AC41" s="13"/>
      <c r="AD41" s="13"/>
      <c r="AE41" s="13"/>
      <c r="AF41" s="13"/>
      <c r="AG41" s="13"/>
      <c r="AH41" s="13"/>
      <c r="AI41" s="13"/>
      <c r="AJ41" s="13"/>
      <c r="AK41" s="13"/>
      <c r="AL41" s="13"/>
      <c r="AM41" s="13"/>
      <c r="AN41" s="13"/>
      <c r="AO41" s="13"/>
      <c r="AP41" s="13"/>
      <c r="AQ41" s="13"/>
      <c r="AR41" s="13"/>
      <c r="AS41" s="13"/>
      <c r="AT41" s="13"/>
      <c r="AU41" s="13"/>
      <c r="AV41" s="13"/>
      <c r="AW41" s="13"/>
      <c r="AX41" s="13"/>
      <c r="AY41" s="13"/>
      <c r="AZ41" s="13"/>
      <c r="BA41" s="13"/>
      <c r="BB41" s="13"/>
      <c r="BC41" s="20"/>
      <c r="BD41" s="20"/>
      <c r="BE41" s="13"/>
      <c r="BF41" s="13"/>
      <c r="BG41" s="13"/>
      <c r="BH41" s="13"/>
      <c r="BI41" s="13"/>
      <c r="BJ41" s="13"/>
      <c r="BK41" s="13"/>
      <c r="BL41" s="13"/>
      <c r="BM41" s="13"/>
      <c r="BN41" s="13"/>
      <c r="BO41" s="13"/>
      <c r="BP41" s="13"/>
      <c r="BQ41" s="13"/>
      <c r="BR41" s="13"/>
      <c r="BS41" s="13"/>
      <c r="BT41" s="13"/>
      <c r="BU41" s="13"/>
      <c r="BV41" s="13"/>
      <c r="BW41" s="13"/>
      <c r="BX41" s="13"/>
      <c r="BY41" s="13"/>
      <c r="BZ41" s="13"/>
      <c r="CA41" s="13"/>
      <c r="CB41" s="13"/>
      <c r="CC41" s="13"/>
      <c r="CD41" s="13"/>
      <c r="CE41" s="13"/>
      <c r="CF41" s="13"/>
      <c r="CG41" s="13"/>
      <c r="CH41" s="13"/>
      <c r="CI41" s="13"/>
      <c r="CJ41" s="13"/>
      <c r="CK41" s="13"/>
      <c r="CL41" s="13"/>
      <c r="CM41" s="13"/>
      <c r="CN41" s="13"/>
      <c r="CO41" s="13"/>
      <c r="CP41" s="13"/>
      <c r="CQ41" s="13"/>
      <c r="CR41" s="13"/>
      <c r="CS41" s="13"/>
      <c r="CT41" s="13"/>
      <c r="CU41" s="13"/>
      <c r="CV41" s="13"/>
      <c r="CW41" s="13"/>
      <c r="CX41" s="13"/>
      <c r="CY41" s="13"/>
      <c r="CZ41" s="13"/>
      <c r="DA41" s="13"/>
      <c r="DB41" s="13"/>
      <c r="DC41" s="13"/>
      <c r="DD41" s="13"/>
      <c r="DE41" s="13"/>
      <c r="DF41" s="13"/>
      <c r="DG41" s="13"/>
      <c r="DH41" s="13"/>
      <c r="DI41" s="13"/>
      <c r="DJ41" s="13"/>
      <c r="DK41" s="13"/>
      <c r="DL41" s="13"/>
      <c r="DM41" s="13"/>
      <c r="DN41" s="13"/>
      <c r="DO41" s="13"/>
      <c r="DP41" s="13"/>
      <c r="DQ41" s="13"/>
      <c r="DR41" s="13"/>
      <c r="DS41" s="13"/>
      <c r="DT41" s="13"/>
      <c r="DU41" s="13"/>
      <c r="DV41" s="13"/>
      <c r="DW41" s="13"/>
    </row>
    <row r="42" spans="1:127">
      <c r="A42" s="13" t="str">
        <f>Schedule_Data_ScenarioB!A43</f>
        <v>SF-04</v>
      </c>
      <c r="B42" s="13" t="str">
        <f>Schedule_Data_ScenarioB!B43</f>
        <v>4.0</v>
      </c>
      <c r="C42" s="13" t="str">
        <f>Schedule_Data_ScenarioB!C43</f>
        <v>Sea fastening + MWS checks (TR6-TR7)</v>
      </c>
      <c r="D42" s="21" t="str">
        <f>Schedule_Data_ScenarioB!D43</f>
        <v>SEAFAST</v>
      </c>
      <c r="E42" s="33">
        <f>Schedule_Data_ScenarioB!F43</f>
        <v>46086</v>
      </c>
      <c r="F42" s="33">
        <f>Schedule_Data_ScenarioB!G43</f>
        <v>46086</v>
      </c>
      <c r="G42" s="13">
        <f>Schedule_Data_ScenarioB!H43</f>
        <v>0</v>
      </c>
      <c r="H42" s="13"/>
      <c r="I42" s="13"/>
      <c r="J42" s="13"/>
      <c r="K42" s="13"/>
      <c r="L42" s="13"/>
      <c r="M42" s="13"/>
      <c r="N42" s="13"/>
      <c r="O42" s="13"/>
      <c r="P42" s="13"/>
      <c r="Q42" s="13"/>
      <c r="R42" s="13"/>
      <c r="S42" s="13"/>
      <c r="T42" s="13"/>
      <c r="U42" s="13"/>
      <c r="V42" s="13"/>
      <c r="W42" s="13"/>
      <c r="X42" s="13"/>
      <c r="Y42" s="13"/>
      <c r="Z42" s="13"/>
      <c r="AA42" s="13"/>
      <c r="AB42" s="13"/>
      <c r="AC42" s="13"/>
      <c r="AD42" s="13"/>
      <c r="AE42" s="13"/>
      <c r="AF42" s="13"/>
      <c r="AG42" s="13"/>
      <c r="AH42" s="13"/>
      <c r="AI42" s="13"/>
      <c r="AJ42" s="13"/>
      <c r="AK42" s="13"/>
      <c r="AL42" s="13"/>
      <c r="AM42" s="13"/>
      <c r="AN42" s="13"/>
      <c r="AO42" s="13"/>
      <c r="AP42" s="13"/>
      <c r="AQ42" s="13"/>
      <c r="AR42" s="13"/>
      <c r="AS42" s="13"/>
      <c r="AT42" s="13"/>
      <c r="AU42" s="13"/>
      <c r="AV42" s="13"/>
      <c r="AW42" s="13"/>
      <c r="AX42" s="13"/>
      <c r="AY42" s="13"/>
      <c r="AZ42" s="13"/>
      <c r="BA42" s="13"/>
      <c r="BB42" s="13"/>
      <c r="BC42" s="13"/>
      <c r="BD42" s="13"/>
      <c r="BE42" s="21"/>
      <c r="BF42" s="13"/>
      <c r="BG42" s="13"/>
      <c r="BH42" s="13"/>
      <c r="BI42" s="13"/>
      <c r="BJ42" s="13"/>
      <c r="BK42" s="13"/>
      <c r="BL42" s="13"/>
      <c r="BM42" s="13"/>
      <c r="BN42" s="13"/>
      <c r="BO42" s="13"/>
      <c r="BP42" s="13"/>
      <c r="BQ42" s="13"/>
      <c r="BR42" s="13"/>
      <c r="BS42" s="13"/>
      <c r="BT42" s="13"/>
      <c r="BU42" s="13"/>
      <c r="BV42" s="13"/>
      <c r="BW42" s="13"/>
      <c r="BX42" s="13"/>
      <c r="BY42" s="13"/>
      <c r="BZ42" s="13"/>
      <c r="CA42" s="13"/>
      <c r="CB42" s="13"/>
      <c r="CC42" s="13"/>
      <c r="CD42" s="13"/>
      <c r="CE42" s="13"/>
      <c r="CF42" s="13"/>
      <c r="CG42" s="13"/>
      <c r="CH42" s="13"/>
      <c r="CI42" s="13"/>
      <c r="CJ42" s="13"/>
      <c r="CK42" s="13"/>
      <c r="CL42" s="13"/>
      <c r="CM42" s="13"/>
      <c r="CN42" s="13"/>
      <c r="CO42" s="13"/>
      <c r="CP42" s="13"/>
      <c r="CQ42" s="13"/>
      <c r="CR42" s="13"/>
      <c r="CS42" s="13"/>
      <c r="CT42" s="13"/>
      <c r="CU42" s="13"/>
      <c r="CV42" s="13"/>
      <c r="CW42" s="13"/>
      <c r="CX42" s="13"/>
      <c r="CY42" s="13"/>
      <c r="CZ42" s="13"/>
      <c r="DA42" s="13"/>
      <c r="DB42" s="13"/>
      <c r="DC42" s="13"/>
      <c r="DD42" s="13"/>
      <c r="DE42" s="13"/>
      <c r="DF42" s="13"/>
      <c r="DG42" s="13"/>
      <c r="DH42" s="13"/>
      <c r="DI42" s="13"/>
      <c r="DJ42" s="13"/>
      <c r="DK42" s="13"/>
      <c r="DL42" s="13"/>
      <c r="DM42" s="13"/>
      <c r="DN42" s="13"/>
      <c r="DO42" s="13"/>
      <c r="DP42" s="13"/>
      <c r="DQ42" s="13"/>
      <c r="DR42" s="13"/>
      <c r="DS42" s="13"/>
      <c r="DT42" s="13"/>
      <c r="DU42" s="13"/>
      <c r="DV42" s="13"/>
      <c r="DW42" s="13"/>
    </row>
    <row r="43" spans="1:127">
      <c r="A43" s="13" t="str">
        <f>Schedule_Data_ScenarioB!A44</f>
        <v>SAIL-04</v>
      </c>
      <c r="B43" s="13" t="str">
        <f>Schedule_Data_ScenarioB!B44</f>
        <v>4.0</v>
      </c>
      <c r="C43" s="13" t="str">
        <f>Schedule_Data_ScenarioB!C44</f>
        <v>Sail-away MZP→AGI</v>
      </c>
      <c r="D43" s="23" t="str">
        <f>Schedule_Data_ScenarioB!D44</f>
        <v>SAIL</v>
      </c>
      <c r="E43" s="33">
        <f>Schedule_Data_ScenarioB!F44</f>
        <v>46087</v>
      </c>
      <c r="F43" s="33">
        <f>Schedule_Data_ScenarioB!G44</f>
        <v>46087</v>
      </c>
      <c r="G43" s="13">
        <f>Schedule_Data_ScenarioB!H44</f>
        <v>0</v>
      </c>
      <c r="H43" s="13"/>
      <c r="I43" s="13"/>
      <c r="J43" s="13"/>
      <c r="K43" s="13"/>
      <c r="L43" s="13"/>
      <c r="M43" s="13"/>
      <c r="N43" s="13"/>
      <c r="O43" s="13"/>
      <c r="P43" s="13"/>
      <c r="Q43" s="13"/>
      <c r="R43" s="13"/>
      <c r="S43" s="13"/>
      <c r="T43" s="13"/>
      <c r="U43" s="13"/>
      <c r="V43" s="13"/>
      <c r="W43" s="13"/>
      <c r="X43" s="13"/>
      <c r="Y43" s="13"/>
      <c r="Z43" s="13"/>
      <c r="AA43" s="13"/>
      <c r="AB43" s="13"/>
      <c r="AC43" s="13"/>
      <c r="AD43" s="13"/>
      <c r="AE43" s="13"/>
      <c r="AF43" s="13"/>
      <c r="AG43" s="13"/>
      <c r="AH43" s="13"/>
      <c r="AI43" s="13"/>
      <c r="AJ43" s="13"/>
      <c r="AK43" s="13"/>
      <c r="AL43" s="13"/>
      <c r="AM43" s="13"/>
      <c r="AN43" s="13"/>
      <c r="AO43" s="13"/>
      <c r="AP43" s="13"/>
      <c r="AQ43" s="13"/>
      <c r="AR43" s="13"/>
      <c r="AS43" s="13"/>
      <c r="AT43" s="13"/>
      <c r="AU43" s="13"/>
      <c r="AV43" s="13"/>
      <c r="AW43" s="13"/>
      <c r="AX43" s="13"/>
      <c r="AY43" s="13"/>
      <c r="AZ43" s="13"/>
      <c r="BA43" s="13"/>
      <c r="BB43" s="13"/>
      <c r="BC43" s="13"/>
      <c r="BD43" s="13"/>
      <c r="BE43" s="13"/>
      <c r="BF43" s="23"/>
      <c r="BG43" s="13"/>
      <c r="BH43" s="13"/>
      <c r="BI43" s="13"/>
      <c r="BJ43" s="13"/>
      <c r="BK43" s="13"/>
      <c r="BL43" s="13"/>
      <c r="BM43" s="13"/>
      <c r="BN43" s="13"/>
      <c r="BO43" s="13"/>
      <c r="BP43" s="13"/>
      <c r="BQ43" s="13"/>
      <c r="BR43" s="13"/>
      <c r="BS43" s="13"/>
      <c r="BT43" s="13"/>
      <c r="BU43" s="13"/>
      <c r="BV43" s="13"/>
      <c r="BW43" s="13"/>
      <c r="BX43" s="13"/>
      <c r="BY43" s="13"/>
      <c r="BZ43" s="13"/>
      <c r="CA43" s="13"/>
      <c r="CB43" s="13"/>
      <c r="CC43" s="13"/>
      <c r="CD43" s="13"/>
      <c r="CE43" s="13"/>
      <c r="CF43" s="13"/>
      <c r="CG43" s="13"/>
      <c r="CH43" s="13"/>
      <c r="CI43" s="13"/>
      <c r="CJ43" s="13"/>
      <c r="CK43" s="13"/>
      <c r="CL43" s="13"/>
      <c r="CM43" s="13"/>
      <c r="CN43" s="13"/>
      <c r="CO43" s="13"/>
      <c r="CP43" s="13"/>
      <c r="CQ43" s="13"/>
      <c r="CR43" s="13"/>
      <c r="CS43" s="13"/>
      <c r="CT43" s="13"/>
      <c r="CU43" s="13"/>
      <c r="CV43" s="13"/>
      <c r="CW43" s="13"/>
      <c r="CX43" s="13"/>
      <c r="CY43" s="13"/>
      <c r="CZ43" s="13"/>
      <c r="DA43" s="13"/>
      <c r="DB43" s="13"/>
      <c r="DC43" s="13"/>
      <c r="DD43" s="13"/>
      <c r="DE43" s="13"/>
      <c r="DF43" s="13"/>
      <c r="DG43" s="13"/>
      <c r="DH43" s="13"/>
      <c r="DI43" s="13"/>
      <c r="DJ43" s="13"/>
      <c r="DK43" s="13"/>
      <c r="DL43" s="13"/>
      <c r="DM43" s="13"/>
      <c r="DN43" s="13"/>
      <c r="DO43" s="13"/>
      <c r="DP43" s="13"/>
      <c r="DQ43" s="13"/>
      <c r="DR43" s="13"/>
      <c r="DS43" s="13"/>
      <c r="DT43" s="13"/>
      <c r="DU43" s="13"/>
      <c r="DV43" s="13"/>
      <c r="DW43" s="13"/>
    </row>
    <row r="44" spans="1:127">
      <c r="A44" s="13" t="str">
        <f>Schedule_Data_ScenarioB!A45</f>
        <v>UL-04-1</v>
      </c>
      <c r="B44" s="13" t="str">
        <f>Schedule_Data_ScenarioB!B45</f>
        <v>4.0</v>
      </c>
      <c r="C44" s="13" t="str">
        <f>Schedule_Data_ScenarioB!C45</f>
        <v>Unload TR6 at AGI (1 unit/day)</v>
      </c>
      <c r="D44" s="24" t="str">
        <f>Schedule_Data_ScenarioB!D45</f>
        <v>AGI_UNLOAD</v>
      </c>
      <c r="E44" s="33">
        <f>Schedule_Data_ScenarioB!F45</f>
        <v>46088</v>
      </c>
      <c r="F44" s="33">
        <f>Schedule_Data_ScenarioB!G45</f>
        <v>46088</v>
      </c>
      <c r="G44" s="13">
        <f>Schedule_Data_ScenarioB!H45</f>
        <v>0</v>
      </c>
      <c r="H44" s="13"/>
      <c r="I44" s="13"/>
      <c r="J44" s="13"/>
      <c r="K44" s="13"/>
      <c r="L44" s="13"/>
      <c r="M44" s="13"/>
      <c r="N44" s="13"/>
      <c r="O44" s="13"/>
      <c r="P44" s="13"/>
      <c r="Q44" s="13"/>
      <c r="R44" s="13"/>
      <c r="S44" s="13"/>
      <c r="T44" s="13"/>
      <c r="U44" s="13"/>
      <c r="V44" s="13"/>
      <c r="W44" s="13"/>
      <c r="X44" s="13"/>
      <c r="Y44" s="13"/>
      <c r="Z44" s="13"/>
      <c r="AA44" s="13"/>
      <c r="AB44" s="13"/>
      <c r="AC44" s="13"/>
      <c r="AD44" s="13"/>
      <c r="AE44" s="13"/>
      <c r="AF44" s="13"/>
      <c r="AG44" s="13"/>
      <c r="AH44" s="13"/>
      <c r="AI44" s="13"/>
      <c r="AJ44" s="13"/>
      <c r="AK44" s="13"/>
      <c r="AL44" s="13"/>
      <c r="AM44" s="13"/>
      <c r="AN44" s="13"/>
      <c r="AO44" s="13"/>
      <c r="AP44" s="13"/>
      <c r="AQ44" s="13"/>
      <c r="AR44" s="13"/>
      <c r="AS44" s="13"/>
      <c r="AT44" s="13"/>
      <c r="AU44" s="13"/>
      <c r="AV44" s="13"/>
      <c r="AW44" s="13"/>
      <c r="AX44" s="13"/>
      <c r="AY44" s="13"/>
      <c r="AZ44" s="13"/>
      <c r="BA44" s="13"/>
      <c r="BB44" s="13"/>
      <c r="BC44" s="13"/>
      <c r="BD44" s="13"/>
      <c r="BE44" s="13"/>
      <c r="BF44" s="13"/>
      <c r="BG44" s="24"/>
      <c r="BH44" s="13"/>
      <c r="BI44" s="13"/>
      <c r="BJ44" s="13"/>
      <c r="BK44" s="13"/>
      <c r="BL44" s="13"/>
      <c r="BM44" s="13"/>
      <c r="BN44" s="13"/>
      <c r="BO44" s="13"/>
      <c r="BP44" s="13"/>
      <c r="BQ44" s="13"/>
      <c r="BR44" s="13"/>
      <c r="BS44" s="13"/>
      <c r="BT44" s="13"/>
      <c r="BU44" s="13"/>
      <c r="BV44" s="13"/>
      <c r="BW44" s="13"/>
      <c r="BX44" s="13"/>
      <c r="BY44" s="13"/>
      <c r="BZ44" s="13"/>
      <c r="CA44" s="13"/>
      <c r="CB44" s="13"/>
      <c r="CC44" s="13"/>
      <c r="CD44" s="13"/>
      <c r="CE44" s="13"/>
      <c r="CF44" s="13"/>
      <c r="CG44" s="13"/>
      <c r="CH44" s="13"/>
      <c r="CI44" s="13"/>
      <c r="CJ44" s="13"/>
      <c r="CK44" s="13"/>
      <c r="CL44" s="13"/>
      <c r="CM44" s="13"/>
      <c r="CN44" s="13"/>
      <c r="CO44" s="13"/>
      <c r="CP44" s="13"/>
      <c r="CQ44" s="13"/>
      <c r="CR44" s="13"/>
      <c r="CS44" s="13"/>
      <c r="CT44" s="13"/>
      <c r="CU44" s="13"/>
      <c r="CV44" s="13"/>
      <c r="CW44" s="13"/>
      <c r="CX44" s="13"/>
      <c r="CY44" s="13"/>
      <c r="CZ44" s="13"/>
      <c r="DA44" s="13"/>
      <c r="DB44" s="13"/>
      <c r="DC44" s="13"/>
      <c r="DD44" s="13"/>
      <c r="DE44" s="13"/>
      <c r="DF44" s="13"/>
      <c r="DG44" s="13"/>
      <c r="DH44" s="13"/>
      <c r="DI44" s="13"/>
      <c r="DJ44" s="13"/>
      <c r="DK44" s="13"/>
      <c r="DL44" s="13"/>
      <c r="DM44" s="13"/>
      <c r="DN44" s="13"/>
      <c r="DO44" s="13"/>
      <c r="DP44" s="13"/>
      <c r="DQ44" s="13"/>
      <c r="DR44" s="13"/>
      <c r="DS44" s="13"/>
      <c r="DT44" s="13"/>
      <c r="DU44" s="13"/>
      <c r="DV44" s="13"/>
      <c r="DW44" s="13"/>
    </row>
    <row r="45" spans="1:127">
      <c r="A45" s="13" t="str">
        <f>Schedule_Data_ScenarioB!A46</f>
        <v>UL-04-2</v>
      </c>
      <c r="B45" s="13" t="str">
        <f>Schedule_Data_ScenarioB!B46</f>
        <v>4.0</v>
      </c>
      <c r="C45" s="13" t="str">
        <f>Schedule_Data_ScenarioB!C46</f>
        <v>Unload TR7 at AGI (1 unit/day)</v>
      </c>
      <c r="D45" s="24" t="str">
        <f>Schedule_Data_ScenarioB!D46</f>
        <v>AGI_UNLOAD</v>
      </c>
      <c r="E45" s="33">
        <f>Schedule_Data_ScenarioB!F46</f>
        <v>46089</v>
      </c>
      <c r="F45" s="33">
        <f>Schedule_Data_ScenarioB!G46</f>
        <v>46089</v>
      </c>
      <c r="G45" s="13">
        <f>Schedule_Data_ScenarioB!H46</f>
        <v>0</v>
      </c>
      <c r="H45" s="13"/>
      <c r="I45" s="13"/>
      <c r="J45" s="13"/>
      <c r="K45" s="13"/>
      <c r="L45" s="13"/>
      <c r="M45" s="13"/>
      <c r="N45" s="13"/>
      <c r="O45" s="13"/>
      <c r="P45" s="13"/>
      <c r="Q45" s="13"/>
      <c r="R45" s="13"/>
      <c r="S45" s="13"/>
      <c r="T45" s="13"/>
      <c r="U45" s="13"/>
      <c r="V45" s="13"/>
      <c r="W45" s="13"/>
      <c r="X45" s="13"/>
      <c r="Y45" s="13"/>
      <c r="Z45" s="13"/>
      <c r="AA45" s="13"/>
      <c r="AB45" s="13"/>
      <c r="AC45" s="13"/>
      <c r="AD45" s="13"/>
      <c r="AE45" s="13"/>
      <c r="AF45" s="13"/>
      <c r="AG45" s="13"/>
      <c r="AH45" s="13"/>
      <c r="AI45" s="13"/>
      <c r="AJ45" s="13"/>
      <c r="AK45" s="13"/>
      <c r="AL45" s="13"/>
      <c r="AM45" s="13"/>
      <c r="AN45" s="13"/>
      <c r="AO45" s="13"/>
      <c r="AP45" s="13"/>
      <c r="AQ45" s="13"/>
      <c r="AR45" s="13"/>
      <c r="AS45" s="13"/>
      <c r="AT45" s="13"/>
      <c r="AU45" s="13"/>
      <c r="AV45" s="13"/>
      <c r="AW45" s="13"/>
      <c r="AX45" s="13"/>
      <c r="AY45" s="13"/>
      <c r="AZ45" s="13"/>
      <c r="BA45" s="13"/>
      <c r="BB45" s="13"/>
      <c r="BC45" s="13"/>
      <c r="BD45" s="13"/>
      <c r="BE45" s="13"/>
      <c r="BF45" s="13"/>
      <c r="BG45" s="13"/>
      <c r="BH45" s="24"/>
      <c r="BI45" s="13"/>
      <c r="BJ45" s="13"/>
      <c r="BK45" s="13"/>
      <c r="BL45" s="13"/>
      <c r="BM45" s="13"/>
      <c r="BN45" s="13"/>
      <c r="BO45" s="13"/>
      <c r="BP45" s="13"/>
      <c r="BQ45" s="13"/>
      <c r="BR45" s="13"/>
      <c r="BS45" s="13"/>
      <c r="BT45" s="13"/>
      <c r="BU45" s="13"/>
      <c r="BV45" s="13"/>
      <c r="BW45" s="13"/>
      <c r="BX45" s="13"/>
      <c r="BY45" s="13"/>
      <c r="BZ45" s="13"/>
      <c r="CA45" s="13"/>
      <c r="CB45" s="13"/>
      <c r="CC45" s="13"/>
      <c r="CD45" s="13"/>
      <c r="CE45" s="13"/>
      <c r="CF45" s="13"/>
      <c r="CG45" s="13"/>
      <c r="CH45" s="13"/>
      <c r="CI45" s="13"/>
      <c r="CJ45" s="13"/>
      <c r="CK45" s="13"/>
      <c r="CL45" s="13"/>
      <c r="CM45" s="13"/>
      <c r="CN45" s="13"/>
      <c r="CO45" s="13"/>
      <c r="CP45" s="13"/>
      <c r="CQ45" s="13"/>
      <c r="CR45" s="13"/>
      <c r="CS45" s="13"/>
      <c r="CT45" s="13"/>
      <c r="CU45" s="13"/>
      <c r="CV45" s="13"/>
      <c r="CW45" s="13"/>
      <c r="CX45" s="13"/>
      <c r="CY45" s="13"/>
      <c r="CZ45" s="13"/>
      <c r="DA45" s="13"/>
      <c r="DB45" s="13"/>
      <c r="DC45" s="13"/>
      <c r="DD45" s="13"/>
      <c r="DE45" s="13"/>
      <c r="DF45" s="13"/>
      <c r="DG45" s="13"/>
      <c r="DH45" s="13"/>
      <c r="DI45" s="13"/>
      <c r="DJ45" s="13"/>
      <c r="DK45" s="13"/>
      <c r="DL45" s="13"/>
      <c r="DM45" s="13"/>
      <c r="DN45" s="13"/>
      <c r="DO45" s="13"/>
      <c r="DP45" s="13"/>
      <c r="DQ45" s="13"/>
      <c r="DR45" s="13"/>
      <c r="DS45" s="13"/>
      <c r="DT45" s="13"/>
      <c r="DU45" s="13"/>
      <c r="DV45" s="13"/>
      <c r="DW45" s="13"/>
    </row>
    <row r="46" spans="1:127">
      <c r="A46" s="13" t="str">
        <f>Schedule_Data_ScenarioB!A47</f>
        <v>TURN-04-1</v>
      </c>
      <c r="B46" s="13" t="str">
        <f>Schedule_Data_ScenarioB!B47</f>
        <v>4.0</v>
      </c>
      <c r="C46" s="13" t="str">
        <f>Schedule_Data_ScenarioB!C47</f>
        <v>Turning TR6 (90°)</v>
      </c>
      <c r="D46" s="26" t="str">
        <f>Schedule_Data_ScenarioB!D47</f>
        <v>TURNING</v>
      </c>
      <c r="E46" s="33">
        <f>Schedule_Data_ScenarioB!F47</f>
        <v>46090</v>
      </c>
      <c r="F46" s="33">
        <f>Schedule_Data_ScenarioB!G47</f>
        <v>46090</v>
      </c>
      <c r="G46" s="13">
        <f>Schedule_Data_ScenarioB!H47</f>
        <v>0</v>
      </c>
      <c r="H46" s="13"/>
      <c r="I46" s="13"/>
      <c r="J46" s="13"/>
      <c r="K46" s="13"/>
      <c r="L46" s="13"/>
      <c r="M46" s="13"/>
      <c r="N46" s="13"/>
      <c r="O46" s="13"/>
      <c r="P46" s="13"/>
      <c r="Q46" s="13"/>
      <c r="R46" s="13"/>
      <c r="S46" s="13"/>
      <c r="T46" s="13"/>
      <c r="U46" s="13"/>
      <c r="V46" s="13"/>
      <c r="W46" s="13"/>
      <c r="X46" s="13"/>
      <c r="Y46" s="13"/>
      <c r="Z46" s="13"/>
      <c r="AA46" s="13"/>
      <c r="AB46" s="13"/>
      <c r="AC46" s="13"/>
      <c r="AD46" s="13"/>
      <c r="AE46" s="13"/>
      <c r="AF46" s="13"/>
      <c r="AG46" s="13"/>
      <c r="AH46" s="13"/>
      <c r="AI46" s="13"/>
      <c r="AJ46" s="13"/>
      <c r="AK46" s="13"/>
      <c r="AL46" s="13"/>
      <c r="AM46" s="13"/>
      <c r="AN46" s="13"/>
      <c r="AO46" s="13"/>
      <c r="AP46" s="13"/>
      <c r="AQ46" s="13"/>
      <c r="AR46" s="13"/>
      <c r="AS46" s="13"/>
      <c r="AT46" s="13"/>
      <c r="AU46" s="13"/>
      <c r="AV46" s="13"/>
      <c r="AW46" s="13"/>
      <c r="AX46" s="13"/>
      <c r="AY46" s="13"/>
      <c r="AZ46" s="13"/>
      <c r="BA46" s="13"/>
      <c r="BB46" s="13"/>
      <c r="BC46" s="13"/>
      <c r="BD46" s="13"/>
      <c r="BE46" s="13"/>
      <c r="BF46" s="13"/>
      <c r="BG46" s="13"/>
      <c r="BH46" s="13"/>
      <c r="BI46" s="26"/>
      <c r="BJ46" s="13"/>
      <c r="BK46" s="13"/>
      <c r="BL46" s="13"/>
      <c r="BM46" s="13"/>
      <c r="BN46" s="13"/>
      <c r="BO46" s="13"/>
      <c r="BP46" s="13"/>
      <c r="BQ46" s="13"/>
      <c r="BR46" s="13"/>
      <c r="BS46" s="13"/>
      <c r="BT46" s="13"/>
      <c r="BU46" s="13"/>
      <c r="BV46" s="13"/>
      <c r="BW46" s="13"/>
      <c r="BX46" s="13"/>
      <c r="BY46" s="13"/>
      <c r="BZ46" s="13"/>
      <c r="CA46" s="13"/>
      <c r="CB46" s="13"/>
      <c r="CC46" s="13"/>
      <c r="CD46" s="13"/>
      <c r="CE46" s="13"/>
      <c r="CF46" s="13"/>
      <c r="CG46" s="13"/>
      <c r="CH46" s="13"/>
      <c r="CI46" s="13"/>
      <c r="CJ46" s="13"/>
      <c r="CK46" s="13"/>
      <c r="CL46" s="13"/>
      <c r="CM46" s="13"/>
      <c r="CN46" s="13"/>
      <c r="CO46" s="13"/>
      <c r="CP46" s="13"/>
      <c r="CQ46" s="13"/>
      <c r="CR46" s="13"/>
      <c r="CS46" s="13"/>
      <c r="CT46" s="13"/>
      <c r="CU46" s="13"/>
      <c r="CV46" s="13"/>
      <c r="CW46" s="13"/>
      <c r="CX46" s="13"/>
      <c r="CY46" s="13"/>
      <c r="CZ46" s="13"/>
      <c r="DA46" s="13"/>
      <c r="DB46" s="13"/>
      <c r="DC46" s="13"/>
      <c r="DD46" s="13"/>
      <c r="DE46" s="13"/>
      <c r="DF46" s="13"/>
      <c r="DG46" s="13"/>
      <c r="DH46" s="13"/>
      <c r="DI46" s="13"/>
      <c r="DJ46" s="13"/>
      <c r="DK46" s="13"/>
      <c r="DL46" s="13"/>
      <c r="DM46" s="13"/>
      <c r="DN46" s="13"/>
      <c r="DO46" s="13"/>
      <c r="DP46" s="13"/>
      <c r="DQ46" s="13"/>
      <c r="DR46" s="13"/>
      <c r="DS46" s="13"/>
      <c r="DT46" s="13"/>
      <c r="DU46" s="13"/>
      <c r="DV46" s="13"/>
      <c r="DW46" s="13"/>
    </row>
    <row r="47" spans="1:127">
      <c r="A47" s="13" t="str">
        <f>Schedule_Data_ScenarioB!A48</f>
        <v>JD-04-1</v>
      </c>
      <c r="B47" s="13" t="str">
        <f>Schedule_Data_ScenarioB!B48</f>
        <v>4.0</v>
      </c>
      <c r="C47" s="13" t="str">
        <f>Schedule_Data_ScenarioB!C48</f>
        <v>Jackdown TR6</v>
      </c>
      <c r="D47" s="42" t="str">
        <f>Schedule_Data_ScenarioB!D48</f>
        <v>JACKDOWN</v>
      </c>
      <c r="E47" s="33">
        <f>Schedule_Data_ScenarioB!F48</f>
        <v>46093</v>
      </c>
      <c r="F47" s="33">
        <f>Schedule_Data_ScenarioB!G48</f>
        <v>46093</v>
      </c>
      <c r="G47" s="13">
        <f>Schedule_Data_ScenarioB!H48</f>
        <v>0</v>
      </c>
      <c r="H47" s="13"/>
      <c r="I47" s="13"/>
      <c r="J47" s="13"/>
      <c r="K47" s="13"/>
      <c r="L47" s="13"/>
      <c r="M47" s="13"/>
      <c r="N47" s="13"/>
      <c r="O47" s="13"/>
      <c r="P47" s="13"/>
      <c r="Q47" s="13"/>
      <c r="R47" s="13"/>
      <c r="S47" s="13"/>
      <c r="T47" s="13"/>
      <c r="U47" s="13"/>
      <c r="V47" s="13"/>
      <c r="W47" s="13"/>
      <c r="X47" s="13"/>
      <c r="Y47" s="13"/>
      <c r="Z47" s="13"/>
      <c r="AA47" s="13"/>
      <c r="AB47" s="13"/>
      <c r="AC47" s="13"/>
      <c r="AD47" s="13"/>
      <c r="AE47" s="13"/>
      <c r="AF47" s="13"/>
      <c r="AG47" s="13"/>
      <c r="AH47" s="13"/>
      <c r="AI47" s="13"/>
      <c r="AJ47" s="13"/>
      <c r="AK47" s="13"/>
      <c r="AL47" s="13"/>
      <c r="AM47" s="13"/>
      <c r="AN47" s="13"/>
      <c r="AO47" s="13"/>
      <c r="AP47" s="13"/>
      <c r="AQ47" s="13"/>
      <c r="AR47" s="13"/>
      <c r="AS47" s="13"/>
      <c r="AT47" s="13"/>
      <c r="AU47" s="13"/>
      <c r="AV47" s="13"/>
      <c r="AW47" s="13"/>
      <c r="AX47" s="13"/>
      <c r="AY47" s="13"/>
      <c r="AZ47" s="13"/>
      <c r="BA47" s="13"/>
      <c r="BB47" s="13"/>
      <c r="BC47" s="13"/>
      <c r="BD47" s="13"/>
      <c r="BE47" s="13"/>
      <c r="BF47" s="13"/>
      <c r="BG47" s="13"/>
      <c r="BH47" s="13"/>
      <c r="BI47" s="13"/>
      <c r="BJ47" s="13"/>
      <c r="BK47" s="13"/>
      <c r="BL47" s="42"/>
      <c r="BM47" s="13"/>
      <c r="BN47" s="13"/>
      <c r="BO47" s="13"/>
      <c r="BP47" s="13"/>
      <c r="BQ47" s="13"/>
      <c r="BR47" s="13"/>
      <c r="BS47" s="13"/>
      <c r="BT47" s="13"/>
      <c r="BU47" s="13"/>
      <c r="BV47" s="13"/>
      <c r="BW47" s="13"/>
      <c r="BX47" s="13"/>
      <c r="BY47" s="13"/>
      <c r="BZ47" s="13"/>
      <c r="CA47" s="13"/>
      <c r="CB47" s="13"/>
      <c r="CC47" s="13"/>
      <c r="CD47" s="13"/>
      <c r="CE47" s="13"/>
      <c r="CF47" s="13"/>
      <c r="CG47" s="13"/>
      <c r="CH47" s="13"/>
      <c r="CI47" s="13"/>
      <c r="CJ47" s="13"/>
      <c r="CK47" s="13"/>
      <c r="CL47" s="13"/>
      <c r="CM47" s="13"/>
      <c r="CN47" s="13"/>
      <c r="CO47" s="13"/>
      <c r="CP47" s="13"/>
      <c r="CQ47" s="13"/>
      <c r="CR47" s="13"/>
      <c r="CS47" s="13"/>
      <c r="CT47" s="13"/>
      <c r="CU47" s="13"/>
      <c r="CV47" s="13"/>
      <c r="CW47" s="13"/>
      <c r="CX47" s="13"/>
      <c r="CY47" s="13"/>
      <c r="CZ47" s="13"/>
      <c r="DA47" s="13"/>
      <c r="DB47" s="13"/>
      <c r="DC47" s="13"/>
      <c r="DD47" s="13"/>
      <c r="DE47" s="13"/>
      <c r="DF47" s="13"/>
      <c r="DG47" s="13"/>
      <c r="DH47" s="13"/>
      <c r="DI47" s="13"/>
      <c r="DJ47" s="13"/>
      <c r="DK47" s="13"/>
      <c r="DL47" s="13"/>
      <c r="DM47" s="13"/>
      <c r="DN47" s="13"/>
      <c r="DO47" s="13"/>
      <c r="DP47" s="13"/>
      <c r="DQ47" s="13"/>
      <c r="DR47" s="13"/>
      <c r="DS47" s="13"/>
      <c r="DT47" s="13"/>
      <c r="DU47" s="13"/>
      <c r="DV47" s="13"/>
      <c r="DW47" s="13"/>
    </row>
    <row r="48" spans="1:127">
      <c r="A48" s="13" t="str">
        <f>Schedule_Data_ScenarioB!A49</f>
        <v>TURN-04-2</v>
      </c>
      <c r="B48" s="13" t="str">
        <f>Schedule_Data_ScenarioB!B49</f>
        <v>4.0</v>
      </c>
      <c r="C48" s="13" t="str">
        <f>Schedule_Data_ScenarioB!C49</f>
        <v>Turning TR7 (90°)</v>
      </c>
      <c r="D48" s="26" t="str">
        <f>Schedule_Data_ScenarioB!D49</f>
        <v>TURNING</v>
      </c>
      <c r="E48" s="33">
        <f>Schedule_Data_ScenarioB!F49</f>
        <v>46094</v>
      </c>
      <c r="F48" s="33">
        <f>Schedule_Data_ScenarioB!G49</f>
        <v>46094</v>
      </c>
      <c r="G48" s="13">
        <f>Schedule_Data_ScenarioB!H49</f>
        <v>0</v>
      </c>
      <c r="H48" s="13"/>
      <c r="I48" s="13"/>
      <c r="J48" s="13"/>
      <c r="K48" s="13"/>
      <c r="L48" s="13"/>
      <c r="M48" s="13"/>
      <c r="N48" s="13"/>
      <c r="O48" s="13"/>
      <c r="P48" s="13"/>
      <c r="Q48" s="13"/>
      <c r="R48" s="13"/>
      <c r="S48" s="13"/>
      <c r="T48" s="13"/>
      <c r="U48" s="13"/>
      <c r="V48" s="13"/>
      <c r="W48" s="13"/>
      <c r="X48" s="13"/>
      <c r="Y48" s="13"/>
      <c r="Z48" s="13"/>
      <c r="AA48" s="13"/>
      <c r="AB48" s="13"/>
      <c r="AC48" s="13"/>
      <c r="AD48" s="13"/>
      <c r="AE48" s="13"/>
      <c r="AF48" s="13"/>
      <c r="AG48" s="13"/>
      <c r="AH48" s="13"/>
      <c r="AI48" s="13"/>
      <c r="AJ48" s="13"/>
      <c r="AK48" s="13"/>
      <c r="AL48" s="13"/>
      <c r="AM48" s="13"/>
      <c r="AN48" s="13"/>
      <c r="AO48" s="13"/>
      <c r="AP48" s="13"/>
      <c r="AQ48" s="13"/>
      <c r="AR48" s="13"/>
      <c r="AS48" s="13"/>
      <c r="AT48" s="13"/>
      <c r="AU48" s="13"/>
      <c r="AV48" s="13"/>
      <c r="AW48" s="13"/>
      <c r="AX48" s="13"/>
      <c r="AY48" s="13"/>
      <c r="AZ48" s="13"/>
      <c r="BA48" s="13"/>
      <c r="BB48" s="13"/>
      <c r="BC48" s="13"/>
      <c r="BD48" s="13"/>
      <c r="BE48" s="13"/>
      <c r="BF48" s="13"/>
      <c r="BG48" s="13"/>
      <c r="BH48" s="13"/>
      <c r="BI48" s="13"/>
      <c r="BJ48" s="13"/>
      <c r="BK48" s="13"/>
      <c r="BL48" s="13"/>
      <c r="BM48" s="26"/>
      <c r="BN48" s="13"/>
      <c r="BO48" s="13"/>
      <c r="BP48" s="13"/>
      <c r="BQ48" s="13"/>
      <c r="BR48" s="13"/>
      <c r="BS48" s="13"/>
      <c r="BT48" s="13"/>
      <c r="BU48" s="13"/>
      <c r="BV48" s="13"/>
      <c r="BW48" s="13"/>
      <c r="BX48" s="13"/>
      <c r="BY48" s="13"/>
      <c r="BZ48" s="13"/>
      <c r="CA48" s="13"/>
      <c r="CB48" s="13"/>
      <c r="CC48" s="13"/>
      <c r="CD48" s="13"/>
      <c r="CE48" s="13"/>
      <c r="CF48" s="13"/>
      <c r="CG48" s="13"/>
      <c r="CH48" s="13"/>
      <c r="CI48" s="13"/>
      <c r="CJ48" s="13"/>
      <c r="CK48" s="13"/>
      <c r="CL48" s="13"/>
      <c r="CM48" s="13"/>
      <c r="CN48" s="13"/>
      <c r="CO48" s="13"/>
      <c r="CP48" s="13"/>
      <c r="CQ48" s="13"/>
      <c r="CR48" s="13"/>
      <c r="CS48" s="13"/>
      <c r="CT48" s="13"/>
      <c r="CU48" s="13"/>
      <c r="CV48" s="13"/>
      <c r="CW48" s="13"/>
      <c r="CX48" s="13"/>
      <c r="CY48" s="13"/>
      <c r="CZ48" s="13"/>
      <c r="DA48" s="13"/>
      <c r="DB48" s="13"/>
      <c r="DC48" s="13"/>
      <c r="DD48" s="13"/>
      <c r="DE48" s="13"/>
      <c r="DF48" s="13"/>
      <c r="DG48" s="13"/>
      <c r="DH48" s="13"/>
      <c r="DI48" s="13"/>
      <c r="DJ48" s="13"/>
      <c r="DK48" s="13"/>
      <c r="DL48" s="13"/>
      <c r="DM48" s="13"/>
      <c r="DN48" s="13"/>
      <c r="DO48" s="13"/>
      <c r="DP48" s="13"/>
      <c r="DQ48" s="13"/>
      <c r="DR48" s="13"/>
      <c r="DS48" s="13"/>
      <c r="DT48" s="13"/>
      <c r="DU48" s="13"/>
      <c r="DV48" s="13"/>
      <c r="DW48" s="13"/>
    </row>
    <row r="49" spans="1:127">
      <c r="A49" s="13" t="str">
        <f>Schedule_Data_ScenarioB!A50</f>
        <v>JD-04-2</v>
      </c>
      <c r="B49" s="13" t="str">
        <f>Schedule_Data_ScenarioB!B50</f>
        <v>4.0</v>
      </c>
      <c r="C49" s="13" t="str">
        <f>Schedule_Data_ScenarioB!C50</f>
        <v>Jackdown TR7</v>
      </c>
      <c r="D49" s="42" t="str">
        <f>Schedule_Data_ScenarioB!D50</f>
        <v>JACKDOWN</v>
      </c>
      <c r="E49" s="33">
        <f>Schedule_Data_ScenarioB!F50</f>
        <v>46097</v>
      </c>
      <c r="F49" s="33">
        <f>Schedule_Data_ScenarioB!G50</f>
        <v>46097</v>
      </c>
      <c r="G49" s="13">
        <f>Schedule_Data_ScenarioB!H50</f>
        <v>0</v>
      </c>
      <c r="H49" s="13"/>
      <c r="I49" s="13"/>
      <c r="J49" s="13"/>
      <c r="K49" s="13"/>
      <c r="L49" s="13"/>
      <c r="M49" s="13"/>
      <c r="N49" s="13"/>
      <c r="O49" s="13"/>
      <c r="P49" s="13"/>
      <c r="Q49" s="13"/>
      <c r="R49" s="13"/>
      <c r="S49" s="13"/>
      <c r="T49" s="13"/>
      <c r="U49" s="13"/>
      <c r="V49" s="13"/>
      <c r="W49" s="13"/>
      <c r="X49" s="13"/>
      <c r="Y49" s="13"/>
      <c r="Z49" s="13"/>
      <c r="AA49" s="13"/>
      <c r="AB49" s="13"/>
      <c r="AC49" s="13"/>
      <c r="AD49" s="13"/>
      <c r="AE49" s="13"/>
      <c r="AF49" s="13"/>
      <c r="AG49" s="13"/>
      <c r="AH49" s="13"/>
      <c r="AI49" s="13"/>
      <c r="AJ49" s="13"/>
      <c r="AK49" s="13"/>
      <c r="AL49" s="13"/>
      <c r="AM49" s="13"/>
      <c r="AN49" s="13"/>
      <c r="AO49" s="13"/>
      <c r="AP49" s="13"/>
      <c r="AQ49" s="13"/>
      <c r="AR49" s="13"/>
      <c r="AS49" s="13"/>
      <c r="AT49" s="13"/>
      <c r="AU49" s="13"/>
      <c r="AV49" s="13"/>
      <c r="AW49" s="13"/>
      <c r="AX49" s="13"/>
      <c r="AY49" s="13"/>
      <c r="AZ49" s="13"/>
      <c r="BA49" s="13"/>
      <c r="BB49" s="13"/>
      <c r="BC49" s="13"/>
      <c r="BD49" s="13"/>
      <c r="BE49" s="13"/>
      <c r="BF49" s="13"/>
      <c r="BG49" s="13"/>
      <c r="BH49" s="13"/>
      <c r="BI49" s="13"/>
      <c r="BJ49" s="13"/>
      <c r="BK49" s="13"/>
      <c r="BL49" s="13"/>
      <c r="BM49" s="13"/>
      <c r="BN49" s="13"/>
      <c r="BO49" s="13"/>
      <c r="BP49" s="42"/>
      <c r="BQ49" s="13"/>
      <c r="BR49" s="13"/>
      <c r="BS49" s="13"/>
      <c r="BT49" s="13"/>
      <c r="BU49" s="13"/>
      <c r="BV49" s="13"/>
      <c r="BW49" s="13"/>
      <c r="BX49" s="13"/>
      <c r="BY49" s="13"/>
      <c r="BZ49" s="13"/>
      <c r="CA49" s="13"/>
      <c r="CB49" s="13"/>
      <c r="CC49" s="13"/>
      <c r="CD49" s="13"/>
      <c r="CE49" s="13"/>
      <c r="CF49" s="13"/>
      <c r="CG49" s="13"/>
      <c r="CH49" s="13"/>
      <c r="CI49" s="13"/>
      <c r="CJ49" s="13"/>
      <c r="CK49" s="13"/>
      <c r="CL49" s="13"/>
      <c r="CM49" s="13"/>
      <c r="CN49" s="13"/>
      <c r="CO49" s="13"/>
      <c r="CP49" s="13"/>
      <c r="CQ49" s="13"/>
      <c r="CR49" s="13"/>
      <c r="CS49" s="13"/>
      <c r="CT49" s="13"/>
      <c r="CU49" s="13"/>
      <c r="CV49" s="13"/>
      <c r="CW49" s="13"/>
      <c r="CX49" s="13"/>
      <c r="CY49" s="13"/>
      <c r="CZ49" s="13"/>
      <c r="DA49" s="13"/>
      <c r="DB49" s="13"/>
      <c r="DC49" s="13"/>
      <c r="DD49" s="13"/>
      <c r="DE49" s="13"/>
      <c r="DF49" s="13"/>
      <c r="DG49" s="13"/>
      <c r="DH49" s="13"/>
      <c r="DI49" s="13"/>
      <c r="DJ49" s="13"/>
      <c r="DK49" s="13"/>
      <c r="DL49" s="13"/>
      <c r="DM49" s="13"/>
      <c r="DN49" s="13"/>
      <c r="DO49" s="13"/>
      <c r="DP49" s="13"/>
      <c r="DQ49" s="13"/>
      <c r="DR49" s="13"/>
      <c r="DS49" s="13"/>
      <c r="DT49" s="13"/>
      <c r="DU49" s="13"/>
      <c r="DV49" s="13"/>
      <c r="DW49" s="13"/>
    </row>
    <row r="50" spans="1:127">
      <c r="A50" s="13" t="str">
        <f>Schedule_Data_ScenarioB!A51</f>
        <v>RET-04</v>
      </c>
      <c r="B50" s="13" t="str">
        <f>Schedule_Data_ScenarioB!B51</f>
        <v>4.0</v>
      </c>
      <c r="C50" s="13" t="str">
        <f>Schedule_Data_ScenarioB!C51</f>
        <v>LCT Return AGI→MZP</v>
      </c>
      <c r="D50" s="25" t="str">
        <f>Schedule_Data_ScenarioB!D51</f>
        <v>RETURN</v>
      </c>
      <c r="E50" s="33">
        <f>Schedule_Data_ScenarioB!F51</f>
        <v>46098</v>
      </c>
      <c r="F50" s="33">
        <f>Schedule_Data_ScenarioB!G51</f>
        <v>46098</v>
      </c>
      <c r="G50" s="13">
        <f>Schedule_Data_ScenarioB!H51</f>
        <v>0</v>
      </c>
      <c r="H50" s="13"/>
      <c r="I50" s="13"/>
      <c r="J50" s="13"/>
      <c r="K50" s="13"/>
      <c r="L50" s="13"/>
      <c r="M50" s="13"/>
      <c r="N50" s="13"/>
      <c r="O50" s="13"/>
      <c r="P50" s="13"/>
      <c r="Q50" s="13"/>
      <c r="R50" s="13"/>
      <c r="S50" s="13"/>
      <c r="T50" s="13"/>
      <c r="U50" s="13"/>
      <c r="V50" s="13"/>
      <c r="W50" s="13"/>
      <c r="X50" s="13"/>
      <c r="Y50" s="13"/>
      <c r="Z50" s="13"/>
      <c r="AA50" s="13"/>
      <c r="AB50" s="13"/>
      <c r="AC50" s="13"/>
      <c r="AD50" s="13"/>
      <c r="AE50" s="13"/>
      <c r="AF50" s="13"/>
      <c r="AG50" s="13"/>
      <c r="AH50" s="13"/>
      <c r="AI50" s="13"/>
      <c r="AJ50" s="13"/>
      <c r="AK50" s="13"/>
      <c r="AL50" s="13"/>
      <c r="AM50" s="13"/>
      <c r="AN50" s="13"/>
      <c r="AO50" s="13"/>
      <c r="AP50" s="13"/>
      <c r="AQ50" s="13"/>
      <c r="AR50" s="13"/>
      <c r="AS50" s="13"/>
      <c r="AT50" s="13"/>
      <c r="AU50" s="13"/>
      <c r="AV50" s="13"/>
      <c r="AW50" s="13"/>
      <c r="AX50" s="13"/>
      <c r="AY50" s="13"/>
      <c r="AZ50" s="13"/>
      <c r="BA50" s="13"/>
      <c r="BB50" s="13"/>
      <c r="BC50" s="13"/>
      <c r="BD50" s="13"/>
      <c r="BE50" s="13"/>
      <c r="BF50" s="13"/>
      <c r="BG50" s="13"/>
      <c r="BH50" s="13"/>
      <c r="BI50" s="13"/>
      <c r="BJ50" s="13"/>
      <c r="BK50" s="13"/>
      <c r="BL50" s="13"/>
      <c r="BM50" s="13"/>
      <c r="BN50" s="13"/>
      <c r="BO50" s="13"/>
      <c r="BP50" s="13"/>
      <c r="BQ50" s="25"/>
      <c r="BR50" s="13"/>
      <c r="BS50" s="13"/>
      <c r="BT50" s="13"/>
      <c r="BU50" s="13"/>
      <c r="BV50" s="13"/>
      <c r="BW50" s="13"/>
      <c r="BX50" s="13"/>
      <c r="BY50" s="13"/>
      <c r="BZ50" s="13"/>
      <c r="CA50" s="13"/>
      <c r="CB50" s="13"/>
      <c r="CC50" s="13"/>
      <c r="CD50" s="13"/>
      <c r="CE50" s="13"/>
      <c r="CF50" s="13"/>
      <c r="CG50" s="13"/>
      <c r="CH50" s="13"/>
      <c r="CI50" s="13"/>
      <c r="CJ50" s="13"/>
      <c r="CK50" s="13"/>
      <c r="CL50" s="13"/>
      <c r="CM50" s="13"/>
      <c r="CN50" s="13"/>
      <c r="CO50" s="13"/>
      <c r="CP50" s="13"/>
      <c r="CQ50" s="13"/>
      <c r="CR50" s="13"/>
      <c r="CS50" s="13"/>
      <c r="CT50" s="13"/>
      <c r="CU50" s="13"/>
      <c r="CV50" s="13"/>
      <c r="CW50" s="13"/>
      <c r="CX50" s="13"/>
      <c r="CY50" s="13"/>
      <c r="CZ50" s="13"/>
      <c r="DA50" s="13"/>
      <c r="DB50" s="13"/>
      <c r="DC50" s="13"/>
      <c r="DD50" s="13"/>
      <c r="DE50" s="13"/>
      <c r="DF50" s="13"/>
      <c r="DG50" s="13"/>
      <c r="DH50" s="13"/>
      <c r="DI50" s="13"/>
      <c r="DJ50" s="13"/>
      <c r="DK50" s="13"/>
      <c r="DL50" s="13"/>
      <c r="DM50" s="13"/>
      <c r="DN50" s="13"/>
      <c r="DO50" s="13"/>
      <c r="DP50" s="13"/>
      <c r="DQ50" s="13"/>
      <c r="DR50" s="13"/>
      <c r="DS50" s="13"/>
      <c r="DT50" s="13"/>
      <c r="DU50" s="13"/>
      <c r="DV50" s="13"/>
      <c r="DW50" s="13"/>
    </row>
    <row r="51" spans="1:127">
      <c r="A51" s="13" t="str">
        <f>Schedule_Data_ScenarioB!A52</f>
        <v>BUF-04</v>
      </c>
      <c r="B51" s="13" t="str">
        <f>Schedule_Data_ScenarioB!B52</f>
        <v>4.0</v>
      </c>
      <c r="C51" s="13" t="str">
        <f>Schedule_Data_ScenarioB!C52</f>
        <v>Buffer / reset</v>
      </c>
      <c r="D51" s="22" t="str">
        <f>Schedule_Data_ScenarioB!D52</f>
        <v>BUFFER</v>
      </c>
      <c r="E51" s="33">
        <f>Schedule_Data_ScenarioB!F52</f>
        <v>46099</v>
      </c>
      <c r="F51" s="33">
        <f>Schedule_Data_ScenarioB!G52</f>
        <v>46099</v>
      </c>
      <c r="G51" s="13">
        <f>Schedule_Data_ScenarioB!H52</f>
        <v>0</v>
      </c>
      <c r="H51" s="13"/>
      <c r="I51" s="13"/>
      <c r="J51" s="13"/>
      <c r="K51" s="13"/>
      <c r="L51" s="13"/>
      <c r="M51" s="13"/>
      <c r="N51" s="13"/>
      <c r="O51" s="13"/>
      <c r="P51" s="13"/>
      <c r="Q51" s="13"/>
      <c r="R51" s="13"/>
      <c r="S51" s="13"/>
      <c r="T51" s="13"/>
      <c r="U51" s="13"/>
      <c r="V51" s="13"/>
      <c r="W51" s="13"/>
      <c r="X51" s="13"/>
      <c r="Y51" s="13"/>
      <c r="Z51" s="13"/>
      <c r="AA51" s="13"/>
      <c r="AB51" s="13"/>
      <c r="AC51" s="13"/>
      <c r="AD51" s="13"/>
      <c r="AE51" s="13"/>
      <c r="AF51" s="13"/>
      <c r="AG51" s="13"/>
      <c r="AH51" s="13"/>
      <c r="AI51" s="13"/>
      <c r="AJ51" s="13"/>
      <c r="AK51" s="13"/>
      <c r="AL51" s="13"/>
      <c r="AM51" s="13"/>
      <c r="AN51" s="13"/>
      <c r="AO51" s="13"/>
      <c r="AP51" s="13"/>
      <c r="AQ51" s="13"/>
      <c r="AR51" s="13"/>
      <c r="AS51" s="13"/>
      <c r="AT51" s="13"/>
      <c r="AU51" s="13"/>
      <c r="AV51" s="13"/>
      <c r="AW51" s="13"/>
      <c r="AX51" s="13"/>
      <c r="AY51" s="13"/>
      <c r="AZ51" s="13"/>
      <c r="BA51" s="13"/>
      <c r="BB51" s="13"/>
      <c r="BC51" s="13"/>
      <c r="BD51" s="13"/>
      <c r="BE51" s="13"/>
      <c r="BF51" s="13"/>
      <c r="BG51" s="13"/>
      <c r="BH51" s="13"/>
      <c r="BI51" s="13"/>
      <c r="BJ51" s="13"/>
      <c r="BK51" s="13"/>
      <c r="BL51" s="13"/>
      <c r="BM51" s="13"/>
      <c r="BN51" s="13"/>
      <c r="BO51" s="13"/>
      <c r="BP51" s="13"/>
      <c r="BQ51" s="13"/>
      <c r="BR51" s="22"/>
      <c r="BS51" s="13"/>
      <c r="BT51" s="13"/>
      <c r="BU51" s="13"/>
      <c r="BV51" s="13"/>
      <c r="BW51" s="13"/>
      <c r="BX51" s="13"/>
      <c r="BY51" s="13"/>
      <c r="BZ51" s="13"/>
      <c r="CA51" s="13"/>
      <c r="CB51" s="13"/>
      <c r="CC51" s="13"/>
      <c r="CD51" s="13"/>
      <c r="CE51" s="13"/>
      <c r="CF51" s="13"/>
      <c r="CG51" s="13"/>
      <c r="CH51" s="13"/>
      <c r="CI51" s="13"/>
      <c r="CJ51" s="13"/>
      <c r="CK51" s="13"/>
      <c r="CL51" s="13"/>
      <c r="CM51" s="13"/>
      <c r="CN51" s="13"/>
      <c r="CO51" s="13"/>
      <c r="CP51" s="13"/>
      <c r="CQ51" s="13"/>
      <c r="CR51" s="13"/>
      <c r="CS51" s="13"/>
      <c r="CT51" s="13"/>
      <c r="CU51" s="13"/>
      <c r="CV51" s="13"/>
      <c r="CW51" s="13"/>
      <c r="CX51" s="13"/>
      <c r="CY51" s="13"/>
      <c r="CZ51" s="13"/>
      <c r="DA51" s="13"/>
      <c r="DB51" s="13"/>
      <c r="DC51" s="13"/>
      <c r="DD51" s="13"/>
      <c r="DE51" s="13"/>
      <c r="DF51" s="13"/>
      <c r="DG51" s="13"/>
      <c r="DH51" s="13"/>
      <c r="DI51" s="13"/>
      <c r="DJ51" s="13"/>
      <c r="DK51" s="13"/>
      <c r="DL51" s="13"/>
      <c r="DM51" s="13"/>
      <c r="DN51" s="13"/>
      <c r="DO51" s="13"/>
      <c r="DP51" s="13"/>
      <c r="DQ51" s="13"/>
      <c r="DR51" s="13"/>
      <c r="DS51" s="13"/>
      <c r="DT51" s="13"/>
      <c r="DU51" s="13"/>
      <c r="DV51" s="13"/>
      <c r="DW51" s="13"/>
    </row>
  </sheetData>
  <mergeCells count="3">
    <mergeCell ref="A1:DW1"/>
    <mergeCell ref="A3:G3"/>
    <mergeCell ref="A2:DW2"/>
  </mergeCells>
  <phoneticPr fontId="17" type="noConversion"/>
  <pageMargins left="0.75" right="0.75" top="1" bottom="1" header="0.5" footer="0.5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dimension ref="A1:D89"/>
  <sheetViews>
    <sheetView workbookViewId="0">
      <pane ySplit="4" topLeftCell="A5" activePane="bottomLeft" state="frozen"/>
      <selection pane="bottomLeft"/>
    </sheetView>
  </sheetViews>
  <sheetFormatPr defaultRowHeight="16.899999999999999"/>
  <cols>
    <col min="1" max="1" width="12" customWidth="1"/>
    <col min="2" max="2" width="25" customWidth="1"/>
    <col min="3" max="3" width="14" customWidth="1"/>
    <col min="4" max="4" width="12" customWidth="1"/>
  </cols>
  <sheetData>
    <row r="1" spans="1:4" ht="20.65">
      <c r="A1" s="63" t="s">
        <v>411</v>
      </c>
      <c r="B1" s="56"/>
      <c r="C1" s="56"/>
      <c r="D1" s="56"/>
    </row>
    <row r="2" spans="1:4">
      <c r="A2" s="59" t="s">
        <v>412</v>
      </c>
      <c r="B2" s="56"/>
      <c r="C2" s="56"/>
      <c r="D2" s="56"/>
    </row>
    <row r="4" spans="1:4">
      <c r="A4" s="12" t="s">
        <v>413</v>
      </c>
      <c r="B4" s="12" t="s">
        <v>414</v>
      </c>
      <c r="C4" s="12" t="s">
        <v>415</v>
      </c>
      <c r="D4" s="12" t="s">
        <v>416</v>
      </c>
    </row>
    <row r="5" spans="1:4">
      <c r="A5" s="9">
        <v>46028</v>
      </c>
      <c r="B5" s="13" t="s">
        <v>417</v>
      </c>
      <c r="C5" s="44">
        <v>2.06</v>
      </c>
      <c r="D5" s="45" t="s">
        <v>418</v>
      </c>
    </row>
    <row r="6" spans="1:4">
      <c r="A6" s="9">
        <v>46029</v>
      </c>
      <c r="B6" s="13" t="s">
        <v>419</v>
      </c>
      <c r="C6" s="44">
        <v>1.94</v>
      </c>
      <c r="D6" s="45" t="s">
        <v>418</v>
      </c>
    </row>
    <row r="7" spans="1:4">
      <c r="A7" s="15">
        <v>46030</v>
      </c>
      <c r="B7" s="13" t="s">
        <v>419</v>
      </c>
      <c r="C7" s="46">
        <v>1.79</v>
      </c>
      <c r="D7" s="47" t="s">
        <v>420</v>
      </c>
    </row>
    <row r="8" spans="1:4">
      <c r="A8" s="15">
        <v>46031</v>
      </c>
      <c r="B8" s="13" t="s">
        <v>419</v>
      </c>
      <c r="C8" s="46">
        <v>1.67</v>
      </c>
      <c r="D8" s="47" t="s">
        <v>420</v>
      </c>
    </row>
    <row r="9" spans="1:4">
      <c r="A9" s="15">
        <v>46032</v>
      </c>
      <c r="B9" s="13" t="s">
        <v>421</v>
      </c>
      <c r="C9" s="46">
        <v>1.48</v>
      </c>
      <c r="D9" s="48" t="s">
        <v>422</v>
      </c>
    </row>
    <row r="10" spans="1:4">
      <c r="A10" s="15">
        <v>46033</v>
      </c>
      <c r="B10" s="13" t="s">
        <v>417</v>
      </c>
      <c r="C10" s="46">
        <v>1.33</v>
      </c>
      <c r="D10" s="48" t="s">
        <v>422</v>
      </c>
    </row>
    <row r="11" spans="1:4">
      <c r="A11" s="15">
        <v>46034</v>
      </c>
      <c r="B11" s="13" t="s">
        <v>419</v>
      </c>
      <c r="C11" s="46">
        <v>1.8</v>
      </c>
      <c r="D11" s="47" t="s">
        <v>420</v>
      </c>
    </row>
    <row r="12" spans="1:4">
      <c r="A12" s="15">
        <v>46035</v>
      </c>
      <c r="B12" s="13" t="s">
        <v>419</v>
      </c>
      <c r="C12" s="46">
        <v>1.83</v>
      </c>
      <c r="D12" s="45" t="s">
        <v>418</v>
      </c>
    </row>
    <row r="13" spans="1:4">
      <c r="A13" s="9">
        <v>46036</v>
      </c>
      <c r="B13" s="13" t="s">
        <v>423</v>
      </c>
      <c r="C13" s="44">
        <v>1.91</v>
      </c>
      <c r="D13" s="45" t="s">
        <v>418</v>
      </c>
    </row>
    <row r="14" spans="1:4">
      <c r="A14" s="9">
        <v>46037</v>
      </c>
      <c r="B14" s="13" t="s">
        <v>424</v>
      </c>
      <c r="C14" s="44">
        <v>1.95</v>
      </c>
      <c r="D14" s="45" t="s">
        <v>418</v>
      </c>
    </row>
    <row r="15" spans="1:4">
      <c r="A15" s="9">
        <v>46038</v>
      </c>
      <c r="B15" s="13" t="s">
        <v>424</v>
      </c>
      <c r="C15" s="44">
        <v>1.99</v>
      </c>
      <c r="D15" s="45" t="s">
        <v>418</v>
      </c>
    </row>
    <row r="16" spans="1:4">
      <c r="A16" s="9">
        <v>46039</v>
      </c>
      <c r="B16" s="13" t="s">
        <v>424</v>
      </c>
      <c r="C16" s="44">
        <v>2.02</v>
      </c>
      <c r="D16" s="45" t="s">
        <v>418</v>
      </c>
    </row>
    <row r="17" spans="1:4">
      <c r="A17" s="9">
        <v>46040</v>
      </c>
      <c r="B17" s="13" t="s">
        <v>424</v>
      </c>
      <c r="C17" s="44">
        <v>2.0499999999999998</v>
      </c>
      <c r="D17" s="45" t="s">
        <v>418</v>
      </c>
    </row>
    <row r="18" spans="1:4">
      <c r="A18" s="9">
        <v>46041</v>
      </c>
      <c r="B18" s="13" t="s">
        <v>425</v>
      </c>
      <c r="C18" s="44">
        <v>2.0099999999999998</v>
      </c>
      <c r="D18" s="45" t="s">
        <v>418</v>
      </c>
    </row>
    <row r="19" spans="1:4">
      <c r="A19" s="9">
        <v>46042</v>
      </c>
      <c r="B19" s="13" t="s">
        <v>425</v>
      </c>
      <c r="C19" s="44">
        <v>1.97</v>
      </c>
      <c r="D19" s="45" t="s">
        <v>418</v>
      </c>
    </row>
    <row r="20" spans="1:4">
      <c r="A20" s="15">
        <v>46043</v>
      </c>
      <c r="B20" s="13" t="s">
        <v>425</v>
      </c>
      <c r="C20" s="46">
        <v>1.88</v>
      </c>
      <c r="D20" s="45" t="s">
        <v>418</v>
      </c>
    </row>
    <row r="21" spans="1:4">
      <c r="A21" s="9">
        <v>46044</v>
      </c>
      <c r="B21" s="13" t="s">
        <v>426</v>
      </c>
      <c r="C21" s="44">
        <v>1.91</v>
      </c>
      <c r="D21" s="45" t="s">
        <v>418</v>
      </c>
    </row>
    <row r="22" spans="1:4">
      <c r="A22" s="15">
        <v>46045</v>
      </c>
      <c r="B22" s="13" t="s">
        <v>426</v>
      </c>
      <c r="C22" s="46">
        <v>1.84</v>
      </c>
      <c r="D22" s="45" t="s">
        <v>418</v>
      </c>
    </row>
    <row r="23" spans="1:4">
      <c r="A23" s="15">
        <v>46046</v>
      </c>
      <c r="B23" s="13" t="s">
        <v>427</v>
      </c>
      <c r="C23" s="46">
        <v>1.75</v>
      </c>
      <c r="D23" s="47" t="s">
        <v>420</v>
      </c>
    </row>
    <row r="24" spans="1:4">
      <c r="A24" s="15">
        <v>46047</v>
      </c>
      <c r="B24" s="13" t="s">
        <v>427</v>
      </c>
      <c r="C24" s="46">
        <v>1.82</v>
      </c>
      <c r="D24" s="47" t="s">
        <v>420</v>
      </c>
    </row>
    <row r="25" spans="1:4">
      <c r="A25" s="9">
        <v>46048</v>
      </c>
      <c r="B25" s="13" t="s">
        <v>428</v>
      </c>
      <c r="C25" s="44">
        <v>1.91</v>
      </c>
      <c r="D25" s="45" t="s">
        <v>418</v>
      </c>
    </row>
    <row r="26" spans="1:4">
      <c r="A26" s="9">
        <v>46049</v>
      </c>
      <c r="B26" s="13" t="s">
        <v>429</v>
      </c>
      <c r="C26" s="44">
        <v>1.97</v>
      </c>
      <c r="D26" s="45" t="s">
        <v>418</v>
      </c>
    </row>
    <row r="27" spans="1:4">
      <c r="A27" s="9">
        <v>46050</v>
      </c>
      <c r="B27" s="13" t="s">
        <v>429</v>
      </c>
      <c r="C27" s="44">
        <v>2</v>
      </c>
      <c r="D27" s="45" t="s">
        <v>418</v>
      </c>
    </row>
    <row r="28" spans="1:4">
      <c r="A28" s="9">
        <v>46051</v>
      </c>
      <c r="B28" s="13" t="s">
        <v>430</v>
      </c>
      <c r="C28" s="44">
        <v>2.0299999999999998</v>
      </c>
      <c r="D28" s="45" t="s">
        <v>418</v>
      </c>
    </row>
    <row r="29" spans="1:4">
      <c r="A29" s="9">
        <v>46052</v>
      </c>
      <c r="B29" s="13" t="s">
        <v>431</v>
      </c>
      <c r="C29" s="44">
        <v>2.0499999999999998</v>
      </c>
      <c r="D29" s="45" t="s">
        <v>418</v>
      </c>
    </row>
    <row r="30" spans="1:4">
      <c r="A30" s="9">
        <v>46053</v>
      </c>
      <c r="B30" s="13" t="s">
        <v>432</v>
      </c>
      <c r="C30" s="44">
        <v>2.0699999999999998</v>
      </c>
      <c r="D30" s="45" t="s">
        <v>418</v>
      </c>
    </row>
    <row r="31" spans="1:4">
      <c r="A31" s="9">
        <v>46054</v>
      </c>
      <c r="B31" s="13" t="s">
        <v>433</v>
      </c>
      <c r="C31" s="44">
        <v>2.09</v>
      </c>
      <c r="D31" s="45" t="s">
        <v>418</v>
      </c>
    </row>
    <row r="32" spans="1:4">
      <c r="A32" s="9">
        <v>46055</v>
      </c>
      <c r="B32" s="13" t="s">
        <v>417</v>
      </c>
      <c r="C32" s="44">
        <v>2.08</v>
      </c>
      <c r="D32" s="45" t="s">
        <v>418</v>
      </c>
    </row>
    <row r="33" spans="1:4">
      <c r="A33" s="9">
        <v>46056</v>
      </c>
      <c r="B33" s="13" t="s">
        <v>419</v>
      </c>
      <c r="C33" s="44">
        <v>2.04</v>
      </c>
      <c r="D33" s="45" t="s">
        <v>418</v>
      </c>
    </row>
    <row r="34" spans="1:4">
      <c r="A34" s="9">
        <v>46057</v>
      </c>
      <c r="B34" s="13" t="s">
        <v>419</v>
      </c>
      <c r="C34" s="44">
        <v>1.97</v>
      </c>
      <c r="D34" s="45" t="s">
        <v>418</v>
      </c>
    </row>
    <row r="35" spans="1:4">
      <c r="A35" s="15">
        <v>46058</v>
      </c>
      <c r="B35" s="13" t="s">
        <v>419</v>
      </c>
      <c r="C35" s="46">
        <v>1.85</v>
      </c>
      <c r="D35" s="45" t="s">
        <v>418</v>
      </c>
    </row>
    <row r="36" spans="1:4">
      <c r="A36" s="15">
        <v>46059</v>
      </c>
      <c r="B36" s="13" t="s">
        <v>434</v>
      </c>
      <c r="C36" s="46">
        <v>1.74</v>
      </c>
      <c r="D36" s="47" t="s">
        <v>420</v>
      </c>
    </row>
    <row r="37" spans="1:4">
      <c r="A37" s="15">
        <v>46060</v>
      </c>
      <c r="B37" s="13" t="s">
        <v>434</v>
      </c>
      <c r="C37" s="46">
        <v>1.58</v>
      </c>
      <c r="D37" s="47" t="s">
        <v>420</v>
      </c>
    </row>
    <row r="38" spans="1:4">
      <c r="A38" s="15">
        <v>46061</v>
      </c>
      <c r="B38" s="13" t="s">
        <v>434</v>
      </c>
      <c r="C38" s="46">
        <v>1.41</v>
      </c>
      <c r="D38" s="48" t="s">
        <v>422</v>
      </c>
    </row>
    <row r="39" spans="1:4">
      <c r="A39" s="15">
        <v>46062</v>
      </c>
      <c r="B39" s="13" t="s">
        <v>434</v>
      </c>
      <c r="C39" s="46">
        <v>1.28</v>
      </c>
      <c r="D39" s="48" t="s">
        <v>422</v>
      </c>
    </row>
    <row r="40" spans="1:4">
      <c r="A40" s="15">
        <v>46063</v>
      </c>
      <c r="B40" s="13" t="s">
        <v>434</v>
      </c>
      <c r="C40" s="46">
        <v>1.1499999999999999</v>
      </c>
      <c r="D40" s="48" t="s">
        <v>422</v>
      </c>
    </row>
    <row r="41" spans="1:4">
      <c r="A41" s="15">
        <v>46064</v>
      </c>
      <c r="B41" s="13" t="s">
        <v>434</v>
      </c>
      <c r="C41" s="46">
        <v>1.07</v>
      </c>
      <c r="D41" s="48" t="s">
        <v>422</v>
      </c>
    </row>
    <row r="42" spans="1:4">
      <c r="A42" s="15">
        <v>46065</v>
      </c>
      <c r="B42" s="13" t="s">
        <v>424</v>
      </c>
      <c r="C42" s="46">
        <v>1.84</v>
      </c>
      <c r="D42" s="45" t="s">
        <v>418</v>
      </c>
    </row>
    <row r="43" spans="1:4">
      <c r="A43" s="15">
        <v>46066</v>
      </c>
      <c r="B43" s="13" t="s">
        <v>424</v>
      </c>
      <c r="C43" s="46">
        <v>1.84</v>
      </c>
      <c r="D43" s="45" t="s">
        <v>418</v>
      </c>
    </row>
    <row r="44" spans="1:4">
      <c r="A44" s="15">
        <v>46067</v>
      </c>
      <c r="B44" s="13" t="s">
        <v>424</v>
      </c>
      <c r="C44" s="46">
        <v>1.87</v>
      </c>
      <c r="D44" s="45" t="s">
        <v>418</v>
      </c>
    </row>
    <row r="45" spans="1:4">
      <c r="A45" s="9">
        <v>46068</v>
      </c>
      <c r="B45" s="13" t="s">
        <v>435</v>
      </c>
      <c r="C45" s="44">
        <v>1.9</v>
      </c>
      <c r="D45" s="45" t="s">
        <v>418</v>
      </c>
    </row>
    <row r="46" spans="1:4">
      <c r="A46" s="9">
        <v>46069</v>
      </c>
      <c r="B46" s="13" t="s">
        <v>435</v>
      </c>
      <c r="C46" s="44">
        <v>1.94</v>
      </c>
      <c r="D46" s="45" t="s">
        <v>418</v>
      </c>
    </row>
    <row r="47" spans="1:4">
      <c r="A47" s="9">
        <v>46070</v>
      </c>
      <c r="B47" s="13" t="s">
        <v>435</v>
      </c>
      <c r="C47" s="44">
        <v>1.97</v>
      </c>
      <c r="D47" s="45" t="s">
        <v>418</v>
      </c>
    </row>
    <row r="48" spans="1:4">
      <c r="A48" s="9">
        <v>46071</v>
      </c>
      <c r="B48" s="13" t="s">
        <v>425</v>
      </c>
      <c r="C48" s="44">
        <v>1.96</v>
      </c>
      <c r="D48" s="45" t="s">
        <v>418</v>
      </c>
    </row>
    <row r="49" spans="1:4">
      <c r="A49" s="9">
        <v>46072</v>
      </c>
      <c r="B49" s="13" t="s">
        <v>425</v>
      </c>
      <c r="C49" s="44">
        <v>1.91</v>
      </c>
      <c r="D49" s="45" t="s">
        <v>418</v>
      </c>
    </row>
    <row r="50" spans="1:4">
      <c r="A50" s="15">
        <v>46073</v>
      </c>
      <c r="B50" s="13" t="s">
        <v>436</v>
      </c>
      <c r="C50" s="46">
        <v>1.84</v>
      </c>
      <c r="D50" s="45" t="s">
        <v>418</v>
      </c>
    </row>
    <row r="51" spans="1:4">
      <c r="A51" s="15">
        <v>46074</v>
      </c>
      <c r="B51" s="13" t="s">
        <v>426</v>
      </c>
      <c r="C51" s="46">
        <v>1.72</v>
      </c>
      <c r="D51" s="47" t="s">
        <v>420</v>
      </c>
    </row>
    <row r="52" spans="1:4">
      <c r="A52" s="15">
        <v>46075</v>
      </c>
      <c r="B52" s="13" t="s">
        <v>426</v>
      </c>
      <c r="C52" s="46">
        <v>1.56</v>
      </c>
      <c r="D52" s="47" t="s">
        <v>420</v>
      </c>
    </row>
    <row r="53" spans="1:4">
      <c r="A53" s="9">
        <v>46076</v>
      </c>
      <c r="B53" s="13" t="s">
        <v>427</v>
      </c>
      <c r="C53" s="44">
        <v>1.99</v>
      </c>
      <c r="D53" s="45" t="s">
        <v>418</v>
      </c>
    </row>
    <row r="54" spans="1:4">
      <c r="A54" s="9">
        <v>46077</v>
      </c>
      <c r="B54" s="13" t="s">
        <v>429</v>
      </c>
      <c r="C54" s="44">
        <v>2.0099999999999998</v>
      </c>
      <c r="D54" s="45" t="s">
        <v>418</v>
      </c>
    </row>
    <row r="55" spans="1:4">
      <c r="A55" s="9">
        <v>46078</v>
      </c>
      <c r="B55" s="13" t="s">
        <v>437</v>
      </c>
      <c r="C55" s="44">
        <v>2.0099999999999998</v>
      </c>
      <c r="D55" s="45" t="s">
        <v>418</v>
      </c>
    </row>
    <row r="56" spans="1:4">
      <c r="A56" s="9">
        <v>46079</v>
      </c>
      <c r="B56" s="13" t="s">
        <v>430</v>
      </c>
      <c r="C56" s="44">
        <v>1.98</v>
      </c>
      <c r="D56" s="45" t="s">
        <v>418</v>
      </c>
    </row>
    <row r="57" spans="1:4">
      <c r="A57" s="9">
        <v>46080</v>
      </c>
      <c r="B57" s="13" t="s">
        <v>430</v>
      </c>
      <c r="C57" s="44">
        <v>1.92</v>
      </c>
      <c r="D57" s="45" t="s">
        <v>418</v>
      </c>
    </row>
    <row r="58" spans="1:4">
      <c r="A58" s="9">
        <v>46081</v>
      </c>
      <c r="B58" s="13" t="s">
        <v>438</v>
      </c>
      <c r="C58" s="44">
        <v>1.93</v>
      </c>
      <c r="D58" s="45" t="s">
        <v>418</v>
      </c>
    </row>
    <row r="59" spans="1:4">
      <c r="A59" s="9">
        <v>46082</v>
      </c>
      <c r="B59" s="13" t="s">
        <v>439</v>
      </c>
      <c r="C59" s="44">
        <v>1.95</v>
      </c>
      <c r="D59" s="45" t="s">
        <v>418</v>
      </c>
    </row>
    <row r="60" spans="1:4">
      <c r="A60" s="9">
        <v>46083</v>
      </c>
      <c r="B60" s="13" t="s">
        <v>440</v>
      </c>
      <c r="C60" s="44">
        <v>1.96</v>
      </c>
      <c r="D60" s="45" t="s">
        <v>418</v>
      </c>
    </row>
    <row r="61" spans="1:4">
      <c r="A61" s="9">
        <v>46084</v>
      </c>
      <c r="B61" s="13" t="s">
        <v>441</v>
      </c>
      <c r="C61" s="44">
        <v>1.95</v>
      </c>
      <c r="D61" s="45" t="s">
        <v>418</v>
      </c>
    </row>
    <row r="62" spans="1:4">
      <c r="A62" s="9">
        <v>46085</v>
      </c>
      <c r="B62" s="13" t="s">
        <v>442</v>
      </c>
      <c r="C62" s="44">
        <v>1.92</v>
      </c>
      <c r="D62" s="45" t="s">
        <v>418</v>
      </c>
    </row>
    <row r="63" spans="1:4">
      <c r="A63" s="15">
        <v>46086</v>
      </c>
      <c r="B63" s="13"/>
      <c r="C63" s="46">
        <v>1.84</v>
      </c>
      <c r="D63" s="45" t="s">
        <v>418</v>
      </c>
    </row>
    <row r="64" spans="1:4">
      <c r="A64" s="15">
        <v>46087</v>
      </c>
      <c r="B64" s="13"/>
      <c r="C64" s="46">
        <v>1.83</v>
      </c>
      <c r="D64" s="45" t="s">
        <v>418</v>
      </c>
    </row>
    <row r="65" spans="1:4">
      <c r="A65" s="15">
        <v>46088</v>
      </c>
      <c r="B65" s="13"/>
      <c r="C65" s="46">
        <v>1.87</v>
      </c>
      <c r="D65" s="45" t="s">
        <v>418</v>
      </c>
    </row>
    <row r="66" spans="1:4">
      <c r="A66" s="9">
        <v>46089</v>
      </c>
      <c r="B66" s="13"/>
      <c r="C66" s="44">
        <v>1.9</v>
      </c>
      <c r="D66" s="45" t="s">
        <v>418</v>
      </c>
    </row>
    <row r="67" spans="1:4">
      <c r="A67" s="9">
        <v>46090</v>
      </c>
      <c r="B67" s="13" t="s">
        <v>443</v>
      </c>
      <c r="C67" s="44">
        <v>1.9</v>
      </c>
      <c r="D67" s="45" t="s">
        <v>418</v>
      </c>
    </row>
    <row r="68" spans="1:4">
      <c r="A68" s="9">
        <v>46091</v>
      </c>
      <c r="B68" s="13" t="s">
        <v>444</v>
      </c>
      <c r="C68" s="44">
        <v>1.91</v>
      </c>
      <c r="D68" s="45" t="s">
        <v>418</v>
      </c>
    </row>
    <row r="69" spans="1:4">
      <c r="A69" s="15">
        <v>46092</v>
      </c>
      <c r="B69" s="13"/>
      <c r="C69" s="46">
        <v>1.88</v>
      </c>
      <c r="D69" s="45" t="s">
        <v>418</v>
      </c>
    </row>
    <row r="70" spans="1:4">
      <c r="A70" s="15">
        <v>46093</v>
      </c>
      <c r="B70" s="13"/>
      <c r="C70" s="46">
        <v>1.85</v>
      </c>
      <c r="D70" s="45" t="s">
        <v>418</v>
      </c>
    </row>
    <row r="71" spans="1:4">
      <c r="A71" s="15">
        <v>46094</v>
      </c>
      <c r="B71" s="13"/>
      <c r="C71" s="46">
        <v>1.8</v>
      </c>
      <c r="D71" s="47" t="s">
        <v>420</v>
      </c>
    </row>
    <row r="72" spans="1:4">
      <c r="A72" s="15">
        <v>46095</v>
      </c>
      <c r="B72" s="13"/>
      <c r="C72" s="46">
        <v>1.76</v>
      </c>
      <c r="D72" s="47" t="s">
        <v>420</v>
      </c>
    </row>
    <row r="73" spans="1:4">
      <c r="A73" s="15">
        <v>46096</v>
      </c>
      <c r="B73" s="13"/>
      <c r="C73" s="46">
        <v>1.76</v>
      </c>
      <c r="D73" s="47" t="s">
        <v>420</v>
      </c>
    </row>
    <row r="74" spans="1:4">
      <c r="A74" s="15">
        <v>46097</v>
      </c>
      <c r="B74" s="13"/>
      <c r="C74" s="46">
        <v>1.79</v>
      </c>
      <c r="D74" s="47" t="s">
        <v>420</v>
      </c>
    </row>
    <row r="75" spans="1:4">
      <c r="A75" s="15">
        <v>46098</v>
      </c>
      <c r="B75" s="13"/>
      <c r="C75" s="46">
        <v>1.82</v>
      </c>
      <c r="D75" s="47" t="s">
        <v>420</v>
      </c>
    </row>
    <row r="76" spans="1:4">
      <c r="A76" s="15">
        <v>46099</v>
      </c>
      <c r="B76" s="13"/>
      <c r="C76" s="46">
        <v>1.84</v>
      </c>
      <c r="D76" s="45" t="s">
        <v>418</v>
      </c>
    </row>
    <row r="77" spans="1:4">
      <c r="A77" s="15">
        <v>46100</v>
      </c>
      <c r="B77" s="13"/>
      <c r="C77" s="46">
        <v>1.82</v>
      </c>
      <c r="D77" s="47" t="s">
        <v>420</v>
      </c>
    </row>
    <row r="78" spans="1:4">
      <c r="A78" s="15">
        <v>46101</v>
      </c>
      <c r="B78" s="13"/>
      <c r="C78" s="46">
        <v>1.82</v>
      </c>
      <c r="D78" s="47" t="s">
        <v>420</v>
      </c>
    </row>
    <row r="79" spans="1:4">
      <c r="A79" s="9">
        <v>46102</v>
      </c>
      <c r="B79" s="13" t="s">
        <v>445</v>
      </c>
      <c r="C79" s="44">
        <v>1.92</v>
      </c>
      <c r="D79" s="45" t="s">
        <v>418</v>
      </c>
    </row>
    <row r="80" spans="1:4">
      <c r="A80" s="9">
        <v>46103</v>
      </c>
      <c r="B80" s="13" t="s">
        <v>446</v>
      </c>
      <c r="C80" s="44">
        <v>2.02</v>
      </c>
      <c r="D80" s="45" t="s">
        <v>418</v>
      </c>
    </row>
    <row r="81" spans="1:4">
      <c r="A81" s="9">
        <v>46104</v>
      </c>
      <c r="B81" s="13" t="s">
        <v>447</v>
      </c>
      <c r="C81" s="44">
        <v>2.0699999999999998</v>
      </c>
      <c r="D81" s="45" t="s">
        <v>418</v>
      </c>
    </row>
    <row r="82" spans="1:4">
      <c r="A82" s="9">
        <v>46105</v>
      </c>
      <c r="B82" s="13" t="s">
        <v>448</v>
      </c>
      <c r="C82" s="44">
        <v>2.1</v>
      </c>
      <c r="D82" s="45" t="s">
        <v>418</v>
      </c>
    </row>
    <row r="83" spans="1:4">
      <c r="A83" s="9">
        <v>46106</v>
      </c>
      <c r="B83" s="13" t="s">
        <v>449</v>
      </c>
      <c r="C83" s="44">
        <v>2.0699999999999998</v>
      </c>
      <c r="D83" s="45" t="s">
        <v>418</v>
      </c>
    </row>
    <row r="84" spans="1:4">
      <c r="A84" s="9">
        <v>46107</v>
      </c>
      <c r="B84" s="13" t="s">
        <v>450</v>
      </c>
      <c r="C84" s="44">
        <v>2</v>
      </c>
      <c r="D84" s="45" t="s">
        <v>418</v>
      </c>
    </row>
    <row r="85" spans="1:4">
      <c r="A85" s="9">
        <v>46108</v>
      </c>
      <c r="B85" s="13"/>
      <c r="C85" s="44">
        <v>1.9</v>
      </c>
      <c r="D85" s="45" t="s">
        <v>418</v>
      </c>
    </row>
    <row r="86" spans="1:4">
      <c r="A86" s="15">
        <v>46109</v>
      </c>
      <c r="B86" s="13"/>
      <c r="C86" s="46">
        <v>1.81</v>
      </c>
      <c r="D86" s="47" t="s">
        <v>420</v>
      </c>
    </row>
    <row r="87" spans="1:4">
      <c r="A87" s="15">
        <v>46110</v>
      </c>
      <c r="B87" s="13"/>
      <c r="C87" s="46">
        <v>1.78</v>
      </c>
      <c r="D87" s="47" t="s">
        <v>420</v>
      </c>
    </row>
    <row r="88" spans="1:4">
      <c r="A88" s="15">
        <v>46111</v>
      </c>
      <c r="B88" s="13"/>
      <c r="C88" s="46">
        <v>1.78</v>
      </c>
      <c r="D88" s="47" t="s">
        <v>420</v>
      </c>
    </row>
    <row r="89" spans="1:4">
      <c r="A89" s="15">
        <v>46112</v>
      </c>
      <c r="B89" s="13"/>
      <c r="C89" s="46">
        <v>1.79</v>
      </c>
      <c r="D89" s="47" t="s">
        <v>420</v>
      </c>
    </row>
  </sheetData>
  <mergeCells count="2">
    <mergeCell ref="A1:D1"/>
    <mergeCell ref="A2:D2"/>
  </mergeCells>
  <phoneticPr fontId="17" type="noConversion"/>
  <pageMargins left="0.75" right="0.75" top="1" bottom="1" header="0.5" footer="0.5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dimension ref="A1:F8"/>
  <sheetViews>
    <sheetView workbookViewId="0"/>
  </sheetViews>
  <sheetFormatPr defaultRowHeight="16.899999999999999"/>
  <cols>
    <col min="1" max="5" width="25" customWidth="1"/>
  </cols>
  <sheetData>
    <row r="1" spans="1:6" ht="20.65">
      <c r="A1" s="63" t="s">
        <v>451</v>
      </c>
      <c r="B1" s="56"/>
      <c r="C1" s="56"/>
      <c r="D1" s="56"/>
      <c r="E1" s="56"/>
      <c r="F1" s="56"/>
    </row>
    <row r="3" spans="1:6">
      <c r="A3" s="12" t="s">
        <v>452</v>
      </c>
      <c r="B3" s="12" t="s">
        <v>453</v>
      </c>
      <c r="C3" s="12" t="s">
        <v>454</v>
      </c>
      <c r="D3" s="12" t="s">
        <v>455</v>
      </c>
      <c r="E3" s="12" t="s">
        <v>50</v>
      </c>
    </row>
    <row r="4" spans="1:6">
      <c r="A4" s="17" t="s">
        <v>456</v>
      </c>
      <c r="B4" s="13">
        <f>COUNTA(Schedule_Data_ScenarioA!A:A)-5</f>
        <v>64</v>
      </c>
      <c r="C4" s="13">
        <f>COUNTA(Schedule_Data_ScenarioB!A:A)-5</f>
        <v>46</v>
      </c>
      <c r="D4" s="49">
        <f>C4-B4</f>
        <v>-18</v>
      </c>
      <c r="E4" s="13" t="s">
        <v>457</v>
      </c>
    </row>
    <row r="5" spans="1:6">
      <c r="A5" s="17" t="s">
        <v>458</v>
      </c>
      <c r="B5" s="13">
        <f>COUNTIF(Schedule_Data_ScenarioA!A:A,"V*")</f>
        <v>7</v>
      </c>
      <c r="C5" s="13">
        <f>COUNTIF(Schedule_Data_ScenarioB!A:A,"V*")</f>
        <v>4</v>
      </c>
      <c r="D5" s="49">
        <f>C5-B5</f>
        <v>-3</v>
      </c>
      <c r="E5" s="13"/>
    </row>
    <row r="6" spans="1:6">
      <c r="A6" s="17" t="s">
        <v>459</v>
      </c>
      <c r="B6" s="13">
        <f>MAX(Schedule_Data_ScenarioA!G:G)-PROJECT_START</f>
        <v>80</v>
      </c>
      <c r="C6" s="13">
        <f>MAX(Schedule_Data_ScenarioB!G:G)-PROJECT_START</f>
        <v>62</v>
      </c>
      <c r="D6" s="49">
        <f>C6-B6</f>
        <v>-18</v>
      </c>
      <c r="E6" s="13" t="s">
        <v>460</v>
      </c>
    </row>
    <row r="7" spans="1:6">
      <c r="A7" s="17" t="s">
        <v>461</v>
      </c>
      <c r="B7" s="13">
        <f>COUNTIF(Schedule_Data_ScenarioA!D:D,"JACKDOWN")</f>
        <v>7</v>
      </c>
      <c r="C7" s="13">
        <f>COUNTIF(Schedule_Data_ScenarioB!D:D,"JACKDOWN")</f>
        <v>7</v>
      </c>
      <c r="D7" s="49">
        <f>C7-B7</f>
        <v>0</v>
      </c>
      <c r="E7" s="13"/>
    </row>
    <row r="8" spans="1:6">
      <c r="A8" s="17" t="s">
        <v>462</v>
      </c>
      <c r="B8" s="15">
        <f>MAX(Schedule_Data_ScenarioA!G:G)</f>
        <v>46117</v>
      </c>
      <c r="C8" s="15">
        <f>MAX(Schedule_Data_ScenarioB!G:G)</f>
        <v>46099</v>
      </c>
      <c r="D8" s="15">
        <f>C8-B8</f>
        <v>-18</v>
      </c>
      <c r="E8" s="13" t="s">
        <v>463</v>
      </c>
    </row>
  </sheetData>
  <mergeCells count="1">
    <mergeCell ref="A1:F1"/>
  </mergeCells>
  <phoneticPr fontId="17" type="noConversion"/>
  <pageMargins left="0.75" right="0.75" top="1" bottom="1" header="0.5" footer="0.5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dimension ref="A1:G9"/>
  <sheetViews>
    <sheetView workbookViewId="0"/>
  </sheetViews>
  <sheetFormatPr defaultRowHeight="16.899999999999999"/>
  <cols>
    <col min="1" max="7" width="15" customWidth="1"/>
  </cols>
  <sheetData>
    <row r="1" spans="1:7" ht="20.65">
      <c r="A1" s="64" t="s">
        <v>464</v>
      </c>
      <c r="B1" s="56"/>
      <c r="C1" s="56"/>
      <c r="D1" s="56"/>
      <c r="E1" s="56"/>
      <c r="F1" s="56"/>
      <c r="G1" s="56"/>
    </row>
    <row r="3" spans="1:7">
      <c r="A3" s="51" t="s">
        <v>465</v>
      </c>
      <c r="B3" s="51" t="s">
        <v>466</v>
      </c>
      <c r="C3" s="51" t="s">
        <v>467</v>
      </c>
      <c r="D3" s="51" t="s">
        <v>468</v>
      </c>
      <c r="E3" s="51" t="s">
        <v>469</v>
      </c>
      <c r="F3" s="51" t="s">
        <v>470</v>
      </c>
      <c r="G3" s="51" t="s">
        <v>50</v>
      </c>
    </row>
    <row r="4" spans="1:7">
      <c r="A4" s="13" t="s">
        <v>471</v>
      </c>
      <c r="B4" s="13" t="s">
        <v>472</v>
      </c>
      <c r="C4" s="13" t="s">
        <v>472</v>
      </c>
      <c r="D4" s="13" t="s">
        <v>473</v>
      </c>
      <c r="E4" s="13" t="s">
        <v>473</v>
      </c>
      <c r="F4" s="13" t="s">
        <v>472</v>
      </c>
      <c r="G4" s="13" t="s">
        <v>474</v>
      </c>
    </row>
    <row r="5" spans="1:7">
      <c r="A5" s="13" t="s">
        <v>475</v>
      </c>
      <c r="B5" s="13" t="s">
        <v>476</v>
      </c>
      <c r="C5" s="13" t="s">
        <v>476</v>
      </c>
      <c r="D5" s="13" t="s">
        <v>477</v>
      </c>
      <c r="E5" s="13" t="s">
        <v>477</v>
      </c>
      <c r="F5" s="13" t="s">
        <v>476</v>
      </c>
      <c r="G5" s="13" t="s">
        <v>478</v>
      </c>
    </row>
    <row r="6" spans="1:7">
      <c r="A6" s="13" t="s">
        <v>479</v>
      </c>
      <c r="B6" s="13" t="s">
        <v>480</v>
      </c>
      <c r="C6" s="13" t="s">
        <v>480</v>
      </c>
      <c r="D6" s="13" t="s">
        <v>481</v>
      </c>
      <c r="E6" s="13" t="s">
        <v>481</v>
      </c>
      <c r="F6" s="13" t="s">
        <v>480</v>
      </c>
      <c r="G6" s="13" t="s">
        <v>482</v>
      </c>
    </row>
    <row r="7" spans="1:7">
      <c r="A7" s="13" t="s">
        <v>483</v>
      </c>
      <c r="B7" s="13" t="s">
        <v>484</v>
      </c>
      <c r="C7" s="13" t="s">
        <v>484</v>
      </c>
      <c r="D7" s="13" t="s">
        <v>485</v>
      </c>
      <c r="E7" s="13" t="s">
        <v>485</v>
      </c>
      <c r="F7" s="13" t="s">
        <v>484</v>
      </c>
      <c r="G7" s="13" t="s">
        <v>486</v>
      </c>
    </row>
    <row r="8" spans="1:7">
      <c r="A8" s="13" t="s">
        <v>416</v>
      </c>
      <c r="B8" s="45" t="s">
        <v>418</v>
      </c>
      <c r="C8" s="45" t="s">
        <v>418</v>
      </c>
      <c r="D8" s="48" t="s">
        <v>422</v>
      </c>
      <c r="E8" s="48" t="s">
        <v>422</v>
      </c>
      <c r="F8" s="45" t="s">
        <v>418</v>
      </c>
      <c r="G8" s="13"/>
    </row>
    <row r="9" spans="1:7">
      <c r="A9" s="13" t="s">
        <v>487</v>
      </c>
      <c r="B9" s="45" t="s">
        <v>488</v>
      </c>
      <c r="C9" s="45" t="s">
        <v>488</v>
      </c>
      <c r="D9" s="48" t="s">
        <v>489</v>
      </c>
      <c r="E9" s="48" t="s">
        <v>489</v>
      </c>
      <c r="F9" s="45" t="s">
        <v>488</v>
      </c>
      <c r="G9" s="13"/>
    </row>
  </sheetData>
  <mergeCells count="1">
    <mergeCell ref="A1:G1"/>
  </mergeCells>
  <phoneticPr fontId="17" type="noConversion"/>
  <pageMargins left="0.75" right="0.75" top="1" bottom="1" header="0.5" footer="0.5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dimension ref="A1:B29"/>
  <sheetViews>
    <sheetView workbookViewId="0"/>
  </sheetViews>
  <sheetFormatPr defaultRowHeight="16.899999999999999"/>
  <cols>
    <col min="1" max="1" width="20" customWidth="1"/>
    <col min="2" max="2" width="30" customWidth="1"/>
  </cols>
  <sheetData>
    <row r="1" spans="1:2" ht="20.65">
      <c r="A1" s="64" t="s">
        <v>490</v>
      </c>
      <c r="B1" s="56"/>
    </row>
    <row r="3" spans="1:2">
      <c r="A3" s="3" t="s">
        <v>491</v>
      </c>
    </row>
    <row r="4" spans="1:2">
      <c r="A4" s="52" t="s">
        <v>492</v>
      </c>
      <c r="B4" t="s">
        <v>493</v>
      </c>
    </row>
    <row r="5" spans="1:2">
      <c r="A5" s="52" t="s">
        <v>494</v>
      </c>
      <c r="B5" t="s">
        <v>495</v>
      </c>
    </row>
    <row r="6" spans="1:2">
      <c r="A6" s="52" t="s">
        <v>458</v>
      </c>
      <c r="B6" t="s">
        <v>496</v>
      </c>
    </row>
    <row r="7" spans="1:2">
      <c r="A7" s="52" t="s">
        <v>497</v>
      </c>
      <c r="B7" t="s">
        <v>498</v>
      </c>
    </row>
    <row r="8" spans="1:2">
      <c r="A8" s="52" t="s">
        <v>499</v>
      </c>
      <c r="B8" t="s">
        <v>500</v>
      </c>
    </row>
    <row r="9" spans="1:2">
      <c r="A9" s="52" t="s">
        <v>501</v>
      </c>
      <c r="B9" t="s">
        <v>502</v>
      </c>
    </row>
    <row r="10" spans="1:2">
      <c r="A10" s="52"/>
    </row>
    <row r="11" spans="1:2">
      <c r="A11" s="3" t="s">
        <v>503</v>
      </c>
    </row>
    <row r="12" spans="1:2">
      <c r="A12" s="52" t="s">
        <v>504</v>
      </c>
      <c r="B12" s="53">
        <f>PROJECT_START</f>
        <v>46037</v>
      </c>
    </row>
    <row r="13" spans="1:2">
      <c r="A13" s="52" t="s">
        <v>505</v>
      </c>
      <c r="B13" s="53">
        <f>TARGET_END</f>
        <v>46081</v>
      </c>
    </row>
    <row r="14" spans="1:2">
      <c r="A14" s="52" t="s">
        <v>506</v>
      </c>
      <c r="B14" t="s">
        <v>507</v>
      </c>
    </row>
    <row r="15" spans="1:2">
      <c r="A15" s="52" t="s">
        <v>508</v>
      </c>
      <c r="B15" t="s">
        <v>509</v>
      </c>
    </row>
    <row r="16" spans="1:2">
      <c r="A16" s="52" t="s">
        <v>510</v>
      </c>
      <c r="B16" t="s">
        <v>511</v>
      </c>
    </row>
    <row r="17" spans="1:2">
      <c r="A17" s="52" t="s">
        <v>512</v>
      </c>
      <c r="B17" t="s">
        <v>513</v>
      </c>
    </row>
    <row r="18" spans="1:2">
      <c r="A18" s="52" t="s">
        <v>514</v>
      </c>
      <c r="B18" t="s">
        <v>515</v>
      </c>
    </row>
    <row r="19" spans="1:2">
      <c r="A19" s="52" t="s">
        <v>516</v>
      </c>
      <c r="B19" t="s">
        <v>517</v>
      </c>
    </row>
    <row r="20" spans="1:2">
      <c r="A20" s="52" t="s">
        <v>518</v>
      </c>
      <c r="B20" t="s">
        <v>519</v>
      </c>
    </row>
    <row r="21" spans="1:2">
      <c r="A21" s="52" t="s">
        <v>520</v>
      </c>
      <c r="B21" t="s">
        <v>521</v>
      </c>
    </row>
    <row r="22" spans="1:2">
      <c r="A22" s="52" t="s">
        <v>522</v>
      </c>
      <c r="B22" s="53">
        <f>MAX(Schedule_Data!G:G)</f>
        <v>46115</v>
      </c>
    </row>
    <row r="23" spans="1:2">
      <c r="A23" s="52"/>
    </row>
    <row r="24" spans="1:2">
      <c r="A24" s="3" t="s">
        <v>523</v>
      </c>
    </row>
    <row r="25" spans="1:2">
      <c r="A25" s="52" t="s">
        <v>524</v>
      </c>
      <c r="B25" t="s">
        <v>525</v>
      </c>
    </row>
    <row r="26" spans="1:2">
      <c r="A26" s="52" t="s">
        <v>526</v>
      </c>
      <c r="B26" t="s">
        <v>527</v>
      </c>
    </row>
    <row r="27" spans="1:2">
      <c r="A27" s="52" t="s">
        <v>528</v>
      </c>
      <c r="B27" t="s">
        <v>529</v>
      </c>
    </row>
    <row r="28" spans="1:2">
      <c r="A28" s="52" t="s">
        <v>530</v>
      </c>
      <c r="B28" t="s">
        <v>531</v>
      </c>
    </row>
    <row r="29" spans="1:2">
      <c r="A29" s="52" t="s">
        <v>532</v>
      </c>
      <c r="B29" t="s">
        <v>533</v>
      </c>
    </row>
  </sheetData>
  <mergeCells count="1">
    <mergeCell ref="A1:B1"/>
  </mergeCells>
  <phoneticPr fontId="17" type="noConversion"/>
  <pageMargins left="0.75" right="0.75" top="1" bottom="1" header="0.5" footer="0.5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dimension ref="A1:A511"/>
  <sheetViews>
    <sheetView workbookViewId="0"/>
  </sheetViews>
  <sheetFormatPr defaultRowHeight="16.899999999999999"/>
  <cols>
    <col min="1" max="1" width="100" customWidth="1"/>
  </cols>
  <sheetData>
    <row r="1" spans="1:1" ht="20.65">
      <c r="A1" s="50" t="s">
        <v>534</v>
      </c>
    </row>
    <row r="3" spans="1:1">
      <c r="A3" s="54" t="s">
        <v>535</v>
      </c>
    </row>
    <row r="4" spans="1:1">
      <c r="A4" s="54"/>
    </row>
    <row r="5" spans="1:1">
      <c r="A5" s="54" t="s">
        <v>536</v>
      </c>
    </row>
    <row r="6" spans="1:1">
      <c r="A6" s="54" t="s">
        <v>537</v>
      </c>
    </row>
    <row r="7" spans="1:1">
      <c r="A7" s="54" t="s">
        <v>536</v>
      </c>
    </row>
    <row r="8" spans="1:1">
      <c r="A8" s="54" t="s">
        <v>538</v>
      </c>
    </row>
    <row r="9" spans="1:1">
      <c r="A9" s="54" t="s">
        <v>536</v>
      </c>
    </row>
    <row r="10" spans="1:1">
      <c r="A10" s="54"/>
    </row>
    <row r="11" spans="1:1">
      <c r="A11" s="54" t="s">
        <v>539</v>
      </c>
    </row>
    <row r="12" spans="1:1">
      <c r="A12" s="54" t="s">
        <v>540</v>
      </c>
    </row>
    <row r="13" spans="1:1">
      <c r="A13" s="54" t="s">
        <v>541</v>
      </c>
    </row>
    <row r="14" spans="1:1">
      <c r="A14" s="54" t="s">
        <v>542</v>
      </c>
    </row>
    <row r="15" spans="1:1">
      <c r="A15" s="54" t="s">
        <v>543</v>
      </c>
    </row>
    <row r="16" spans="1:1">
      <c r="A16" s="54" t="s">
        <v>544</v>
      </c>
    </row>
    <row r="17" spans="1:1">
      <c r="A17" s="54" t="s">
        <v>545</v>
      </c>
    </row>
    <row r="18" spans="1:1">
      <c r="A18" s="54" t="s">
        <v>546</v>
      </c>
    </row>
    <row r="19" spans="1:1">
      <c r="A19" s="54" t="s">
        <v>547</v>
      </c>
    </row>
    <row r="20" spans="1:1">
      <c r="A20" s="54" t="s">
        <v>548</v>
      </c>
    </row>
    <row r="21" spans="1:1">
      <c r="A21" s="54" t="s">
        <v>549</v>
      </c>
    </row>
    <row r="22" spans="1:1">
      <c r="A22" s="54" t="s">
        <v>550</v>
      </c>
    </row>
    <row r="23" spans="1:1">
      <c r="A23" s="54" t="s">
        <v>551</v>
      </c>
    </row>
    <row r="24" spans="1:1">
      <c r="A24" s="54" t="s">
        <v>543</v>
      </c>
    </row>
    <row r="25" spans="1:1">
      <c r="A25" s="54" t="s">
        <v>552</v>
      </c>
    </row>
    <row r="26" spans="1:1">
      <c r="A26" s="54" t="s">
        <v>553</v>
      </c>
    </row>
    <row r="27" spans="1:1">
      <c r="A27" s="54" t="s">
        <v>554</v>
      </c>
    </row>
    <row r="28" spans="1:1">
      <c r="A28" s="54" t="s">
        <v>555</v>
      </c>
    </row>
    <row r="29" spans="1:1">
      <c r="A29" s="54" t="s">
        <v>556</v>
      </c>
    </row>
    <row r="30" spans="1:1">
      <c r="A30" s="54" t="s">
        <v>543</v>
      </c>
    </row>
    <row r="31" spans="1:1">
      <c r="A31" s="54" t="s">
        <v>557</v>
      </c>
    </row>
    <row r="32" spans="1:1">
      <c r="A32" s="54" t="s">
        <v>543</v>
      </c>
    </row>
    <row r="33" spans="1:1">
      <c r="A33" s="54" t="s">
        <v>558</v>
      </c>
    </row>
    <row r="34" spans="1:1">
      <c r="A34" s="54" t="s">
        <v>559</v>
      </c>
    </row>
    <row r="35" spans="1:1">
      <c r="A35" s="54" t="s">
        <v>543</v>
      </c>
    </row>
    <row r="36" spans="1:1">
      <c r="A36" s="54" t="s">
        <v>560</v>
      </c>
    </row>
    <row r="37" spans="1:1">
      <c r="A37" s="54" t="s">
        <v>561</v>
      </c>
    </row>
    <row r="38" spans="1:1">
      <c r="A38" s="54"/>
    </row>
    <row r="39" spans="1:1">
      <c r="A39" s="54" t="s">
        <v>562</v>
      </c>
    </row>
    <row r="40" spans="1:1">
      <c r="A40" s="54" t="s">
        <v>563</v>
      </c>
    </row>
    <row r="41" spans="1:1">
      <c r="A41" s="54" t="s">
        <v>544</v>
      </c>
    </row>
    <row r="42" spans="1:1">
      <c r="A42" s="54" t="s">
        <v>564</v>
      </c>
    </row>
    <row r="43" spans="1:1">
      <c r="A43" s="54" t="s">
        <v>565</v>
      </c>
    </row>
    <row r="44" spans="1:1">
      <c r="A44" s="54" t="s">
        <v>566</v>
      </c>
    </row>
    <row r="45" spans="1:1">
      <c r="A45" s="54" t="s">
        <v>551</v>
      </c>
    </row>
    <row r="46" spans="1:1">
      <c r="A46" s="54" t="s">
        <v>561</v>
      </c>
    </row>
    <row r="47" spans="1:1">
      <c r="A47" s="54"/>
    </row>
    <row r="48" spans="1:1">
      <c r="A48" s="54" t="s">
        <v>567</v>
      </c>
    </row>
    <row r="49" spans="1:1">
      <c r="A49" s="54" t="s">
        <v>568</v>
      </c>
    </row>
    <row r="50" spans="1:1">
      <c r="A50" s="54" t="s">
        <v>569</v>
      </c>
    </row>
    <row r="51" spans="1:1">
      <c r="A51" s="54" t="s">
        <v>570</v>
      </c>
    </row>
    <row r="52" spans="1:1">
      <c r="A52" s="54" t="s">
        <v>571</v>
      </c>
    </row>
    <row r="53" spans="1:1">
      <c r="A53" s="54" t="s">
        <v>572</v>
      </c>
    </row>
    <row r="54" spans="1:1">
      <c r="A54" s="54" t="s">
        <v>573</v>
      </c>
    </row>
    <row r="55" spans="1:1">
      <c r="A55" s="54" t="s">
        <v>543</v>
      </c>
    </row>
    <row r="56" spans="1:1">
      <c r="A56" s="54" t="s">
        <v>574</v>
      </c>
    </row>
    <row r="57" spans="1:1">
      <c r="A57" s="54" t="s">
        <v>575</v>
      </c>
    </row>
    <row r="58" spans="1:1">
      <c r="A58" s="54" t="s">
        <v>576</v>
      </c>
    </row>
    <row r="59" spans="1:1">
      <c r="A59" s="54" t="s">
        <v>577</v>
      </c>
    </row>
    <row r="60" spans="1:1">
      <c r="A60" s="54" t="s">
        <v>578</v>
      </c>
    </row>
    <row r="61" spans="1:1">
      <c r="A61" s="54" t="s">
        <v>579</v>
      </c>
    </row>
    <row r="62" spans="1:1">
      <c r="A62" s="54" t="s">
        <v>543</v>
      </c>
    </row>
    <row r="63" spans="1:1">
      <c r="A63" s="54" t="s">
        <v>580</v>
      </c>
    </row>
    <row r="64" spans="1:1">
      <c r="A64" s="54" t="s">
        <v>581</v>
      </c>
    </row>
    <row r="65" spans="1:1">
      <c r="A65" s="54" t="s">
        <v>582</v>
      </c>
    </row>
    <row r="66" spans="1:1">
      <c r="A66" s="54" t="s">
        <v>543</v>
      </c>
    </row>
    <row r="67" spans="1:1">
      <c r="A67" s="54" t="s">
        <v>541</v>
      </c>
    </row>
    <row r="68" spans="1:1">
      <c r="A68" s="54" t="s">
        <v>543</v>
      </c>
    </row>
    <row r="69" spans="1:1">
      <c r="A69" s="54" t="s">
        <v>583</v>
      </c>
    </row>
    <row r="70" spans="1:1">
      <c r="A70" s="54" t="s">
        <v>543</v>
      </c>
    </row>
    <row r="71" spans="1:1">
      <c r="A71" s="54" t="s">
        <v>584</v>
      </c>
    </row>
    <row r="72" spans="1:1">
      <c r="A72" s="54" t="s">
        <v>585</v>
      </c>
    </row>
    <row r="73" spans="1:1">
      <c r="A73" s="54" t="s">
        <v>586</v>
      </c>
    </row>
    <row r="74" spans="1:1">
      <c r="A74" s="54" t="s">
        <v>587</v>
      </c>
    </row>
    <row r="75" spans="1:1">
      <c r="A75" s="54" t="s">
        <v>588</v>
      </c>
    </row>
    <row r="76" spans="1:1">
      <c r="A76" s="54" t="s">
        <v>589</v>
      </c>
    </row>
    <row r="77" spans="1:1">
      <c r="A77" s="54" t="s">
        <v>590</v>
      </c>
    </row>
    <row r="78" spans="1:1">
      <c r="A78" s="54" t="s">
        <v>543</v>
      </c>
    </row>
    <row r="79" spans="1:1">
      <c r="A79" s="54" t="s">
        <v>591</v>
      </c>
    </row>
    <row r="80" spans="1:1">
      <c r="A80" s="54" t="s">
        <v>592</v>
      </c>
    </row>
    <row r="81" spans="1:1">
      <c r="A81" s="54" t="s">
        <v>593</v>
      </c>
    </row>
    <row r="82" spans="1:1">
      <c r="A82" s="54" t="s">
        <v>594</v>
      </c>
    </row>
    <row r="83" spans="1:1">
      <c r="A83" s="54" t="s">
        <v>595</v>
      </c>
    </row>
    <row r="84" spans="1:1">
      <c r="A84" s="54" t="s">
        <v>596</v>
      </c>
    </row>
    <row r="85" spans="1:1">
      <c r="A85" s="54" t="s">
        <v>597</v>
      </c>
    </row>
    <row r="86" spans="1:1">
      <c r="A86" s="54" t="s">
        <v>598</v>
      </c>
    </row>
    <row r="87" spans="1:1">
      <c r="A87" s="54" t="s">
        <v>599</v>
      </c>
    </row>
    <row r="88" spans="1:1">
      <c r="A88" s="54" t="s">
        <v>600</v>
      </c>
    </row>
    <row r="89" spans="1:1">
      <c r="A89" s="54" t="s">
        <v>601</v>
      </c>
    </row>
    <row r="90" spans="1:1">
      <c r="A90" s="54" t="s">
        <v>600</v>
      </c>
    </row>
    <row r="91" spans="1:1">
      <c r="A91" s="54" t="s">
        <v>602</v>
      </c>
    </row>
    <row r="92" spans="1:1">
      <c r="A92" s="54" t="s">
        <v>603</v>
      </c>
    </row>
    <row r="93" spans="1:1">
      <c r="A93" s="54" t="s">
        <v>604</v>
      </c>
    </row>
    <row r="94" spans="1:1">
      <c r="A94" s="54" t="s">
        <v>605</v>
      </c>
    </row>
    <row r="95" spans="1:1">
      <c r="A95" s="54" t="s">
        <v>606</v>
      </c>
    </row>
    <row r="96" spans="1:1">
      <c r="A96" s="54" t="s">
        <v>605</v>
      </c>
    </row>
    <row r="97" spans="1:1">
      <c r="A97" s="54" t="s">
        <v>607</v>
      </c>
    </row>
    <row r="98" spans="1:1">
      <c r="A98" s="54" t="s">
        <v>608</v>
      </c>
    </row>
    <row r="99" spans="1:1">
      <c r="A99" s="54" t="s">
        <v>609</v>
      </c>
    </row>
    <row r="100" spans="1:1">
      <c r="A100" s="54" t="s">
        <v>610</v>
      </c>
    </row>
    <row r="101" spans="1:1">
      <c r="A101" s="54" t="s">
        <v>611</v>
      </c>
    </row>
    <row r="102" spans="1:1">
      <c r="A102" s="54" t="s">
        <v>589</v>
      </c>
    </row>
    <row r="103" spans="1:1">
      <c r="A103" s="54" t="s">
        <v>612</v>
      </c>
    </row>
    <row r="104" spans="1:1">
      <c r="A104" s="54" t="s">
        <v>543</v>
      </c>
    </row>
    <row r="105" spans="1:1">
      <c r="A105" s="54" t="s">
        <v>559</v>
      </c>
    </row>
    <row r="106" spans="1:1">
      <c r="A106" s="54" t="s">
        <v>561</v>
      </c>
    </row>
    <row r="107" spans="1:1">
      <c r="A107" s="54"/>
    </row>
    <row r="108" spans="1:1">
      <c r="A108" s="54" t="s">
        <v>613</v>
      </c>
    </row>
    <row r="109" spans="1:1">
      <c r="A109" s="54" t="s">
        <v>614</v>
      </c>
    </row>
    <row r="110" spans="1:1">
      <c r="A110" s="54" t="s">
        <v>569</v>
      </c>
    </row>
    <row r="111" spans="1:1">
      <c r="A111" s="54" t="s">
        <v>570</v>
      </c>
    </row>
    <row r="112" spans="1:1">
      <c r="A112" s="54" t="s">
        <v>571</v>
      </c>
    </row>
    <row r="113" spans="1:1">
      <c r="A113" s="54" t="s">
        <v>572</v>
      </c>
    </row>
    <row r="114" spans="1:1">
      <c r="A114" s="54" t="s">
        <v>573</v>
      </c>
    </row>
    <row r="115" spans="1:1">
      <c r="A115" s="54" t="s">
        <v>543</v>
      </c>
    </row>
    <row r="116" spans="1:1">
      <c r="A116" s="54" t="s">
        <v>615</v>
      </c>
    </row>
    <row r="117" spans="1:1">
      <c r="A117" s="54" t="s">
        <v>616</v>
      </c>
    </row>
    <row r="118" spans="1:1">
      <c r="A118" s="54" t="s">
        <v>576</v>
      </c>
    </row>
    <row r="119" spans="1:1">
      <c r="A119" s="54" t="s">
        <v>577</v>
      </c>
    </row>
    <row r="120" spans="1:1">
      <c r="A120" s="54" t="s">
        <v>578</v>
      </c>
    </row>
    <row r="121" spans="1:1">
      <c r="A121" s="54" t="s">
        <v>579</v>
      </c>
    </row>
    <row r="122" spans="1:1">
      <c r="A122" s="54" t="s">
        <v>543</v>
      </c>
    </row>
    <row r="123" spans="1:1">
      <c r="A123" s="54" t="s">
        <v>580</v>
      </c>
    </row>
    <row r="124" spans="1:1">
      <c r="A124" s="54" t="s">
        <v>581</v>
      </c>
    </row>
    <row r="125" spans="1:1">
      <c r="A125" s="54" t="s">
        <v>582</v>
      </c>
    </row>
    <row r="126" spans="1:1">
      <c r="A126" s="54" t="s">
        <v>543</v>
      </c>
    </row>
    <row r="127" spans="1:1">
      <c r="A127" s="54" t="s">
        <v>541</v>
      </c>
    </row>
    <row r="128" spans="1:1">
      <c r="A128" s="54" t="s">
        <v>543</v>
      </c>
    </row>
    <row r="129" spans="1:1">
      <c r="A129" s="54" t="s">
        <v>583</v>
      </c>
    </row>
    <row r="130" spans="1:1">
      <c r="A130" s="54" t="s">
        <v>543</v>
      </c>
    </row>
    <row r="131" spans="1:1">
      <c r="A131" s="54" t="s">
        <v>584</v>
      </c>
    </row>
    <row r="132" spans="1:1">
      <c r="A132" s="54" t="s">
        <v>585</v>
      </c>
    </row>
    <row r="133" spans="1:1">
      <c r="A133" s="54" t="s">
        <v>586</v>
      </c>
    </row>
    <row r="134" spans="1:1">
      <c r="A134" s="54" t="s">
        <v>587</v>
      </c>
    </row>
    <row r="135" spans="1:1">
      <c r="A135" s="54" t="s">
        <v>588</v>
      </c>
    </row>
    <row r="136" spans="1:1">
      <c r="A136" s="54" t="s">
        <v>589</v>
      </c>
    </row>
    <row r="137" spans="1:1">
      <c r="A137" s="54" t="s">
        <v>590</v>
      </c>
    </row>
    <row r="138" spans="1:1">
      <c r="A138" s="54" t="s">
        <v>543</v>
      </c>
    </row>
    <row r="139" spans="1:1">
      <c r="A139" s="54" t="s">
        <v>591</v>
      </c>
    </row>
    <row r="140" spans="1:1">
      <c r="A140" s="54" t="s">
        <v>592</v>
      </c>
    </row>
    <row r="141" spans="1:1">
      <c r="A141" s="54" t="s">
        <v>593</v>
      </c>
    </row>
    <row r="142" spans="1:1">
      <c r="A142" s="54" t="s">
        <v>594</v>
      </c>
    </row>
    <row r="143" spans="1:1">
      <c r="A143" s="54" t="s">
        <v>595</v>
      </c>
    </row>
    <row r="144" spans="1:1">
      <c r="A144" s="54" t="s">
        <v>596</v>
      </c>
    </row>
    <row r="145" spans="1:1">
      <c r="A145" s="54" t="s">
        <v>597</v>
      </c>
    </row>
    <row r="146" spans="1:1">
      <c r="A146" s="54" t="s">
        <v>598</v>
      </c>
    </row>
    <row r="147" spans="1:1">
      <c r="A147" s="54" t="s">
        <v>599</v>
      </c>
    </row>
    <row r="148" spans="1:1">
      <c r="A148" s="54" t="s">
        <v>600</v>
      </c>
    </row>
    <row r="149" spans="1:1">
      <c r="A149" s="54" t="s">
        <v>601</v>
      </c>
    </row>
    <row r="150" spans="1:1">
      <c r="A150" s="54" t="s">
        <v>600</v>
      </c>
    </row>
    <row r="151" spans="1:1">
      <c r="A151" s="54" t="s">
        <v>602</v>
      </c>
    </row>
    <row r="152" spans="1:1">
      <c r="A152" s="54" t="s">
        <v>603</v>
      </c>
    </row>
    <row r="153" spans="1:1">
      <c r="A153" s="54" t="s">
        <v>604</v>
      </c>
    </row>
    <row r="154" spans="1:1">
      <c r="A154" s="54" t="s">
        <v>605</v>
      </c>
    </row>
    <row r="155" spans="1:1">
      <c r="A155" s="54" t="s">
        <v>606</v>
      </c>
    </row>
    <row r="156" spans="1:1">
      <c r="A156" s="54" t="s">
        <v>605</v>
      </c>
    </row>
    <row r="157" spans="1:1">
      <c r="A157" s="54" t="s">
        <v>607</v>
      </c>
    </row>
    <row r="158" spans="1:1">
      <c r="A158" s="54" t="s">
        <v>608</v>
      </c>
    </row>
    <row r="159" spans="1:1">
      <c r="A159" s="54" t="s">
        <v>609</v>
      </c>
    </row>
    <row r="160" spans="1:1">
      <c r="A160" s="54" t="s">
        <v>610</v>
      </c>
    </row>
    <row r="161" spans="1:1">
      <c r="A161" s="54" t="s">
        <v>611</v>
      </c>
    </row>
    <row r="162" spans="1:1">
      <c r="A162" s="54" t="s">
        <v>589</v>
      </c>
    </row>
    <row r="163" spans="1:1">
      <c r="A163" s="54" t="s">
        <v>612</v>
      </c>
    </row>
    <row r="164" spans="1:1">
      <c r="A164" s="54" t="s">
        <v>543</v>
      </c>
    </row>
    <row r="165" spans="1:1">
      <c r="A165" s="54" t="s">
        <v>559</v>
      </c>
    </row>
    <row r="166" spans="1:1">
      <c r="A166" s="54" t="s">
        <v>561</v>
      </c>
    </row>
    <row r="167" spans="1:1">
      <c r="A167" s="54"/>
    </row>
    <row r="168" spans="1:1">
      <c r="A168" s="54" t="s">
        <v>617</v>
      </c>
    </row>
    <row r="169" spans="1:1">
      <c r="A169" s="54" t="s">
        <v>618</v>
      </c>
    </row>
    <row r="170" spans="1:1">
      <c r="A170" s="54" t="s">
        <v>619</v>
      </c>
    </row>
    <row r="171" spans="1:1">
      <c r="A171" s="54" t="s">
        <v>620</v>
      </c>
    </row>
    <row r="172" spans="1:1">
      <c r="A172" s="54" t="s">
        <v>621</v>
      </c>
    </row>
    <row r="173" spans="1:1">
      <c r="A173" s="54" t="s">
        <v>543</v>
      </c>
    </row>
    <row r="174" spans="1:1">
      <c r="A174" s="54" t="s">
        <v>622</v>
      </c>
    </row>
    <row r="175" spans="1:1">
      <c r="A175" s="54" t="s">
        <v>623</v>
      </c>
    </row>
    <row r="176" spans="1:1">
      <c r="A176" s="54" t="s">
        <v>624</v>
      </c>
    </row>
    <row r="177" spans="1:1">
      <c r="A177" s="54" t="s">
        <v>543</v>
      </c>
    </row>
    <row r="178" spans="1:1">
      <c r="A178" s="54" t="s">
        <v>625</v>
      </c>
    </row>
    <row r="179" spans="1:1">
      <c r="A179" s="54" t="s">
        <v>626</v>
      </c>
    </row>
    <row r="180" spans="1:1">
      <c r="A180" s="54" t="s">
        <v>627</v>
      </c>
    </row>
    <row r="181" spans="1:1">
      <c r="A181" s="54" t="s">
        <v>628</v>
      </c>
    </row>
    <row r="182" spans="1:1">
      <c r="A182" s="54" t="s">
        <v>629</v>
      </c>
    </row>
    <row r="183" spans="1:1">
      <c r="A183" s="54" t="s">
        <v>630</v>
      </c>
    </row>
    <row r="184" spans="1:1">
      <c r="A184" s="54" t="s">
        <v>598</v>
      </c>
    </row>
    <row r="185" spans="1:1">
      <c r="A185" s="54" t="s">
        <v>589</v>
      </c>
    </row>
    <row r="186" spans="1:1">
      <c r="A186" s="54" t="s">
        <v>612</v>
      </c>
    </row>
    <row r="187" spans="1:1">
      <c r="A187" s="54" t="s">
        <v>543</v>
      </c>
    </row>
    <row r="188" spans="1:1">
      <c r="A188" s="54" t="s">
        <v>631</v>
      </c>
    </row>
    <row r="189" spans="1:1">
      <c r="A189" s="54" t="s">
        <v>561</v>
      </c>
    </row>
    <row r="190" spans="1:1">
      <c r="A190" s="54"/>
    </row>
    <row r="191" spans="1:1">
      <c r="A191" s="54" t="s">
        <v>632</v>
      </c>
    </row>
    <row r="192" spans="1:1">
      <c r="A192" s="54" t="s">
        <v>633</v>
      </c>
    </row>
    <row r="193" spans="1:1">
      <c r="A193" s="54" t="s">
        <v>541</v>
      </c>
    </row>
    <row r="194" spans="1:1">
      <c r="A194" s="54" t="s">
        <v>542</v>
      </c>
    </row>
    <row r="195" spans="1:1">
      <c r="A195" s="54" t="s">
        <v>543</v>
      </c>
    </row>
    <row r="196" spans="1:1">
      <c r="A196" s="54" t="s">
        <v>552</v>
      </c>
    </row>
    <row r="197" spans="1:1">
      <c r="A197" s="54" t="s">
        <v>553</v>
      </c>
    </row>
    <row r="198" spans="1:1">
      <c r="A198" s="54" t="s">
        <v>554</v>
      </c>
    </row>
    <row r="199" spans="1:1">
      <c r="A199" s="54" t="s">
        <v>555</v>
      </c>
    </row>
    <row r="200" spans="1:1">
      <c r="A200" s="54" t="s">
        <v>543</v>
      </c>
    </row>
    <row r="201" spans="1:1">
      <c r="A201" s="54" t="s">
        <v>566</v>
      </c>
    </row>
    <row r="202" spans="1:1">
      <c r="A202" s="54" t="s">
        <v>543</v>
      </c>
    </row>
    <row r="203" spans="1:1">
      <c r="A203" s="54" t="s">
        <v>558</v>
      </c>
    </row>
    <row r="204" spans="1:1">
      <c r="A204" s="54" t="s">
        <v>559</v>
      </c>
    </row>
    <row r="205" spans="1:1">
      <c r="A205" s="54" t="s">
        <v>543</v>
      </c>
    </row>
    <row r="206" spans="1:1">
      <c r="A206" s="54" t="s">
        <v>634</v>
      </c>
    </row>
    <row r="207" spans="1:1">
      <c r="A207" s="54" t="s">
        <v>635</v>
      </c>
    </row>
    <row r="208" spans="1:1">
      <c r="A208" s="54" t="s">
        <v>636</v>
      </c>
    </row>
    <row r="209" spans="1:1">
      <c r="A209" s="54" t="s">
        <v>637</v>
      </c>
    </row>
    <row r="210" spans="1:1">
      <c r="A210" s="54" t="s">
        <v>561</v>
      </c>
    </row>
    <row r="211" spans="1:1">
      <c r="A211" s="54"/>
    </row>
    <row r="212" spans="1:1">
      <c r="A212" s="54" t="s">
        <v>638</v>
      </c>
    </row>
    <row r="213" spans="1:1">
      <c r="A213" s="54" t="s">
        <v>639</v>
      </c>
    </row>
    <row r="214" spans="1:1">
      <c r="A214" s="54" t="s">
        <v>569</v>
      </c>
    </row>
    <row r="215" spans="1:1">
      <c r="A215" s="54" t="s">
        <v>570</v>
      </c>
    </row>
    <row r="216" spans="1:1">
      <c r="A216" s="54" t="s">
        <v>571</v>
      </c>
    </row>
    <row r="217" spans="1:1">
      <c r="A217" s="54" t="s">
        <v>572</v>
      </c>
    </row>
    <row r="218" spans="1:1">
      <c r="A218" s="54" t="s">
        <v>573</v>
      </c>
    </row>
    <row r="219" spans="1:1">
      <c r="A219" s="54" t="s">
        <v>543</v>
      </c>
    </row>
    <row r="220" spans="1:1">
      <c r="A220" s="54" t="s">
        <v>640</v>
      </c>
    </row>
    <row r="221" spans="1:1">
      <c r="A221" s="54" t="s">
        <v>641</v>
      </c>
    </row>
    <row r="222" spans="1:1">
      <c r="A222" s="54" t="s">
        <v>576</v>
      </c>
    </row>
    <row r="223" spans="1:1">
      <c r="A223" s="54" t="s">
        <v>577</v>
      </c>
    </row>
    <row r="224" spans="1:1">
      <c r="A224" s="54" t="s">
        <v>578</v>
      </c>
    </row>
    <row r="225" spans="1:1">
      <c r="A225" s="54" t="s">
        <v>642</v>
      </c>
    </row>
    <row r="226" spans="1:1">
      <c r="A226" s="54" t="s">
        <v>543</v>
      </c>
    </row>
    <row r="227" spans="1:1">
      <c r="A227" s="54" t="s">
        <v>580</v>
      </c>
    </row>
    <row r="228" spans="1:1">
      <c r="A228" s="54" t="s">
        <v>581</v>
      </c>
    </row>
    <row r="229" spans="1:1">
      <c r="A229" s="54" t="s">
        <v>582</v>
      </c>
    </row>
    <row r="230" spans="1:1">
      <c r="A230" s="54" t="s">
        <v>543</v>
      </c>
    </row>
    <row r="231" spans="1:1">
      <c r="A231" s="54" t="s">
        <v>541</v>
      </c>
    </row>
    <row r="232" spans="1:1">
      <c r="A232" s="54" t="s">
        <v>543</v>
      </c>
    </row>
    <row r="233" spans="1:1">
      <c r="A233" s="54" t="s">
        <v>643</v>
      </c>
    </row>
    <row r="234" spans="1:1">
      <c r="A234" s="54" t="s">
        <v>583</v>
      </c>
    </row>
    <row r="235" spans="1:1">
      <c r="A235" s="54" t="s">
        <v>543</v>
      </c>
    </row>
    <row r="236" spans="1:1">
      <c r="A236" s="54" t="s">
        <v>644</v>
      </c>
    </row>
    <row r="237" spans="1:1">
      <c r="A237" s="54" t="s">
        <v>584</v>
      </c>
    </row>
    <row r="238" spans="1:1">
      <c r="A238" s="54" t="s">
        <v>645</v>
      </c>
    </row>
    <row r="239" spans="1:1">
      <c r="A239" s="54" t="s">
        <v>586</v>
      </c>
    </row>
    <row r="240" spans="1:1">
      <c r="A240" s="54" t="s">
        <v>587</v>
      </c>
    </row>
    <row r="241" spans="1:1">
      <c r="A241" s="54" t="s">
        <v>646</v>
      </c>
    </row>
    <row r="242" spans="1:1">
      <c r="A242" s="54" t="s">
        <v>589</v>
      </c>
    </row>
    <row r="243" spans="1:1">
      <c r="A243" s="54" t="s">
        <v>590</v>
      </c>
    </row>
    <row r="244" spans="1:1">
      <c r="A244" s="54" t="s">
        <v>543</v>
      </c>
    </row>
    <row r="245" spans="1:1">
      <c r="A245" s="54" t="s">
        <v>647</v>
      </c>
    </row>
    <row r="246" spans="1:1">
      <c r="A246" s="54" t="s">
        <v>591</v>
      </c>
    </row>
    <row r="247" spans="1:1">
      <c r="A247" s="54" t="s">
        <v>592</v>
      </c>
    </row>
    <row r="248" spans="1:1">
      <c r="A248" s="54" t="s">
        <v>593</v>
      </c>
    </row>
    <row r="249" spans="1:1">
      <c r="A249" s="54" t="s">
        <v>594</v>
      </c>
    </row>
    <row r="250" spans="1:1">
      <c r="A250" s="54" t="s">
        <v>595</v>
      </c>
    </row>
    <row r="251" spans="1:1">
      <c r="A251" s="54" t="s">
        <v>596</v>
      </c>
    </row>
    <row r="252" spans="1:1">
      <c r="A252" s="54" t="s">
        <v>597</v>
      </c>
    </row>
    <row r="253" spans="1:1">
      <c r="A253" s="54" t="s">
        <v>598</v>
      </c>
    </row>
    <row r="254" spans="1:1">
      <c r="A254" s="54" t="s">
        <v>599</v>
      </c>
    </row>
    <row r="255" spans="1:1">
      <c r="A255" s="54" t="s">
        <v>600</v>
      </c>
    </row>
    <row r="256" spans="1:1">
      <c r="A256" s="54" t="s">
        <v>601</v>
      </c>
    </row>
    <row r="257" spans="1:1">
      <c r="A257" s="54" t="s">
        <v>600</v>
      </c>
    </row>
    <row r="258" spans="1:1">
      <c r="A258" s="54" t="s">
        <v>602</v>
      </c>
    </row>
    <row r="259" spans="1:1">
      <c r="A259" s="54" t="s">
        <v>603</v>
      </c>
    </row>
    <row r="260" spans="1:1">
      <c r="A260" s="54" t="s">
        <v>604</v>
      </c>
    </row>
    <row r="261" spans="1:1">
      <c r="A261" s="54" t="s">
        <v>605</v>
      </c>
    </row>
    <row r="262" spans="1:1">
      <c r="A262" s="54" t="s">
        <v>606</v>
      </c>
    </row>
    <row r="263" spans="1:1">
      <c r="A263" s="54" t="s">
        <v>605</v>
      </c>
    </row>
    <row r="264" spans="1:1">
      <c r="A264" s="54" t="s">
        <v>648</v>
      </c>
    </row>
    <row r="265" spans="1:1">
      <c r="A265" s="54" t="s">
        <v>608</v>
      </c>
    </row>
    <row r="266" spans="1:1">
      <c r="A266" s="54" t="s">
        <v>609</v>
      </c>
    </row>
    <row r="267" spans="1:1">
      <c r="A267" s="54" t="s">
        <v>610</v>
      </c>
    </row>
    <row r="268" spans="1:1">
      <c r="A268" s="54" t="s">
        <v>611</v>
      </c>
    </row>
    <row r="269" spans="1:1">
      <c r="A269" s="54" t="s">
        <v>589</v>
      </c>
    </row>
    <row r="270" spans="1:1">
      <c r="A270" s="54" t="s">
        <v>612</v>
      </c>
    </row>
    <row r="271" spans="1:1">
      <c r="A271" s="54" t="s">
        <v>543</v>
      </c>
    </row>
    <row r="272" spans="1:1">
      <c r="A272" s="54" t="s">
        <v>649</v>
      </c>
    </row>
    <row r="273" spans="1:1">
      <c r="A273" s="54" t="s">
        <v>584</v>
      </c>
    </row>
    <row r="274" spans="1:1">
      <c r="A274" s="54" t="s">
        <v>586</v>
      </c>
    </row>
    <row r="275" spans="1:1">
      <c r="A275" s="54" t="s">
        <v>650</v>
      </c>
    </row>
    <row r="276" spans="1:1">
      <c r="A276" s="54" t="s">
        <v>651</v>
      </c>
    </row>
    <row r="277" spans="1:1">
      <c r="A277" s="54" t="s">
        <v>652</v>
      </c>
    </row>
    <row r="278" spans="1:1">
      <c r="A278" s="54" t="s">
        <v>653</v>
      </c>
    </row>
    <row r="279" spans="1:1">
      <c r="A279" s="54" t="s">
        <v>589</v>
      </c>
    </row>
    <row r="280" spans="1:1">
      <c r="A280" s="54" t="s">
        <v>590</v>
      </c>
    </row>
    <row r="281" spans="1:1">
      <c r="A281" s="54" t="s">
        <v>543</v>
      </c>
    </row>
    <row r="282" spans="1:1">
      <c r="A282" s="54" t="s">
        <v>559</v>
      </c>
    </row>
    <row r="283" spans="1:1">
      <c r="A283" s="54" t="s">
        <v>561</v>
      </c>
    </row>
    <row r="284" spans="1:1">
      <c r="A284" s="54"/>
    </row>
    <row r="285" spans="1:1">
      <c r="A285" s="54" t="s">
        <v>654</v>
      </c>
    </row>
    <row r="286" spans="1:1">
      <c r="A286" s="54" t="s">
        <v>655</v>
      </c>
    </row>
    <row r="287" spans="1:1">
      <c r="A287" s="54" t="s">
        <v>656</v>
      </c>
    </row>
    <row r="288" spans="1:1">
      <c r="A288" s="54" t="s">
        <v>657</v>
      </c>
    </row>
    <row r="289" spans="1:1">
      <c r="A289" s="54" t="s">
        <v>658</v>
      </c>
    </row>
    <row r="290" spans="1:1">
      <c r="A290" s="54" t="s">
        <v>659</v>
      </c>
    </row>
    <row r="291" spans="1:1">
      <c r="A291" s="54" t="s">
        <v>660</v>
      </c>
    </row>
    <row r="292" spans="1:1">
      <c r="A292" s="54" t="s">
        <v>661</v>
      </c>
    </row>
    <row r="293" spans="1:1">
      <c r="A293" s="54" t="s">
        <v>662</v>
      </c>
    </row>
    <row r="294" spans="1:1">
      <c r="A294" s="54" t="s">
        <v>663</v>
      </c>
    </row>
    <row r="295" spans="1:1">
      <c r="A295" s="54" t="s">
        <v>664</v>
      </c>
    </row>
    <row r="296" spans="1:1">
      <c r="A296" s="54" t="s">
        <v>665</v>
      </c>
    </row>
    <row r="297" spans="1:1">
      <c r="A297" s="54" t="s">
        <v>666</v>
      </c>
    </row>
    <row r="298" spans="1:1">
      <c r="A298" s="54" t="s">
        <v>667</v>
      </c>
    </row>
    <row r="299" spans="1:1">
      <c r="A299" s="54" t="s">
        <v>668</v>
      </c>
    </row>
    <row r="300" spans="1:1">
      <c r="A300" s="54" t="s">
        <v>669</v>
      </c>
    </row>
    <row r="301" spans="1:1">
      <c r="A301" s="54" t="s">
        <v>670</v>
      </c>
    </row>
    <row r="302" spans="1:1">
      <c r="A302" s="54"/>
    </row>
    <row r="303" spans="1:1">
      <c r="A303" s="54" t="s">
        <v>671</v>
      </c>
    </row>
    <row r="304" spans="1:1">
      <c r="A304" s="54" t="s">
        <v>672</v>
      </c>
    </row>
    <row r="305" spans="1:1">
      <c r="A305" s="54" t="s">
        <v>673</v>
      </c>
    </row>
    <row r="306" spans="1:1">
      <c r="A306" s="54" t="s">
        <v>674</v>
      </c>
    </row>
    <row r="307" spans="1:1">
      <c r="A307" s="54" t="s">
        <v>675</v>
      </c>
    </row>
    <row r="308" spans="1:1">
      <c r="A308" s="54" t="s">
        <v>543</v>
      </c>
    </row>
    <row r="309" spans="1:1">
      <c r="A309" s="54" t="s">
        <v>641</v>
      </c>
    </row>
    <row r="310" spans="1:1">
      <c r="A310" s="54" t="s">
        <v>582</v>
      </c>
    </row>
    <row r="311" spans="1:1">
      <c r="A311" s="54" t="s">
        <v>543</v>
      </c>
    </row>
    <row r="312" spans="1:1">
      <c r="A312" s="54" t="s">
        <v>591</v>
      </c>
    </row>
    <row r="313" spans="1:1">
      <c r="A313" s="54" t="s">
        <v>676</v>
      </c>
    </row>
    <row r="314" spans="1:1">
      <c r="A314" s="54" t="s">
        <v>677</v>
      </c>
    </row>
    <row r="315" spans="1:1">
      <c r="A315" s="54" t="s">
        <v>678</v>
      </c>
    </row>
    <row r="316" spans="1:1">
      <c r="A316" s="54" t="s">
        <v>679</v>
      </c>
    </row>
    <row r="317" spans="1:1">
      <c r="A317" s="54" t="s">
        <v>680</v>
      </c>
    </row>
    <row r="318" spans="1:1">
      <c r="A318" s="54" t="s">
        <v>589</v>
      </c>
    </row>
    <row r="319" spans="1:1">
      <c r="A319" s="54" t="s">
        <v>612</v>
      </c>
    </row>
    <row r="320" spans="1:1">
      <c r="A320" s="54" t="s">
        <v>543</v>
      </c>
    </row>
    <row r="321" spans="1:1">
      <c r="A321" s="54" t="s">
        <v>681</v>
      </c>
    </row>
    <row r="322" spans="1:1">
      <c r="A322" s="54" t="s">
        <v>682</v>
      </c>
    </row>
    <row r="323" spans="1:1">
      <c r="A323" s="54" t="s">
        <v>683</v>
      </c>
    </row>
    <row r="324" spans="1:1">
      <c r="A324" s="54" t="s">
        <v>684</v>
      </c>
    </row>
    <row r="325" spans="1:1">
      <c r="A325" s="54" t="s">
        <v>685</v>
      </c>
    </row>
    <row r="326" spans="1:1">
      <c r="A326" s="54" t="s">
        <v>684</v>
      </c>
    </row>
    <row r="327" spans="1:1">
      <c r="A327" s="54" t="s">
        <v>686</v>
      </c>
    </row>
    <row r="328" spans="1:1">
      <c r="A328" s="54" t="s">
        <v>687</v>
      </c>
    </row>
    <row r="329" spans="1:1">
      <c r="A329" s="54" t="s">
        <v>688</v>
      </c>
    </row>
    <row r="330" spans="1:1">
      <c r="A330" s="54" t="s">
        <v>689</v>
      </c>
    </row>
    <row r="331" spans="1:1">
      <c r="A331" s="54" t="s">
        <v>690</v>
      </c>
    </row>
    <row r="332" spans="1:1">
      <c r="A332" s="54" t="s">
        <v>684</v>
      </c>
    </row>
    <row r="333" spans="1:1">
      <c r="A333" s="54" t="s">
        <v>691</v>
      </c>
    </row>
    <row r="334" spans="1:1">
      <c r="A334" s="54" t="s">
        <v>692</v>
      </c>
    </row>
    <row r="335" spans="1:1">
      <c r="A335" s="54" t="s">
        <v>693</v>
      </c>
    </row>
    <row r="336" spans="1:1">
      <c r="A336" s="54" t="s">
        <v>694</v>
      </c>
    </row>
    <row r="337" spans="1:1">
      <c r="A337" s="54" t="s">
        <v>695</v>
      </c>
    </row>
    <row r="338" spans="1:1">
      <c r="A338" s="54" t="s">
        <v>684</v>
      </c>
    </row>
    <row r="339" spans="1:1">
      <c r="A339" s="54" t="s">
        <v>696</v>
      </c>
    </row>
    <row r="340" spans="1:1">
      <c r="A340" s="54" t="s">
        <v>697</v>
      </c>
    </row>
    <row r="341" spans="1:1">
      <c r="A341" s="54" t="s">
        <v>698</v>
      </c>
    </row>
    <row r="342" spans="1:1">
      <c r="A342" s="54" t="s">
        <v>543</v>
      </c>
    </row>
    <row r="343" spans="1:1">
      <c r="A343" s="54" t="s">
        <v>699</v>
      </c>
    </row>
    <row r="344" spans="1:1">
      <c r="A344" s="54" t="s">
        <v>561</v>
      </c>
    </row>
    <row r="345" spans="1:1">
      <c r="A345" s="54"/>
    </row>
    <row r="346" spans="1:1">
      <c r="A346" s="54" t="s">
        <v>700</v>
      </c>
    </row>
    <row r="347" spans="1:1">
      <c r="A347" s="54" t="s">
        <v>701</v>
      </c>
    </row>
    <row r="348" spans="1:1">
      <c r="A348" s="54" t="s">
        <v>702</v>
      </c>
    </row>
    <row r="349" spans="1:1">
      <c r="A349" s="54" t="s">
        <v>703</v>
      </c>
    </row>
    <row r="350" spans="1:1">
      <c r="A350" s="54" t="s">
        <v>543</v>
      </c>
    </row>
    <row r="351" spans="1:1">
      <c r="A351" s="54" t="s">
        <v>704</v>
      </c>
    </row>
    <row r="352" spans="1:1">
      <c r="A352" s="54" t="s">
        <v>705</v>
      </c>
    </row>
    <row r="353" spans="1:1">
      <c r="A353" s="54" t="s">
        <v>706</v>
      </c>
    </row>
    <row r="354" spans="1:1">
      <c r="A354" s="54" t="s">
        <v>543</v>
      </c>
    </row>
    <row r="355" spans="1:1">
      <c r="A355" s="54" t="s">
        <v>707</v>
      </c>
    </row>
    <row r="356" spans="1:1">
      <c r="A356" s="54" t="s">
        <v>561</v>
      </c>
    </row>
    <row r="357" spans="1:1">
      <c r="A357" s="54"/>
    </row>
    <row r="358" spans="1:1">
      <c r="A358" s="54" t="s">
        <v>708</v>
      </c>
    </row>
    <row r="359" spans="1:1">
      <c r="A359" s="54" t="s">
        <v>709</v>
      </c>
    </row>
    <row r="360" spans="1:1">
      <c r="A360" s="54" t="s">
        <v>710</v>
      </c>
    </row>
    <row r="361" spans="1:1">
      <c r="A361" s="54" t="s">
        <v>711</v>
      </c>
    </row>
    <row r="362" spans="1:1">
      <c r="A362" s="54" t="s">
        <v>543</v>
      </c>
    </row>
    <row r="363" spans="1:1">
      <c r="A363" s="54" t="s">
        <v>712</v>
      </c>
    </row>
    <row r="364" spans="1:1">
      <c r="A364" s="54" t="s">
        <v>713</v>
      </c>
    </row>
    <row r="365" spans="1:1">
      <c r="A365" s="54" t="s">
        <v>543</v>
      </c>
    </row>
    <row r="366" spans="1:1">
      <c r="A366" s="54" t="s">
        <v>714</v>
      </c>
    </row>
    <row r="367" spans="1:1">
      <c r="A367" s="54" t="s">
        <v>715</v>
      </c>
    </row>
    <row r="368" spans="1:1">
      <c r="A368" s="54" t="s">
        <v>716</v>
      </c>
    </row>
    <row r="369" spans="1:1">
      <c r="A369" s="54" t="s">
        <v>543</v>
      </c>
    </row>
    <row r="370" spans="1:1">
      <c r="A370" s="54" t="s">
        <v>717</v>
      </c>
    </row>
    <row r="371" spans="1:1">
      <c r="A371" s="54" t="s">
        <v>718</v>
      </c>
    </row>
    <row r="372" spans="1:1">
      <c r="A372" s="54" t="s">
        <v>719</v>
      </c>
    </row>
    <row r="373" spans="1:1">
      <c r="A373" s="54" t="s">
        <v>720</v>
      </c>
    </row>
    <row r="374" spans="1:1">
      <c r="A374" s="54" t="s">
        <v>721</v>
      </c>
    </row>
    <row r="375" spans="1:1">
      <c r="A375" s="54" t="s">
        <v>722</v>
      </c>
    </row>
    <row r="376" spans="1:1">
      <c r="A376" s="54" t="s">
        <v>723</v>
      </c>
    </row>
    <row r="377" spans="1:1">
      <c r="A377" s="54" t="s">
        <v>724</v>
      </c>
    </row>
    <row r="378" spans="1:1">
      <c r="A378" s="54" t="s">
        <v>720</v>
      </c>
    </row>
    <row r="379" spans="1:1">
      <c r="A379" s="54" t="s">
        <v>725</v>
      </c>
    </row>
    <row r="380" spans="1:1">
      <c r="A380" s="54" t="s">
        <v>726</v>
      </c>
    </row>
    <row r="381" spans="1:1">
      <c r="A381" s="54" t="s">
        <v>727</v>
      </c>
    </row>
    <row r="382" spans="1:1">
      <c r="A382" s="54" t="s">
        <v>589</v>
      </c>
    </row>
    <row r="383" spans="1:1">
      <c r="A383" s="54" t="s">
        <v>728</v>
      </c>
    </row>
    <row r="384" spans="1:1">
      <c r="A384" s="54" t="s">
        <v>561</v>
      </c>
    </row>
    <row r="385" spans="1:1">
      <c r="A385" s="54"/>
    </row>
    <row r="386" spans="1:1">
      <c r="A386" s="54" t="s">
        <v>729</v>
      </c>
    </row>
    <row r="387" spans="1:1">
      <c r="A387" s="54" t="s">
        <v>730</v>
      </c>
    </row>
    <row r="388" spans="1:1">
      <c r="A388" s="54" t="s">
        <v>731</v>
      </c>
    </row>
    <row r="389" spans="1:1">
      <c r="A389" s="54" t="s">
        <v>543</v>
      </c>
    </row>
    <row r="390" spans="1:1">
      <c r="A390" s="54" t="s">
        <v>641</v>
      </c>
    </row>
    <row r="391" spans="1:1">
      <c r="A391" s="54" t="s">
        <v>582</v>
      </c>
    </row>
    <row r="392" spans="1:1">
      <c r="A392" s="54" t="s">
        <v>543</v>
      </c>
    </row>
    <row r="393" spans="1:1">
      <c r="A393" s="54" t="s">
        <v>732</v>
      </c>
    </row>
    <row r="394" spans="1:1">
      <c r="A394" s="54" t="s">
        <v>733</v>
      </c>
    </row>
    <row r="395" spans="1:1">
      <c r="A395" s="54" t="s">
        <v>734</v>
      </c>
    </row>
    <row r="396" spans="1:1">
      <c r="A396" s="54" t="s">
        <v>543</v>
      </c>
    </row>
    <row r="397" spans="1:1">
      <c r="A397" s="54" t="s">
        <v>735</v>
      </c>
    </row>
    <row r="398" spans="1:1">
      <c r="A398" s="54" t="s">
        <v>591</v>
      </c>
    </row>
    <row r="399" spans="1:1">
      <c r="A399" s="54" t="s">
        <v>736</v>
      </c>
    </row>
    <row r="400" spans="1:1">
      <c r="A400" s="54" t="s">
        <v>737</v>
      </c>
    </row>
    <row r="401" spans="1:1">
      <c r="A401" s="54" t="s">
        <v>738</v>
      </c>
    </row>
    <row r="402" spans="1:1">
      <c r="A402" s="54" t="s">
        <v>739</v>
      </c>
    </row>
    <row r="403" spans="1:1">
      <c r="A403" s="54" t="s">
        <v>737</v>
      </c>
    </row>
    <row r="404" spans="1:1">
      <c r="A404" s="54" t="s">
        <v>740</v>
      </c>
    </row>
    <row r="405" spans="1:1">
      <c r="A405" s="54" t="s">
        <v>589</v>
      </c>
    </row>
    <row r="406" spans="1:1">
      <c r="A406" s="54" t="s">
        <v>612</v>
      </c>
    </row>
    <row r="407" spans="1:1">
      <c r="A407" s="54" t="s">
        <v>543</v>
      </c>
    </row>
    <row r="408" spans="1:1">
      <c r="A408" s="54" t="s">
        <v>741</v>
      </c>
    </row>
    <row r="409" spans="1:1">
      <c r="A409" s="54" t="s">
        <v>742</v>
      </c>
    </row>
    <row r="410" spans="1:1">
      <c r="A410" s="54" t="s">
        <v>743</v>
      </c>
    </row>
    <row r="411" spans="1:1">
      <c r="A411" s="54" t="s">
        <v>561</v>
      </c>
    </row>
    <row r="412" spans="1:1">
      <c r="A412" s="54"/>
    </row>
    <row r="413" spans="1:1">
      <c r="A413" s="54" t="s">
        <v>744</v>
      </c>
    </row>
    <row r="414" spans="1:1">
      <c r="A414" s="54" t="s">
        <v>745</v>
      </c>
    </row>
    <row r="415" spans="1:1">
      <c r="A415" s="54" t="s">
        <v>746</v>
      </c>
    </row>
    <row r="416" spans="1:1">
      <c r="A416" s="54" t="s">
        <v>747</v>
      </c>
    </row>
    <row r="417" spans="1:1">
      <c r="A417" s="54" t="s">
        <v>543</v>
      </c>
    </row>
    <row r="418" spans="1:1">
      <c r="A418" s="54" t="s">
        <v>640</v>
      </c>
    </row>
    <row r="419" spans="1:1">
      <c r="A419" s="54" t="s">
        <v>576</v>
      </c>
    </row>
    <row r="420" spans="1:1">
      <c r="A420" s="54" t="s">
        <v>579</v>
      </c>
    </row>
    <row r="421" spans="1:1">
      <c r="A421" s="54" t="s">
        <v>543</v>
      </c>
    </row>
    <row r="422" spans="1:1">
      <c r="A422" s="54" t="s">
        <v>580</v>
      </c>
    </row>
    <row r="423" spans="1:1">
      <c r="A423" s="54" t="s">
        <v>581</v>
      </c>
    </row>
    <row r="424" spans="1:1">
      <c r="A424" s="54" t="s">
        <v>748</v>
      </c>
    </row>
    <row r="425" spans="1:1">
      <c r="A425" s="54" t="s">
        <v>543</v>
      </c>
    </row>
    <row r="426" spans="1:1">
      <c r="A426" s="54" t="s">
        <v>584</v>
      </c>
    </row>
    <row r="427" spans="1:1">
      <c r="A427" s="54" t="s">
        <v>749</v>
      </c>
    </row>
    <row r="428" spans="1:1">
      <c r="A428" s="54" t="s">
        <v>750</v>
      </c>
    </row>
    <row r="429" spans="1:1">
      <c r="A429" s="54" t="s">
        <v>751</v>
      </c>
    </row>
    <row r="430" spans="1:1">
      <c r="A430" s="54" t="s">
        <v>752</v>
      </c>
    </row>
    <row r="431" spans="1:1">
      <c r="A431" s="54" t="s">
        <v>753</v>
      </c>
    </row>
    <row r="432" spans="1:1">
      <c r="A432" s="54" t="s">
        <v>754</v>
      </c>
    </row>
    <row r="433" spans="1:1">
      <c r="A433" s="54" t="s">
        <v>653</v>
      </c>
    </row>
    <row r="434" spans="1:1">
      <c r="A434" s="54" t="s">
        <v>589</v>
      </c>
    </row>
    <row r="435" spans="1:1">
      <c r="A435" s="54" t="s">
        <v>590</v>
      </c>
    </row>
    <row r="436" spans="1:1">
      <c r="A436" s="54" t="s">
        <v>561</v>
      </c>
    </row>
    <row r="437" spans="1:1">
      <c r="A437" s="54"/>
    </row>
    <row r="438" spans="1:1">
      <c r="A438" s="54" t="s">
        <v>755</v>
      </c>
    </row>
    <row r="439" spans="1:1">
      <c r="A439" s="54" t="s">
        <v>756</v>
      </c>
    </row>
    <row r="440" spans="1:1">
      <c r="A440" s="54" t="s">
        <v>757</v>
      </c>
    </row>
    <row r="441" spans="1:1">
      <c r="A441" s="54" t="s">
        <v>758</v>
      </c>
    </row>
    <row r="442" spans="1:1">
      <c r="A442" s="54" t="s">
        <v>759</v>
      </c>
    </row>
    <row r="443" spans="1:1">
      <c r="A443" s="54" t="s">
        <v>760</v>
      </c>
    </row>
    <row r="444" spans="1:1">
      <c r="A444" s="54" t="s">
        <v>761</v>
      </c>
    </row>
    <row r="445" spans="1:1">
      <c r="A445" s="54" t="s">
        <v>762</v>
      </c>
    </row>
    <row r="446" spans="1:1">
      <c r="A446" s="54"/>
    </row>
    <row r="447" spans="1:1">
      <c r="A447" s="54" t="s">
        <v>763</v>
      </c>
    </row>
    <row r="448" spans="1:1">
      <c r="A448" s="54" t="s">
        <v>764</v>
      </c>
    </row>
    <row r="449" spans="1:1">
      <c r="A449" s="54" t="s">
        <v>731</v>
      </c>
    </row>
    <row r="450" spans="1:1">
      <c r="A450" s="54" t="s">
        <v>765</v>
      </c>
    </row>
    <row r="451" spans="1:1">
      <c r="A451" s="54" t="s">
        <v>543</v>
      </c>
    </row>
    <row r="452" spans="1:1">
      <c r="A452" s="54" t="s">
        <v>766</v>
      </c>
    </row>
    <row r="453" spans="1:1">
      <c r="A453" s="54" t="s">
        <v>543</v>
      </c>
    </row>
    <row r="454" spans="1:1">
      <c r="A454" s="54" t="s">
        <v>767</v>
      </c>
    </row>
    <row r="455" spans="1:1">
      <c r="A455" s="54" t="s">
        <v>768</v>
      </c>
    </row>
    <row r="456" spans="1:1">
      <c r="A456" s="54" t="s">
        <v>769</v>
      </c>
    </row>
    <row r="457" spans="1:1">
      <c r="A457" s="54" t="s">
        <v>770</v>
      </c>
    </row>
    <row r="458" spans="1:1">
      <c r="A458" s="54" t="s">
        <v>720</v>
      </c>
    </row>
    <row r="459" spans="1:1">
      <c r="A459" s="54" t="s">
        <v>771</v>
      </c>
    </row>
    <row r="460" spans="1:1">
      <c r="A460" s="54" t="s">
        <v>772</v>
      </c>
    </row>
    <row r="461" spans="1:1">
      <c r="A461" s="54" t="s">
        <v>773</v>
      </c>
    </row>
    <row r="462" spans="1:1">
      <c r="A462" s="54" t="s">
        <v>774</v>
      </c>
    </row>
    <row r="463" spans="1:1">
      <c r="A463" s="54" t="s">
        <v>775</v>
      </c>
    </row>
    <row r="464" spans="1:1">
      <c r="A464" s="54" t="s">
        <v>776</v>
      </c>
    </row>
    <row r="465" spans="1:1">
      <c r="A465" s="54" t="s">
        <v>589</v>
      </c>
    </row>
    <row r="466" spans="1:1">
      <c r="A466" s="54" t="s">
        <v>720</v>
      </c>
    </row>
    <row r="467" spans="1:1">
      <c r="A467" s="54" t="s">
        <v>777</v>
      </c>
    </row>
    <row r="468" spans="1:1">
      <c r="A468" s="54" t="s">
        <v>778</v>
      </c>
    </row>
    <row r="469" spans="1:1">
      <c r="A469" s="54" t="s">
        <v>779</v>
      </c>
    </row>
    <row r="470" spans="1:1">
      <c r="A470" s="54" t="s">
        <v>780</v>
      </c>
    </row>
    <row r="471" spans="1:1">
      <c r="A471" s="54" t="s">
        <v>598</v>
      </c>
    </row>
    <row r="472" spans="1:1">
      <c r="A472" s="54" t="s">
        <v>781</v>
      </c>
    </row>
    <row r="473" spans="1:1">
      <c r="A473" s="54" t="s">
        <v>720</v>
      </c>
    </row>
    <row r="474" spans="1:1">
      <c r="A474" s="54" t="s">
        <v>782</v>
      </c>
    </row>
    <row r="475" spans="1:1">
      <c r="A475" s="54" t="s">
        <v>728</v>
      </c>
    </row>
    <row r="476" spans="1:1">
      <c r="A476" s="54" t="s">
        <v>561</v>
      </c>
    </row>
    <row r="477" spans="1:1">
      <c r="A477" s="54"/>
    </row>
    <row r="478" spans="1:1">
      <c r="A478" s="54" t="s">
        <v>783</v>
      </c>
    </row>
    <row r="479" spans="1:1">
      <c r="A479" s="54" t="s">
        <v>784</v>
      </c>
    </row>
    <row r="480" spans="1:1">
      <c r="A480" s="54" t="s">
        <v>731</v>
      </c>
    </row>
    <row r="481" spans="1:1">
      <c r="A481" s="54" t="s">
        <v>785</v>
      </c>
    </row>
    <row r="482" spans="1:1">
      <c r="A482" s="54" t="s">
        <v>786</v>
      </c>
    </row>
    <row r="483" spans="1:1">
      <c r="A483" s="54" t="s">
        <v>543</v>
      </c>
    </row>
    <row r="484" spans="1:1">
      <c r="A484" s="54" t="s">
        <v>641</v>
      </c>
    </row>
    <row r="485" spans="1:1">
      <c r="A485" s="54" t="s">
        <v>577</v>
      </c>
    </row>
    <row r="486" spans="1:1">
      <c r="A486" s="54" t="s">
        <v>578</v>
      </c>
    </row>
    <row r="487" spans="1:1">
      <c r="A487" s="54" t="s">
        <v>582</v>
      </c>
    </row>
    <row r="488" spans="1:1">
      <c r="A488" s="54" t="s">
        <v>543</v>
      </c>
    </row>
    <row r="489" spans="1:1">
      <c r="A489" s="54" t="s">
        <v>591</v>
      </c>
    </row>
    <row r="490" spans="1:1">
      <c r="A490" s="54" t="s">
        <v>787</v>
      </c>
    </row>
    <row r="491" spans="1:1">
      <c r="A491" s="54" t="s">
        <v>788</v>
      </c>
    </row>
    <row r="492" spans="1:1">
      <c r="A492" s="54" t="s">
        <v>789</v>
      </c>
    </row>
    <row r="493" spans="1:1">
      <c r="A493" s="54" t="s">
        <v>790</v>
      </c>
    </row>
    <row r="494" spans="1:1">
      <c r="A494" s="54" t="s">
        <v>791</v>
      </c>
    </row>
    <row r="495" spans="1:1">
      <c r="A495" s="54" t="s">
        <v>792</v>
      </c>
    </row>
    <row r="496" spans="1:1">
      <c r="A496" s="54" t="s">
        <v>793</v>
      </c>
    </row>
    <row r="497" spans="1:1">
      <c r="A497" s="54" t="s">
        <v>610</v>
      </c>
    </row>
    <row r="498" spans="1:1">
      <c r="A498" s="54" t="s">
        <v>598</v>
      </c>
    </row>
    <row r="499" spans="1:1">
      <c r="A499" s="54" t="s">
        <v>589</v>
      </c>
    </row>
    <row r="500" spans="1:1">
      <c r="A500" s="54" t="s">
        <v>612</v>
      </c>
    </row>
    <row r="501" spans="1:1">
      <c r="A501" s="54" t="s">
        <v>543</v>
      </c>
    </row>
    <row r="502" spans="1:1">
      <c r="A502" s="54" t="s">
        <v>794</v>
      </c>
    </row>
    <row r="503" spans="1:1">
      <c r="A503" s="54" t="s">
        <v>795</v>
      </c>
    </row>
    <row r="504" spans="1:1">
      <c r="A504" s="54" t="s">
        <v>796</v>
      </c>
    </row>
    <row r="505" spans="1:1">
      <c r="A505" s="54" t="s">
        <v>797</v>
      </c>
    </row>
    <row r="506" spans="1:1">
      <c r="A506" s="54" t="s">
        <v>798</v>
      </c>
    </row>
    <row r="507" spans="1:1">
      <c r="A507" s="54" t="s">
        <v>799</v>
      </c>
    </row>
    <row r="508" spans="1:1">
      <c r="A508" s="54" t="s">
        <v>800</v>
      </c>
    </row>
    <row r="509" spans="1:1">
      <c r="A509" s="54" t="s">
        <v>801</v>
      </c>
    </row>
    <row r="510" spans="1:1">
      <c r="A510" s="54" t="s">
        <v>728</v>
      </c>
    </row>
    <row r="511" spans="1:1">
      <c r="A511" s="54" t="s">
        <v>561</v>
      </c>
    </row>
  </sheetData>
  <phoneticPr fontId="17" type="noConversion"/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12</vt:i4>
      </vt:variant>
      <vt:variant>
        <vt:lpstr>이름 지정된 범위</vt:lpstr>
      </vt:variant>
      <vt:variant>
        <vt:i4>18</vt:i4>
      </vt:variant>
    </vt:vector>
  </HeadingPairs>
  <TitlesOfParts>
    <vt:vector size="30" baseType="lpstr">
      <vt:lpstr>Control_Panel</vt:lpstr>
      <vt:lpstr>Schedule_Data</vt:lpstr>
      <vt:lpstr>Gantt_Chart</vt:lpstr>
      <vt:lpstr>Schedule_Data_ScenarioA</vt:lpstr>
      <vt:lpstr>Gantt_Chart_ScenarioA</vt:lpstr>
      <vt:lpstr>Schedule_Data_ScenarioB</vt:lpstr>
      <vt:lpstr>Gantt_Chart_ScenarioB</vt:lpstr>
      <vt:lpstr>Tide_Data</vt:lpstr>
      <vt:lpstr>Scenario_Comparison</vt:lpstr>
      <vt:lpstr>Weather_Analysis</vt:lpstr>
      <vt:lpstr>Summary</vt:lpstr>
      <vt:lpstr>VBA_Code</vt:lpstr>
      <vt:lpstr>DUR_BUF</vt:lpstr>
      <vt:lpstr>DUR_DECK</vt:lpstr>
      <vt:lpstr>DUR_JD</vt:lpstr>
      <vt:lpstr>DUR_LO</vt:lpstr>
      <vt:lpstr>DUR_MOB</vt:lpstr>
      <vt:lpstr>DUR_MWS</vt:lpstr>
      <vt:lpstr>DUR_RET</vt:lpstr>
      <vt:lpstr>DUR_SAIL</vt:lpstr>
      <vt:lpstr>DUR_SF</vt:lpstr>
      <vt:lpstr>DUR_TURN</vt:lpstr>
      <vt:lpstr>DUR_UL</vt:lpstr>
      <vt:lpstr>GANTT_BUFFER_DAYS</vt:lpstr>
      <vt:lpstr>GANTT_MIN_DAYS</vt:lpstr>
      <vt:lpstr>PROJECT_START</vt:lpstr>
      <vt:lpstr>SHAMAL_END</vt:lpstr>
      <vt:lpstr>SHAMAL_START</vt:lpstr>
      <vt:lpstr>TARGET_END</vt:lpstr>
      <vt:lpstr>TIDE_THRESHOLD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민규 차</cp:lastModifiedBy>
  <dcterms:created xsi:type="dcterms:W3CDTF">2026-01-07T21:25:15Z</dcterms:created>
  <dcterms:modified xsi:type="dcterms:W3CDTF">2026-01-07T21:26:15Z</dcterms:modified>
</cp:coreProperties>
</file>