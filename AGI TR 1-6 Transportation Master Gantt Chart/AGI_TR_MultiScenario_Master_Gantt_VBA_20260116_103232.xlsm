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ntrol_Panel" sheetId="1" state="visible" r:id="rId1"/>
    <sheet xmlns:r="http://schemas.openxmlformats.org/officeDocument/2006/relationships" name="Schedule_Data_Option_A" sheetId="2" state="visible" r:id="rId2"/>
    <sheet xmlns:r="http://schemas.openxmlformats.org/officeDocument/2006/relationships" name="Gantt_Chart_Option_A" sheetId="3" state="visible" r:id="rId3"/>
    <sheet xmlns:r="http://schemas.openxmlformats.org/officeDocument/2006/relationships" name="Schedule_Data_Option_B" sheetId="4" state="visible" r:id="rId4"/>
    <sheet xmlns:r="http://schemas.openxmlformats.org/officeDocument/2006/relationships" name="Gantt_Chart_Option_B" sheetId="5" state="visible" r:id="rId5"/>
    <sheet xmlns:r="http://schemas.openxmlformats.org/officeDocument/2006/relationships" name="Tide_Data" sheetId="6" state="visible" r:id="rId6"/>
    <sheet xmlns:r="http://schemas.openxmlformats.org/officeDocument/2006/relationships" name="Scenario_Comparison" sheetId="7" state="visible" r:id="rId7"/>
    <sheet xmlns:r="http://schemas.openxmlformats.org/officeDocument/2006/relationships" name="Option_Compare" sheetId="8" state="visible" r:id="rId8"/>
    <sheet xmlns:r="http://schemas.openxmlformats.org/officeDocument/2006/relationships" name="Weather_Analysis" sheetId="9" state="visible" r:id="rId9"/>
    <sheet xmlns:r="http://schemas.openxmlformats.org/officeDocument/2006/relationships" name="Summary" sheetId="10" state="visible" r:id="rId10"/>
    <sheet xmlns:r="http://schemas.openxmlformats.org/officeDocument/2006/relationships" name="VBA_Code" sheetId="11" state="visible" r:id="rId11"/>
  </sheets>
  <definedNames>
    <definedName name="PROJECT_START">Control_Panel!$B$4</definedName>
    <definedName name="TARGET_END">Control_Panel!$B$5</definedName>
    <definedName name="VOYAGE_PATTERN">Control_Panel!$B$6</definedName>
    <definedName name="EARLY_RETURN">Control_Panel!$B$7</definedName>
    <definedName name="DUR_MOB">Control_Panel!$E5</definedName>
    <definedName name="DUR_DECK">Control_Panel!$E6</definedName>
    <definedName name="DUR_LO">Control_Panel!$E7</definedName>
    <definedName name="DUR_SF">Control_Panel!$E8</definedName>
    <definedName name="DUR_MWS">Control_Panel!$E9</definedName>
    <definedName name="DUR_SAIL">Control_Panel!$E10</definedName>
    <definedName name="DUR_UL">Control_Panel!$E11</definedName>
    <definedName name="DUR_TURN">Control_Panel!$E12</definedName>
    <definedName name="DUR_JD">Control_Panel!$E13</definedName>
    <definedName name="DUR_RET">Control_Panel!$E14</definedName>
    <definedName name="DUR_BUF">Control_Panel!$E15</definedName>
    <definedName name="SHAMAL_START">Control_Panel!$H$5</definedName>
    <definedName name="SHAMAL_END">Control_Panel!$H$6</definedName>
    <definedName name="TIDE_THRESHOLD">Control_Panel!$H$7</definedName>
    <definedName name="GANTT_MIN_DAYS">Control_Panel!$H$8</definedName>
    <definedName name="GANTT_BUFFER_DAYS">Control_Panel!$H$9</definedName>
    <definedName name="LCT_MAINT_START">Control_Panel!$H$10</definedName>
    <definedName name="LCT_MAINT_END">Control_Panel!$H$11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YYYY-MM-DD"/>
    <numFmt numFmtId="166" formatCode="0.0"/>
    <numFmt numFmtId="167" formatCode="D"/>
  </numFmts>
  <fonts count="17">
    <font>
      <name val="Calibri"/>
      <family val="2"/>
      <color theme="1"/>
      <sz val="11"/>
      <scheme val="minor"/>
    </font>
    <font>
      <b val="1"/>
      <color rgb="00FFFFFF"/>
      <sz val="16"/>
    </font>
    <font>
      <b val="1"/>
      <sz val="12"/>
    </font>
    <font>
      <b val="1"/>
    </font>
    <font>
      <sz val="10"/>
    </font>
    <font>
      <color rgb="00FFFFFF"/>
      <sz val="11"/>
    </font>
    <font>
      <i val="1"/>
      <sz val="10"/>
    </font>
    <font>
      <b val="1"/>
      <color rgb="00FFFFFF"/>
    </font>
    <font>
      <b val="1"/>
      <color rgb="00B71C1C"/>
    </font>
    <font>
      <b val="1"/>
      <color rgb="00FFFFFF"/>
      <sz val="14"/>
    </font>
    <font>
      <b val="1"/>
      <color rgb="00FFFFFF"/>
      <sz val="9"/>
    </font>
    <font>
      <b val="1"/>
      <color rgb="00FFFFFF"/>
      <sz val="8"/>
    </font>
    <font>
      <sz val="8"/>
    </font>
    <font>
      <b val="1"/>
      <color rgb="000066CC"/>
    </font>
    <font>
      <b val="1"/>
      <sz val="14"/>
    </font>
    <font/>
    <font>
      <name val="Consolas"/>
      <sz val="9"/>
    </font>
  </fonts>
  <fills count="20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9C4"/>
      </patternFill>
    </fill>
    <fill>
      <patternFill patternType="solid">
        <fgColor rgb="00FFFDE7"/>
      </patternFill>
    </fill>
    <fill>
      <patternFill patternType="solid">
        <fgColor rgb="00FF9800"/>
      </patternFill>
    </fill>
    <fill>
      <patternFill patternType="solid">
        <fgColor rgb="00E3F2FD"/>
      </patternFill>
    </fill>
    <fill>
      <patternFill patternType="solid">
        <fgColor rgb="002E75B6"/>
      </patternFill>
    </fill>
    <fill>
      <patternFill patternType="solid">
        <fgColor rgb="008E7CC3"/>
      </patternFill>
    </fill>
    <fill>
      <patternFill patternType="solid">
        <fgColor rgb="00D9D9D9"/>
      </patternFill>
    </fill>
    <fill>
      <patternFill patternType="solid">
        <fgColor rgb="006FA8DC"/>
      </patternFill>
    </fill>
    <fill>
      <patternFill patternType="solid">
        <fgColor rgb="0093C47D"/>
      </patternFill>
    </fill>
    <fill>
      <patternFill patternType="solid">
        <fgColor rgb="0076A5AF"/>
      </patternFill>
    </fill>
    <fill>
      <patternFill patternType="solid">
        <fgColor rgb="00A4C2F4"/>
      </patternFill>
    </fill>
    <fill>
      <patternFill patternType="solid">
        <fgColor rgb="00F6B26B"/>
      </patternFill>
    </fill>
    <fill>
      <patternFill patternType="solid">
        <fgColor rgb="00FFD966"/>
      </patternFill>
    </fill>
    <fill>
      <patternFill patternType="solid">
        <fgColor rgb="00E06666"/>
      </patternFill>
    </fill>
    <fill>
      <patternFill patternType="solid">
        <fgColor rgb="00C8E6C9"/>
      </patternFill>
    </fill>
    <fill>
      <patternFill patternType="solid">
        <fgColor rgb="00FFE0B2"/>
      </patternFill>
    </fill>
    <fill>
      <patternFill patternType="solid">
        <fgColor rgb="00FFCDD2"/>
      </patternFill>
    </fill>
  </fills>
  <borders count="2">
    <border>
      <left/>
      <right/>
      <top/>
      <bottom/>
      <diagonal/>
    </border>
    <border>
      <left style="thin">
        <color rgb="00A6A6A6"/>
      </left>
      <right style="thin">
        <color rgb="00A6A6A6"/>
      </right>
      <top style="thin">
        <color rgb="00A6A6A6"/>
      </top>
      <bottom style="thin">
        <color rgb="00A6A6A6"/>
      </bottom>
    </border>
  </borders>
  <cellStyleXfs count="1">
    <xf numFmtId="0" fontId="0" fillId="0" borderId="0"/>
  </cellStyleXfs>
  <cellXfs count="53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0" fillId="3" borderId="0" pivotButton="0" quotePrefix="0" xfId="0"/>
    <xf numFmtId="0" fontId="2" fillId="0" borderId="0" pivotButton="0" quotePrefix="0" xfId="0"/>
    <xf numFmtId="165" fontId="2" fillId="4" borderId="1" pivotButton="0" quotePrefix="0" xfId="0"/>
    <xf numFmtId="0" fontId="3" fillId="0" borderId="0" pivotButton="0" quotePrefix="0" xfId="0"/>
    <xf numFmtId="165" fontId="0" fillId="4" borderId="1" pivotButton="0" quotePrefix="0" xfId="0"/>
    <xf numFmtId="166" fontId="0" fillId="4" borderId="1" pivotButton="0" quotePrefix="0" xfId="0"/>
    <xf numFmtId="165" fontId="0" fillId="5" borderId="0" pivotButton="0" quotePrefix="0" xfId="0"/>
    <xf numFmtId="0" fontId="0" fillId="4" borderId="1" pivotButton="0" quotePrefix="0" xfId="0"/>
    <xf numFmtId="2" fontId="0" fillId="4" borderId="1" pivotButton="0" quotePrefix="0" xfId="0"/>
    <xf numFmtId="1" fontId="0" fillId="4" borderId="1" pivotButton="0" quotePrefix="0" xfId="0"/>
    <xf numFmtId="165" fontId="0" fillId="6" borderId="1" pivotButton="0" quotePrefix="0" xfId="0"/>
    <xf numFmtId="0" fontId="0" fillId="6" borderId="1" pivotButton="0" quotePrefix="0" xfId="0"/>
    <xf numFmtId="0" fontId="4" fillId="0" borderId="0" pivotButton="0" quotePrefix="0" xfId="0"/>
    <xf numFmtId="0" fontId="5" fillId="7" borderId="0" pivotButton="0" quotePrefix="0" xfId="0"/>
    <xf numFmtId="0" fontId="6" fillId="5" borderId="0" pivotButton="0" quotePrefix="0" xfId="0"/>
    <xf numFmtId="0" fontId="7" fillId="2" borderId="1" applyAlignment="1" pivotButton="0" quotePrefix="0" xfId="0">
      <alignment horizontal="center"/>
    </xf>
    <xf numFmtId="0" fontId="0" fillId="0" borderId="1" pivotButton="0" quotePrefix="0" xfId="0"/>
    <xf numFmtId="0" fontId="0" fillId="8" borderId="1" pivotButton="0" quotePrefix="0" xfId="0"/>
    <xf numFmtId="165" fontId="0" fillId="0" borderId="1" pivotButton="0" quotePrefix="0" xfId="0"/>
    <xf numFmtId="0" fontId="0" fillId="9" borderId="1" pivotButton="0" quotePrefix="0" xfId="0"/>
    <xf numFmtId="0" fontId="0" fillId="10" borderId="1" pivotButton="0" quotePrefix="0" xfId="0"/>
    <xf numFmtId="0" fontId="0" fillId="11" borderId="1" pivotButton="0" quotePrefix="0" xfId="0"/>
    <xf numFmtId="0" fontId="0" fillId="12" borderId="1" pivotButton="0" quotePrefix="0" xfId="0"/>
    <xf numFmtId="0" fontId="0" fillId="13" borderId="1" pivotButton="0" quotePrefix="0" xfId="0"/>
    <xf numFmtId="0" fontId="0" fillId="14" borderId="1" pivotButton="0" quotePrefix="0" xfId="0"/>
    <xf numFmtId="0" fontId="0" fillId="15" borderId="1" pivotButton="0" quotePrefix="0" xfId="0"/>
    <xf numFmtId="0" fontId="8" fillId="0" borderId="1" pivotButton="0" quotePrefix="0" xfId="0"/>
    <xf numFmtId="0" fontId="8" fillId="16" borderId="1" pivotButton="0" quotePrefix="0" xfId="0"/>
    <xf numFmtId="165" fontId="8" fillId="0" borderId="1" pivotButton="0" quotePrefix="0" xfId="0"/>
    <xf numFmtId="0" fontId="9" fillId="2" borderId="0" applyAlignment="1" pivotButton="0" quotePrefix="0" xfId="0">
      <alignment horizontal="center"/>
    </xf>
    <xf numFmtId="0" fontId="10" fillId="2" borderId="1" applyAlignment="1" pivotButton="0" quotePrefix="0" xfId="0">
      <alignment horizontal="center"/>
    </xf>
    <xf numFmtId="167" fontId="11" fillId="5" borderId="1" applyAlignment="1" pivotButton="0" quotePrefix="0" xfId="0">
      <alignment horizontal="center"/>
    </xf>
    <xf numFmtId="167" fontId="11" fillId="2" borderId="1" applyAlignment="1" pivotButton="0" quotePrefix="0" xfId="0">
      <alignment horizontal="center"/>
    </xf>
    <xf numFmtId="0" fontId="12" fillId="8" borderId="1" applyAlignment="1" pivotButton="0" quotePrefix="0" xfId="0">
      <alignment horizontal="center"/>
    </xf>
    <xf numFmtId="0" fontId="12" fillId="9" borderId="1" applyAlignment="1" pivotButton="0" quotePrefix="0" xfId="0">
      <alignment horizontal="center"/>
    </xf>
    <xf numFmtId="0" fontId="12" fillId="10" borderId="1" applyAlignment="1" pivotButton="0" quotePrefix="0" xfId="0">
      <alignment horizontal="center"/>
    </xf>
    <xf numFmtId="0" fontId="0" fillId="16" borderId="1" pivotButton="0" quotePrefix="0" xfId="0"/>
    <xf numFmtId="2" fontId="13" fillId="0" borderId="1" pivotButton="0" quotePrefix="0" xfId="0"/>
    <xf numFmtId="0" fontId="0" fillId="17" borderId="1" pivotButton="0" quotePrefix="0" xfId="0"/>
    <xf numFmtId="2" fontId="0" fillId="0" borderId="1" pivotButton="0" quotePrefix="0" xfId="0"/>
    <xf numFmtId="0" fontId="0" fillId="18" borderId="1" pivotButton="0" quotePrefix="0" xfId="0"/>
    <xf numFmtId="0" fontId="0" fillId="19" borderId="1" pivotButton="0" quotePrefix="0" xfId="0"/>
    <xf numFmtId="0" fontId="3" fillId="0" borderId="1" pivotButton="0" quotePrefix="0" xfId="0"/>
    <xf numFmtId="1" fontId="0" fillId="0" borderId="1" pivotButton="0" quotePrefix="0" xfId="0"/>
    <xf numFmtId="165" fontId="0" fillId="0" borderId="0" pivotButton="0" quotePrefix="0" xfId="0"/>
    <xf numFmtId="1" fontId="0" fillId="0" borderId="0" pivotButton="0" quotePrefix="0" xfId="0"/>
    <xf numFmtId="0" fontId="7" fillId="2" borderId="1" applyAlignment="1" pivotButton="0" quotePrefix="0" xfId="0">
      <alignment horizontal="center" wrapText="1"/>
    </xf>
    <xf numFmtId="0" fontId="14" fillId="0" borderId="0" pivotButton="0" quotePrefix="0" xfId="0"/>
    <xf numFmtId="0" fontId="7" fillId="2" borderId="1" pivotButton="0" quotePrefix="0" xfId="0"/>
    <xf numFmtId="0" fontId="15" fillId="0" borderId="0" pivotButton="0" quotePrefix="0" xfId="0"/>
    <xf numFmtId="0" fontId="16" fillId="0" borderId="0" pivotButton="0" quotePrefix="0" xfId="0"/>
  </cellXfs>
  <cellStyles count="1">
    <cellStyle name="Normal" xfId="0" builtinId="0" hidden="0"/>
  </cellStyles>
  <dxfs count="2">
    <dxf>
      <fill>
        <patternFill patternType="solid">
          <fgColor rgb="00FFCDD2"/>
        </patternFill>
      </fill>
    </dxf>
    <dxf>
      <fill>
        <patternFill patternType="solid">
          <fgColor rgb="00C8E6C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25"/>
  <sheetViews>
    <sheetView workbookViewId="0">
      <selection activeCell="A1" sqref="A1"/>
    </sheetView>
  </sheetViews>
  <sheetFormatPr baseColWidth="8" defaultRowHeight="15"/>
  <cols>
    <col width="20" customWidth="1" min="1" max="1"/>
    <col width="15" customWidth="1" min="2" max="2"/>
    <col width="16" customWidth="1" min="4" max="4"/>
    <col width="10" customWidth="1" min="5" max="5"/>
    <col width="14" customWidth="1" min="7" max="7"/>
    <col width="12" customWidth="1" min="8" max="8"/>
    <col width="10" customWidth="1" min="9" max="9"/>
  </cols>
  <sheetData>
    <row r="1" ht="30" customHeight="1">
      <c r="A1" s="1" t="inlineStr">
        <is>
          <t>🎛️ AGI TR Transportation - Control Panel</t>
        </is>
      </c>
    </row>
    <row r="2">
      <c r="A2" s="2" t="inlineStr">
        <is>
          <t>📌 Changing the start date (B4) will automatically update all schedules. VBA macros must be enabled.</t>
        </is>
      </c>
    </row>
    <row r="4">
      <c r="A4" s="3" t="inlineStr">
        <is>
          <t>📅 Project Start Date:</t>
        </is>
      </c>
      <c r="B4" s="4" t="n">
        <v>46048</v>
      </c>
      <c r="D4" s="3" t="inlineStr">
        <is>
          <t>⏱️ Task Duration (Days)</t>
        </is>
      </c>
      <c r="G4" s="3" t="inlineStr">
        <is>
          <t>🌊 Weather Settings</t>
        </is>
      </c>
    </row>
    <row r="5">
      <c r="A5" s="5" t="inlineStr">
        <is>
          <t>🎯 Target Completion Date:</t>
        </is>
      </c>
      <c r="B5" s="6" t="n">
        <v>46081</v>
      </c>
      <c r="D5" s="5" t="inlineStr">
        <is>
          <t>Mobilization:</t>
        </is>
      </c>
      <c r="E5" s="7" t="n">
        <v>1</v>
      </c>
      <c r="G5" t="inlineStr">
        <is>
          <t>Shamal Start:</t>
        </is>
      </c>
      <c r="H5" s="8" t="n">
        <v>46037</v>
      </c>
    </row>
    <row r="6">
      <c r="A6" s="5" t="inlineStr">
        <is>
          <t>🚢 Voyage Pattern:</t>
        </is>
      </c>
      <c r="B6" s="9" t="inlineStr">
        <is>
          <t>1-2-2-2</t>
        </is>
      </c>
      <c r="D6" s="5" t="inlineStr">
        <is>
          <t>Deck Prep:</t>
        </is>
      </c>
      <c r="E6" s="7" t="n">
        <v>3</v>
      </c>
      <c r="G6" t="inlineStr">
        <is>
          <t>Shamal End:</t>
        </is>
      </c>
      <c r="H6" s="8" t="n">
        <v>46142</v>
      </c>
    </row>
    <row r="7">
      <c r="A7" s="5" t="inlineStr">
        <is>
          <t>🔄 Early Return (1st JD):</t>
        </is>
      </c>
      <c r="B7" s="9" t="inlineStr">
        <is>
          <t>TRUE</t>
        </is>
      </c>
      <c r="D7" s="5" t="inlineStr">
        <is>
          <t>Load-out:</t>
        </is>
      </c>
      <c r="E7" s="7" t="n">
        <v>1</v>
      </c>
      <c r="G7" s="5" t="inlineStr">
        <is>
          <t>Tide Threshold (m):</t>
        </is>
      </c>
      <c r="H7" s="10" t="n">
        <v>1.9</v>
      </c>
    </row>
    <row r="8">
      <c r="A8" s="3" t="inlineStr">
        <is>
          <t>📊 Auto Calculation Summary</t>
        </is>
      </c>
      <c r="D8" s="5" t="inlineStr">
        <is>
          <t>Sea Fastening:</t>
        </is>
      </c>
      <c r="E8" s="7" t="n">
        <v>0.5</v>
      </c>
      <c r="G8" s="5" t="inlineStr">
        <is>
          <t>📊 Gantt Min Days:</t>
        </is>
      </c>
      <c r="H8" s="11" t="n">
        <v>120</v>
      </c>
    </row>
    <row r="9">
      <c r="A9" s="5" t="inlineStr">
        <is>
          <t>Estimated Completion:</t>
        </is>
      </c>
      <c r="B9" s="12">
        <f>MAX(Schedule_Data_Option_A!H:H,Schedule_Data_Option_B!H:H)</f>
        <v/>
      </c>
      <c r="D9" s="5" t="inlineStr">
        <is>
          <t>MWS Approval:</t>
        </is>
      </c>
      <c r="E9" s="7" t="n">
        <v>0.5</v>
      </c>
      <c r="G9" s="5" t="inlineStr">
        <is>
          <t>📊 Gantt Buffer Days:</t>
        </is>
      </c>
      <c r="H9" s="11" t="n">
        <v>30</v>
      </c>
    </row>
    <row r="10">
      <c r="A10" s="5" t="inlineStr">
        <is>
          <t>Total Duration (Days):</t>
        </is>
      </c>
      <c r="B10" s="13">
        <f>IF(ISNUMBER(B9),B9-B4+1,"")</f>
        <v/>
      </c>
      <c r="D10" s="5" t="inlineStr">
        <is>
          <t>Sailing:</t>
        </is>
      </c>
      <c r="E10" s="7" t="n">
        <v>1</v>
      </c>
      <c r="G10" s="5" t="inlineStr">
        <is>
          <t>🔧 LCT Maint. Start:</t>
        </is>
      </c>
      <c r="H10" s="6" t="n">
        <v>46063</v>
      </c>
    </row>
    <row r="11">
      <c r="A11" s="5" t="inlineStr">
        <is>
          <t>Status vs Target:</t>
        </is>
      </c>
      <c r="B11" s="13">
        <f>IF(ISNUMBER(B9),IF(B9&lt;=B5,"On Target","Delayed"),"")</f>
        <v/>
      </c>
      <c r="D11" s="5" t="inlineStr">
        <is>
          <t>AGI Unload:</t>
        </is>
      </c>
      <c r="E11" s="7" t="n">
        <v>1</v>
      </c>
      <c r="G11" s="5" t="inlineStr">
        <is>
          <t>🔧 LCT Maint. End:</t>
        </is>
      </c>
      <c r="H11" s="6" t="n">
        <v>46067</v>
      </c>
    </row>
    <row r="12">
      <c r="A12" s="5" t="inlineStr">
        <is>
          <t>Remaining Days:</t>
        </is>
      </c>
      <c r="B12" s="13">
        <f>IF(ISNUMBER(B9),B5-B9,"")</f>
        <v/>
      </c>
      <c r="D12" s="5" t="inlineStr">
        <is>
          <t>Turning:</t>
        </is>
      </c>
      <c r="E12" s="7" t="n">
        <v>3</v>
      </c>
    </row>
    <row r="13">
      <c r="D13" s="5" t="inlineStr">
        <is>
          <t>Jack-down:</t>
        </is>
      </c>
      <c r="E13" s="7" t="n">
        <v>1</v>
      </c>
    </row>
    <row r="14">
      <c r="D14" s="5" t="inlineStr">
        <is>
          <t>Return:</t>
        </is>
      </c>
      <c r="E14" s="7" t="n">
        <v>1</v>
      </c>
    </row>
    <row r="15">
      <c r="A15" s="3" t="inlineStr">
        <is>
          <t>🔘 VBA Macros (Alt+F8)</t>
        </is>
      </c>
      <c r="D15" s="5" t="inlineStr">
        <is>
          <t>Buffer:</t>
        </is>
      </c>
      <c r="E15" s="7" t="n">
        <v>0.5</v>
      </c>
    </row>
    <row r="16">
      <c r="A16" s="14" t="inlineStr">
        <is>
          <t>▶ UpdateAllScenarios - Batch update (Option A/B + Compare)</t>
        </is>
      </c>
    </row>
    <row r="17">
      <c r="A17" s="14" t="inlineStr">
        <is>
          <t>▶ RefreshAllGanttCharts - Refresh both Gantt charts</t>
        </is>
      </c>
    </row>
    <row r="18">
      <c r="A18" s="14" t="inlineStr">
        <is>
          <t>▶ RefreshGanttChart_Option_A - Refresh Option A Gantt</t>
        </is>
      </c>
    </row>
    <row r="19">
      <c r="A19" s="14" t="inlineStr">
        <is>
          <t>▶ RefreshGanttChart_Option_B - Refresh Option B Gantt</t>
        </is>
      </c>
    </row>
    <row r="20">
      <c r="A20" s="14" t="inlineStr">
        <is>
          <t>▶ RefreshTideData - Highlight Tide Data</t>
        </is>
      </c>
    </row>
    <row r="21">
      <c r="A21" s="14" t="inlineStr">
        <is>
          <t>▶ GenerateReport - Show End Dates (A/B)</t>
        </is>
      </c>
    </row>
    <row r="22">
      <c r="A22" s="14" t="inlineStr">
        <is>
          <t>▶ ExportToPDF - Export key sheets to PDF</t>
        </is>
      </c>
    </row>
    <row r="23">
      <c r="A23" s="14" t="inlineStr">
        <is>
          <t>▶ CheckShamalRisk - Check Shamal Risk (A/B)</t>
        </is>
      </c>
    </row>
    <row r="24">
      <c r="A24" s="14" t="inlineStr">
        <is>
          <t>▶ ShowControlPanelSettings - Show current settings</t>
        </is>
      </c>
    </row>
    <row r="25">
      <c r="A25" s="14" t="inlineStr">
        <is>
          <t>▶ ResetAppState - Restore Excel state (Events/Calc)</t>
        </is>
      </c>
    </row>
  </sheetData>
  <mergeCells count="2">
    <mergeCell ref="A2:H2"/>
    <mergeCell ref="A1:H1"/>
  </mergeCells>
  <dataValidations count="1">
    <dataValidation sqref="B6" showDropDown="0" showInputMessage="0" showErrorMessage="0" allowBlank="1" errorTitle="Invalid Voyage Pattern" error="Invalid voyage pattern selected" type="list">
      <formula1>"1x1x1x1x1x1x1,1-2-2-2,2-2-2-1"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130"/>
  <sheetViews>
    <sheetView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45" customWidth="1" min="4" max="4"/>
    <col width="14" customWidth="1" min="5" max="5"/>
    <col width="14" customWidth="1" min="6" max="6"/>
    <col width="12" customWidth="1" min="7" max="7"/>
    <col width="12" customWidth="1" min="8" max="8"/>
    <col width="10" customWidth="1" min="9" max="9"/>
    <col width="40" customWidth="1" min="10" max="10"/>
  </cols>
  <sheetData>
    <row r="1">
      <c r="A1" s="1" t="inlineStr">
        <is>
          <t>AGI TR Transportation - Option_A Schedule</t>
        </is>
      </c>
    </row>
    <row r="2">
      <c r="A2" s="15" t="inlineStr">
        <is>
          <t>Start = 2026-01-26 | Auto-Updates from Control_Panel</t>
        </is>
      </c>
    </row>
    <row r="3">
      <c r="A3" s="16" t="inlineStr">
        <is>
          <t>⚠️ Winter Shamal Risk Period: Jan 15-Apr 30, 2026 | Tide ≥1.90m + Weather Gate</t>
        </is>
      </c>
    </row>
    <row r="5">
      <c r="A5" s="17" t="inlineStr">
        <is>
          <t>Type A</t>
        </is>
      </c>
      <c r="B5" s="17" t="inlineStr">
        <is>
          <t>Type B</t>
        </is>
      </c>
      <c r="C5" s="17" t="inlineStr">
        <is>
          <t>Activity ID</t>
        </is>
      </c>
      <c r="D5" s="17" t="inlineStr">
        <is>
          <t>Activity Name</t>
        </is>
      </c>
      <c r="E5" s="17" t="inlineStr">
        <is>
          <t>Phase</t>
        </is>
      </c>
      <c r="F5" s="17" t="inlineStr">
        <is>
          <t>Owner</t>
        </is>
      </c>
      <c r="G5" s="17" t="inlineStr">
        <is>
          <t>Start</t>
        </is>
      </c>
      <c r="H5" s="17" t="inlineStr">
        <is>
          <t>End</t>
        </is>
      </c>
      <c r="I5" s="17" t="inlineStr">
        <is>
          <t>Duration</t>
        </is>
      </c>
      <c r="J5" s="17" t="inlineStr">
        <is>
          <t>Notes</t>
        </is>
      </c>
    </row>
    <row r="6">
      <c r="A6" s="18" t="inlineStr">
        <is>
          <t>MOBILIZATION</t>
        </is>
      </c>
      <c r="B6" s="18" t="inlineStr"/>
      <c r="C6" s="18" t="inlineStr"/>
      <c r="D6" s="18" t="inlineStr">
        <is>
          <t>MOBILIZATION</t>
        </is>
      </c>
      <c r="E6" s="19" t="inlineStr">
        <is>
          <t>MOBILIZATION</t>
        </is>
      </c>
      <c r="F6" s="18" t="inlineStr">
        <is>
          <t>All</t>
        </is>
      </c>
      <c r="G6" s="20">
        <f>PROJECT_START+0</f>
        <v/>
      </c>
      <c r="H6" s="20">
        <f>G6+I6</f>
        <v/>
      </c>
      <c r="I6" s="18" t="n">
        <v>0</v>
      </c>
      <c r="J6" s="18" t="inlineStr"/>
    </row>
    <row r="7">
      <c r="A7" s="18" t="inlineStr">
        <is>
          <t>MOBILIZATION</t>
        </is>
      </c>
      <c r="B7" s="18" t="inlineStr">
        <is>
          <t>SPMT</t>
        </is>
      </c>
      <c r="C7" s="18" t="inlineStr"/>
      <c r="D7" s="18" t="inlineStr">
        <is>
          <t>SPMT</t>
        </is>
      </c>
      <c r="E7" s="21" t="inlineStr">
        <is>
          <t>BUFFER</t>
        </is>
      </c>
      <c r="F7" s="18" t="inlineStr">
        <is>
          <t>All</t>
        </is>
      </c>
      <c r="G7" s="20">
        <f>PROJECT_START+0</f>
        <v/>
      </c>
      <c r="H7" s="20">
        <f>G7+I7</f>
        <v/>
      </c>
      <c r="I7" s="18" t="n">
        <v>0</v>
      </c>
      <c r="J7" s="18" t="inlineStr"/>
    </row>
    <row r="8">
      <c r="A8" s="18" t="inlineStr">
        <is>
          <t>MOBILIZATION</t>
        </is>
      </c>
      <c r="B8" s="18" t="inlineStr">
        <is>
          <t>SPMT</t>
        </is>
      </c>
      <c r="C8" s="18" t="inlineStr">
        <is>
          <t>A1000</t>
        </is>
      </c>
      <c r="D8" s="18" t="inlineStr">
        <is>
          <t>Mobilization of 1st set of SPMT; Asembly + Function Test</t>
        </is>
      </c>
      <c r="E8" s="19" t="inlineStr">
        <is>
          <t>MOBILIZATION</t>
        </is>
      </c>
      <c r="F8" s="18" t="inlineStr">
        <is>
          <t>All</t>
        </is>
      </c>
      <c r="G8" s="20">
        <f>PROJECT_START+0</f>
        <v/>
      </c>
      <c r="H8" s="20">
        <f>G8+I8</f>
        <v/>
      </c>
      <c r="I8" s="18">
        <f>DUR_MOB</f>
        <v/>
      </c>
      <c r="J8" s="18" t="inlineStr"/>
    </row>
    <row r="9">
      <c r="A9" s="18" t="inlineStr">
        <is>
          <t>MOBILIZATION</t>
        </is>
      </c>
      <c r="B9" s="18" t="inlineStr">
        <is>
          <t>SPMT</t>
        </is>
      </c>
      <c r="C9" s="18" t="inlineStr">
        <is>
          <t>A1010</t>
        </is>
      </c>
      <c r="D9" s="18" t="inlineStr">
        <is>
          <t>Mobilization of 2nd set of SPMT; Assembly + Function test</t>
        </is>
      </c>
      <c r="E9" s="19" t="inlineStr">
        <is>
          <t>MOBILIZATION</t>
        </is>
      </c>
      <c r="F9" s="18" t="inlineStr">
        <is>
          <t>All</t>
        </is>
      </c>
      <c r="G9" s="20">
        <f>PROJECT_START+9</f>
        <v/>
      </c>
      <c r="H9" s="20">
        <f>G9+I9</f>
        <v/>
      </c>
      <c r="I9" s="18">
        <f>DUR_MOB</f>
        <v/>
      </c>
      <c r="J9" s="18" t="inlineStr"/>
    </row>
    <row r="10">
      <c r="A10" s="18" t="inlineStr">
        <is>
          <t>MOBILIZATION</t>
        </is>
      </c>
      <c r="B10" s="18" t="inlineStr">
        <is>
          <t>MARINE</t>
        </is>
      </c>
      <c r="C10" s="18" t="inlineStr"/>
      <c r="D10" s="18" t="inlineStr">
        <is>
          <t>MARINE</t>
        </is>
      </c>
      <c r="E10" s="21" t="inlineStr">
        <is>
          <t>BUFFER</t>
        </is>
      </c>
      <c r="F10" s="18" t="inlineStr">
        <is>
          <t>All</t>
        </is>
      </c>
      <c r="G10" s="20">
        <f>PROJECT_START+0</f>
        <v/>
      </c>
      <c r="H10" s="20">
        <f>G10+I10</f>
        <v/>
      </c>
      <c r="I10" s="18" t="n">
        <v>0</v>
      </c>
      <c r="J10" s="18" t="inlineStr"/>
    </row>
    <row r="11">
      <c r="A11" s="18" t="inlineStr">
        <is>
          <t>MOBILIZATION</t>
        </is>
      </c>
      <c r="B11" s="18" t="inlineStr">
        <is>
          <t>MARINE</t>
        </is>
      </c>
      <c r="C11" s="18" t="inlineStr">
        <is>
          <t>A1001</t>
        </is>
      </c>
      <c r="D11" s="18" t="inlineStr">
        <is>
          <t>Mobilization of Marine Equipment and Steelworks</t>
        </is>
      </c>
      <c r="E11" s="19" t="inlineStr">
        <is>
          <t>MOBILIZATION</t>
        </is>
      </c>
      <c r="F11" s="18" t="inlineStr">
        <is>
          <t>All</t>
        </is>
      </c>
      <c r="G11" s="20">
        <f>PROJECT_START+0</f>
        <v/>
      </c>
      <c r="H11" s="20">
        <f>G11+I11</f>
        <v/>
      </c>
      <c r="I11" s="18">
        <f>DUR_BUF</f>
        <v/>
      </c>
      <c r="J11" s="18" t="inlineStr"/>
    </row>
    <row r="12">
      <c r="A12" s="18" t="inlineStr">
        <is>
          <t>MOBILIZATION</t>
        </is>
      </c>
      <c r="B12" s="18" t="inlineStr">
        <is>
          <t>JACKING EQUIPMENT, STEEL BRIDGE</t>
        </is>
      </c>
      <c r="C12" s="18" t="inlineStr"/>
      <c r="D12" s="18" t="inlineStr">
        <is>
          <t>JACKING EQUIPMENT, STEEL BRIDGE</t>
        </is>
      </c>
      <c r="E12" s="21" t="inlineStr">
        <is>
          <t>BUFFER</t>
        </is>
      </c>
      <c r="F12" s="18" t="inlineStr">
        <is>
          <t>All</t>
        </is>
      </c>
      <c r="G12" s="20">
        <f>PROJECT_START+3</f>
        <v/>
      </c>
      <c r="H12" s="20">
        <f>G12+I12</f>
        <v/>
      </c>
      <c r="I12" s="18" t="n">
        <v>0</v>
      </c>
      <c r="J12" s="18" t="inlineStr"/>
    </row>
    <row r="13">
      <c r="A13" s="18" t="inlineStr">
        <is>
          <t>MOBILIZATION</t>
        </is>
      </c>
      <c r="B13" s="18" t="inlineStr">
        <is>
          <t>JACKING EQUIPMENT, STEEL BRIDGE</t>
        </is>
      </c>
      <c r="C13" s="18" t="inlineStr">
        <is>
          <t>A2010</t>
        </is>
      </c>
      <c r="D13" s="18" t="inlineStr">
        <is>
          <t>Mobilization of Jacking Equipment and Steel bridge (prior LCT's arrival to AGI with TR 1&amp;2!))</t>
        </is>
      </c>
      <c r="E13" s="19" t="inlineStr">
        <is>
          <t>MOBILIZATION</t>
        </is>
      </c>
      <c r="F13" s="18" t="inlineStr">
        <is>
          <t>All</t>
        </is>
      </c>
      <c r="G13" s="20">
        <f>PROJECT_START+3</f>
        <v/>
      </c>
      <c r="H13" s="20">
        <f>G13+I13</f>
        <v/>
      </c>
      <c r="I13" s="18">
        <f>DUR_MOB</f>
        <v/>
      </c>
      <c r="J13" s="18" t="inlineStr"/>
    </row>
    <row r="14">
      <c r="A14" s="18" t="inlineStr">
        <is>
          <t>DEMOBILIZATION</t>
        </is>
      </c>
      <c r="B14" s="18" t="inlineStr"/>
      <c r="C14" s="18" t="inlineStr"/>
      <c r="D14" s="18" t="inlineStr">
        <is>
          <t>DEMOBILIZATION</t>
        </is>
      </c>
      <c r="E14" s="19" t="inlineStr">
        <is>
          <t>MOBILIZATION</t>
        </is>
      </c>
      <c r="F14" s="18" t="inlineStr">
        <is>
          <t>All</t>
        </is>
      </c>
      <c r="G14" s="20">
        <f>PROJECT_START+32</f>
        <v/>
      </c>
      <c r="H14" s="20">
        <f>G14+I14</f>
        <v/>
      </c>
      <c r="I14" s="18" t="n">
        <v>0</v>
      </c>
      <c r="J14" s="18" t="inlineStr"/>
    </row>
    <row r="15">
      <c r="A15" s="18" t="inlineStr">
        <is>
          <t>DEMOBILIZATION</t>
        </is>
      </c>
      <c r="B15" s="18" t="inlineStr">
        <is>
          <t>SPMT</t>
        </is>
      </c>
      <c r="C15" s="18" t="inlineStr"/>
      <c r="D15" s="18" t="inlineStr">
        <is>
          <t>SPMT</t>
        </is>
      </c>
      <c r="E15" s="21" t="inlineStr">
        <is>
          <t>BUFFER</t>
        </is>
      </c>
      <c r="F15" s="18" t="inlineStr">
        <is>
          <t>All</t>
        </is>
      </c>
      <c r="G15" s="20">
        <f>PROJECT_START+32</f>
        <v/>
      </c>
      <c r="H15" s="20">
        <f>G15+I15</f>
        <v/>
      </c>
      <c r="I15" s="18" t="n">
        <v>0</v>
      </c>
      <c r="J15" s="18" t="inlineStr"/>
    </row>
    <row r="16">
      <c r="A16" s="18" t="inlineStr">
        <is>
          <t>DEMOBILIZATION</t>
        </is>
      </c>
      <c r="B16" s="18" t="inlineStr">
        <is>
          <t>SPMT</t>
        </is>
      </c>
      <c r="C16" s="18" t="inlineStr">
        <is>
          <t>A1980</t>
        </is>
      </c>
      <c r="D16" s="18" t="inlineStr">
        <is>
          <t>Demobilization of 2nd set of SPMT</t>
        </is>
      </c>
      <c r="E16" s="19" t="inlineStr">
        <is>
          <t>MOBILIZATION</t>
        </is>
      </c>
      <c r="F16" s="18" t="inlineStr">
        <is>
          <t>All</t>
        </is>
      </c>
      <c r="G16" s="20">
        <f>PROJECT_START+32</f>
        <v/>
      </c>
      <c r="H16" s="20">
        <f>G16+I16</f>
        <v/>
      </c>
      <c r="I16" s="18">
        <f>DUR_MOB</f>
        <v/>
      </c>
      <c r="J16" s="18" t="inlineStr"/>
    </row>
    <row r="17">
      <c r="A17" s="18" t="inlineStr">
        <is>
          <t>DEMOBILIZATION</t>
        </is>
      </c>
      <c r="B17" s="18" t="inlineStr">
        <is>
          <t>SPMT</t>
        </is>
      </c>
      <c r="C17" s="18" t="inlineStr">
        <is>
          <t>A1990</t>
        </is>
      </c>
      <c r="D17" s="18" t="inlineStr">
        <is>
          <t>Demobilization of 1st set of SPMT</t>
        </is>
      </c>
      <c r="E17" s="19" t="inlineStr">
        <is>
          <t>MOBILIZATION</t>
        </is>
      </c>
      <c r="F17" s="18" t="inlineStr">
        <is>
          <t>All</t>
        </is>
      </c>
      <c r="G17" s="20">
        <f>PROJECT_START+39</f>
        <v/>
      </c>
      <c r="H17" s="20">
        <f>G17+I17</f>
        <v/>
      </c>
      <c r="I17" s="18">
        <f>DUR_MOB</f>
        <v/>
      </c>
      <c r="J17" s="18" t="inlineStr"/>
    </row>
    <row r="18">
      <c r="A18" s="18" t="inlineStr">
        <is>
          <t>DEMOBILIZATION</t>
        </is>
      </c>
      <c r="B18" s="18" t="inlineStr">
        <is>
          <t>MARINE</t>
        </is>
      </c>
      <c r="C18" s="18" t="inlineStr"/>
      <c r="D18" s="18" t="inlineStr">
        <is>
          <t>MARINE</t>
        </is>
      </c>
      <c r="E18" s="21" t="inlineStr">
        <is>
          <t>BUFFER</t>
        </is>
      </c>
      <c r="F18" s="18" t="inlineStr">
        <is>
          <t>All</t>
        </is>
      </c>
      <c r="G18" s="20">
        <f>PROJECT_START+41</f>
        <v/>
      </c>
      <c r="H18" s="20">
        <f>G18+I18</f>
        <v/>
      </c>
      <c r="I18" s="18" t="n">
        <v>0</v>
      </c>
      <c r="J18" s="18" t="inlineStr"/>
    </row>
    <row r="19">
      <c r="A19" s="18" t="inlineStr">
        <is>
          <t>DEMOBILIZATION</t>
        </is>
      </c>
      <c r="B19" s="18" t="inlineStr">
        <is>
          <t>MARINE</t>
        </is>
      </c>
      <c r="C19" s="18" t="inlineStr">
        <is>
          <t>A2000</t>
        </is>
      </c>
      <c r="D19" s="18" t="inlineStr">
        <is>
          <t>Demobilization of Marine Equipment and Steelworks</t>
        </is>
      </c>
      <c r="E19" s="19" t="inlineStr">
        <is>
          <t>MOBILIZATION</t>
        </is>
      </c>
      <c r="F19" s="18" t="inlineStr">
        <is>
          <t>All</t>
        </is>
      </c>
      <c r="G19" s="20">
        <f>PROJECT_START+41</f>
        <v/>
      </c>
      <c r="H19" s="20">
        <f>G19+I19</f>
        <v/>
      </c>
      <c r="I19" s="18">
        <f>DUR_MOB</f>
        <v/>
      </c>
      <c r="J19" s="18" t="inlineStr"/>
    </row>
    <row r="20">
      <c r="A20" s="18" t="inlineStr">
        <is>
          <t>DEMOBILIZATION</t>
        </is>
      </c>
      <c r="B20" s="18" t="inlineStr">
        <is>
          <t>JACKING EQUIPMENT, STEEL BRIDGE</t>
        </is>
      </c>
      <c r="C20" s="18" t="inlineStr"/>
      <c r="D20" s="18" t="inlineStr">
        <is>
          <t>JACKING EQUIPMENT, STEEL BRIDGE</t>
        </is>
      </c>
      <c r="E20" s="21" t="inlineStr">
        <is>
          <t>BUFFER</t>
        </is>
      </c>
      <c r="F20" s="18" t="inlineStr">
        <is>
          <t>All</t>
        </is>
      </c>
      <c r="G20" s="20">
        <f>PROJECT_START+41</f>
        <v/>
      </c>
      <c r="H20" s="20">
        <f>G20+I20</f>
        <v/>
      </c>
      <c r="I20" s="18" t="n">
        <v>0</v>
      </c>
      <c r="J20" s="18" t="inlineStr"/>
    </row>
    <row r="21">
      <c r="A21" s="18" t="inlineStr">
        <is>
          <t>DEMOBILIZATION</t>
        </is>
      </c>
      <c r="B21" s="18" t="inlineStr">
        <is>
          <t>JACKING EQUIPMENT, STEEL BRIDGE</t>
        </is>
      </c>
      <c r="C21" s="18" t="inlineStr">
        <is>
          <t>A2020</t>
        </is>
      </c>
      <c r="D21" s="18" t="inlineStr">
        <is>
          <t>Demobilization of Jacking Equipment and Steel bridge</t>
        </is>
      </c>
      <c r="E21" s="19" t="inlineStr">
        <is>
          <t>MOBILIZATION</t>
        </is>
      </c>
      <c r="F21" s="18" t="inlineStr">
        <is>
          <t>All</t>
        </is>
      </c>
      <c r="G21" s="20">
        <f>PROJECT_START+41</f>
        <v/>
      </c>
      <c r="H21" s="20">
        <f>G21+I21</f>
        <v/>
      </c>
      <c r="I21" s="18">
        <f>DUR_MOB</f>
        <v/>
      </c>
      <c r="J21" s="18" t="inlineStr"/>
    </row>
    <row r="22">
      <c r="A22" s="18" t="inlineStr">
        <is>
          <t>OPERATIONAL</t>
        </is>
      </c>
      <c r="B22" s="18" t="inlineStr"/>
      <c r="C22" s="18" t="inlineStr"/>
      <c r="D22" s="18" t="inlineStr">
        <is>
          <t>OPERATIONAL</t>
        </is>
      </c>
      <c r="E22" s="21" t="inlineStr">
        <is>
          <t>BUFFER</t>
        </is>
      </c>
      <c r="F22" s="18" t="inlineStr">
        <is>
          <t>All</t>
        </is>
      </c>
      <c r="G22" s="20">
        <f>PROJECT_START+1</f>
        <v/>
      </c>
      <c r="H22" s="20">
        <f>G22+I22</f>
        <v/>
      </c>
      <c r="I22" s="18" t="n">
        <v>0</v>
      </c>
      <c r="J22" s="18" t="inlineStr"/>
    </row>
    <row r="23">
      <c r="A23" s="18" t="inlineStr">
        <is>
          <t>OPERATIONAL</t>
        </is>
      </c>
      <c r="B23" s="18" t="inlineStr">
        <is>
          <t>Beam Replacement</t>
        </is>
      </c>
      <c r="C23" s="18" t="inlineStr"/>
      <c r="D23" s="18" t="inlineStr">
        <is>
          <t>Beam Replacement</t>
        </is>
      </c>
      <c r="E23" s="21" t="inlineStr">
        <is>
          <t>BUFFER</t>
        </is>
      </c>
      <c r="F23" s="18" t="inlineStr">
        <is>
          <t>All</t>
        </is>
      </c>
      <c r="G23" s="20">
        <f>PROJECT_START+1</f>
        <v/>
      </c>
      <c r="H23" s="20">
        <f>G23+I23</f>
        <v/>
      </c>
      <c r="I23" s="18" t="n">
        <v>0</v>
      </c>
      <c r="J23" s="18" t="inlineStr"/>
    </row>
    <row r="24">
      <c r="A24" s="18" t="inlineStr">
        <is>
          <t>OPERATIONAL</t>
        </is>
      </c>
      <c r="B24" s="18" t="inlineStr">
        <is>
          <t>Beam Replacement</t>
        </is>
      </c>
      <c r="C24" s="18" t="inlineStr">
        <is>
          <t>A1002</t>
        </is>
      </c>
      <c r="D24" s="18" t="inlineStr">
        <is>
          <t>Beam Replacement AGI TR Unit 1 (TR Bay 4) - Two 5t forklifts required</t>
        </is>
      </c>
      <c r="E24" s="21" t="inlineStr">
        <is>
          <t>BUFFER</t>
        </is>
      </c>
      <c r="F24" s="18" t="inlineStr">
        <is>
          <t>All</t>
        </is>
      </c>
      <c r="G24" s="20">
        <f>PROJECT_START+1</f>
        <v/>
      </c>
      <c r="H24" s="20">
        <f>G24+I24</f>
        <v/>
      </c>
      <c r="I24" s="18">
        <f>DUR_BUF</f>
        <v/>
      </c>
      <c r="J24" s="18" t="inlineStr"/>
    </row>
    <row r="25">
      <c r="A25" s="18" t="inlineStr">
        <is>
          <t>OPERATIONAL</t>
        </is>
      </c>
      <c r="B25" s="18" t="inlineStr">
        <is>
          <t>Beam Replacement</t>
        </is>
      </c>
      <c r="C25" s="18" t="inlineStr">
        <is>
          <t>A1003</t>
        </is>
      </c>
      <c r="D25" s="18" t="inlineStr">
        <is>
          <t>Beam Replacement AGI TR Unit 2 (TR Bay 3) - Two 5t forklifts required</t>
        </is>
      </c>
      <c r="E25" s="21" t="inlineStr">
        <is>
          <t>BUFFER</t>
        </is>
      </c>
      <c r="F25" s="18" t="inlineStr">
        <is>
          <t>All</t>
        </is>
      </c>
      <c r="G25" s="20">
        <f>PROJECT_START+2</f>
        <v/>
      </c>
      <c r="H25" s="20">
        <f>G25+I25</f>
        <v/>
      </c>
      <c r="I25" s="18">
        <f>DUR_BUF</f>
        <v/>
      </c>
      <c r="J25" s="18" t="inlineStr"/>
    </row>
    <row r="26">
      <c r="A26" s="18" t="inlineStr">
        <is>
          <t>OPERATIONAL</t>
        </is>
      </c>
      <c r="B26" s="18" t="inlineStr">
        <is>
          <t>Beam Replacement</t>
        </is>
      </c>
      <c r="C26" s="18" t="inlineStr">
        <is>
          <t>A1013</t>
        </is>
      </c>
      <c r="D26" s="18" t="inlineStr">
        <is>
          <t>Beam Replacement AGI TR Unit 3 (TR Bay 2) - Two 5t forklifts required</t>
        </is>
      </c>
      <c r="E26" s="21" t="inlineStr">
        <is>
          <t>BUFFER</t>
        </is>
      </c>
      <c r="F26" s="18" t="inlineStr">
        <is>
          <t>All</t>
        </is>
      </c>
      <c r="G26" s="20">
        <f>PROJECT_START+10</f>
        <v/>
      </c>
      <c r="H26" s="20">
        <f>G26+I26</f>
        <v/>
      </c>
      <c r="I26" s="18">
        <f>DUR_BUF</f>
        <v/>
      </c>
      <c r="J26" s="18" t="inlineStr"/>
    </row>
    <row r="27">
      <c r="A27" s="18" t="inlineStr">
        <is>
          <t>OPERATIONAL</t>
        </is>
      </c>
      <c r="B27" s="18" t="inlineStr">
        <is>
          <t>Beam Replacement</t>
        </is>
      </c>
      <c r="C27" s="18" t="inlineStr">
        <is>
          <t>A1023</t>
        </is>
      </c>
      <c r="D27" s="18" t="inlineStr">
        <is>
          <t>Beam Replacement AGI TR Unit 4 (TR Bay 1) - Two 5t forklifts required</t>
        </is>
      </c>
      <c r="E27" s="21" t="inlineStr">
        <is>
          <t>BUFFER</t>
        </is>
      </c>
      <c r="F27" s="18" t="inlineStr">
        <is>
          <t>All</t>
        </is>
      </c>
      <c r="G27" s="20">
        <f>PROJECT_START+11</f>
        <v/>
      </c>
      <c r="H27" s="20">
        <f>G27+I27</f>
        <v/>
      </c>
      <c r="I27" s="18">
        <f>DUR_BUF</f>
        <v/>
      </c>
      <c r="J27" s="18" t="inlineStr"/>
    </row>
    <row r="28">
      <c r="A28" s="18" t="inlineStr">
        <is>
          <t>OPERATIONAL</t>
        </is>
      </c>
      <c r="B28" s="18" t="inlineStr">
        <is>
          <t>Beam Replacement</t>
        </is>
      </c>
      <c r="C28" s="18" t="inlineStr">
        <is>
          <t>A1033</t>
        </is>
      </c>
      <c r="D28" s="18" t="inlineStr">
        <is>
          <t>Beam Replacement AGI TR Unit 5 (TR Bay 5) - Two 5t forklifts required</t>
        </is>
      </c>
      <c r="E28" s="21" t="inlineStr">
        <is>
          <t>BUFFER</t>
        </is>
      </c>
      <c r="F28" s="18" t="inlineStr">
        <is>
          <t>All</t>
        </is>
      </c>
      <c r="G28" s="20">
        <f>PROJECT_START+20</f>
        <v/>
      </c>
      <c r="H28" s="20">
        <f>G28+I28</f>
        <v/>
      </c>
      <c r="I28" s="18">
        <f>DUR_BUF</f>
        <v/>
      </c>
      <c r="J28" s="18" t="inlineStr"/>
    </row>
    <row r="29">
      <c r="A29" s="18" t="inlineStr">
        <is>
          <t>OPERATIONAL</t>
        </is>
      </c>
      <c r="B29" s="18" t="inlineStr">
        <is>
          <t>Beam Replacement</t>
        </is>
      </c>
      <c r="C29" s="18" t="inlineStr">
        <is>
          <t>A1043</t>
        </is>
      </c>
      <c r="D29" s="18" t="inlineStr">
        <is>
          <t>Beam Replacement AGI TR Unit 6 (TR Bay 6) - Two 5t forklifts required</t>
        </is>
      </c>
      <c r="E29" s="21" t="inlineStr">
        <is>
          <t>BUFFER</t>
        </is>
      </c>
      <c r="F29" s="18" t="inlineStr">
        <is>
          <t>All</t>
        </is>
      </c>
      <c r="G29" s="20">
        <f>PROJECT_START+21</f>
        <v/>
      </c>
      <c r="H29" s="20">
        <f>G29+I29</f>
        <v/>
      </c>
      <c r="I29" s="18">
        <f>DUR_BUF</f>
        <v/>
      </c>
      <c r="J29" s="18" t="inlineStr"/>
    </row>
    <row r="30">
      <c r="A30" s="18" t="inlineStr">
        <is>
          <t>OPERATIONAL</t>
        </is>
      </c>
      <c r="B30" s="18" t="inlineStr">
        <is>
          <t>Beam Replacement</t>
        </is>
      </c>
      <c r="C30" s="18" t="inlineStr">
        <is>
          <t>A1053</t>
        </is>
      </c>
      <c r="D30" s="18" t="inlineStr">
        <is>
          <t>Beam Replacement AGI TR Unit 7 (TR Bay 7) - Two 5t forklifts required</t>
        </is>
      </c>
      <c r="E30" s="21" t="inlineStr">
        <is>
          <t>BUFFER</t>
        </is>
      </c>
      <c r="F30" s="18" t="inlineStr">
        <is>
          <t>All</t>
        </is>
      </c>
      <c r="G30" s="20">
        <f>PROJECT_START+29</f>
        <v/>
      </c>
      <c r="H30" s="20">
        <f>G30+I30</f>
        <v/>
      </c>
      <c r="I30" s="18">
        <f>DUR_BUF</f>
        <v/>
      </c>
      <c r="J30" s="18" t="inlineStr"/>
    </row>
    <row r="31">
      <c r="A31" s="18" t="inlineStr">
        <is>
          <t>OPERATIONAL</t>
        </is>
      </c>
      <c r="B31" s="18" t="inlineStr">
        <is>
          <t>Deck Preparations</t>
        </is>
      </c>
      <c r="C31" s="18" t="inlineStr"/>
      <c r="D31" s="18" t="inlineStr">
        <is>
          <t>Deck Preparations</t>
        </is>
      </c>
      <c r="E31" s="22" t="inlineStr">
        <is>
          <t>DECK_PREP</t>
        </is>
      </c>
      <c r="F31" s="18" t="inlineStr">
        <is>
          <t>All</t>
        </is>
      </c>
      <c r="G31" s="20">
        <f>PROJECT_START+1</f>
        <v/>
      </c>
      <c r="H31" s="20">
        <f>G31+I31</f>
        <v/>
      </c>
      <c r="I31" s="18" t="n">
        <v>0</v>
      </c>
      <c r="J31" s="18" t="inlineStr"/>
    </row>
    <row r="32">
      <c r="A32" s="18" t="inlineStr">
        <is>
          <t>OPERATIONAL</t>
        </is>
      </c>
      <c r="B32" s="18" t="inlineStr">
        <is>
          <t>Deck Preparations</t>
        </is>
      </c>
      <c r="C32" s="18" t="inlineStr">
        <is>
          <t>A1004</t>
        </is>
      </c>
      <c r="D32" s="18" t="inlineStr">
        <is>
          <t>Deck Preparations (D-ring cutting; marking, steel sets installation) - One 5t forklift and Crane required</t>
        </is>
      </c>
      <c r="E32" s="22" t="inlineStr">
        <is>
          <t>DECK_PREP</t>
        </is>
      </c>
      <c r="F32" s="18" t="inlineStr">
        <is>
          <t>All</t>
        </is>
      </c>
      <c r="G32" s="20">
        <f>PROJECT_START+1</f>
        <v/>
      </c>
      <c r="H32" s="20">
        <f>G32+I32</f>
        <v/>
      </c>
      <c r="I32" s="18">
        <f>DUR_BUF</f>
        <v/>
      </c>
      <c r="J32" s="18" t="inlineStr"/>
    </row>
    <row r="33">
      <c r="A33" s="18" t="inlineStr">
        <is>
          <t>OPERATIONAL</t>
        </is>
      </c>
      <c r="B33" s="18" t="inlineStr">
        <is>
          <t>Deck Preparations</t>
        </is>
      </c>
      <c r="C33" s="18" t="inlineStr">
        <is>
          <t>A1005</t>
        </is>
      </c>
      <c r="D33" s="18" t="inlineStr">
        <is>
          <t>Deck Preparations (Steel sets installation, welding) - Crane Required for steel sets installation</t>
        </is>
      </c>
      <c r="E33" s="22" t="inlineStr">
        <is>
          <t>DECK_PREP</t>
        </is>
      </c>
      <c r="F33" s="18" t="inlineStr">
        <is>
          <t>All</t>
        </is>
      </c>
      <c r="G33" s="20">
        <f>PROJECT_START+2</f>
        <v/>
      </c>
      <c r="H33" s="20">
        <f>G33+I33</f>
        <v/>
      </c>
      <c r="I33" s="18">
        <f>DUR_BUF</f>
        <v/>
      </c>
      <c r="J33" s="18" t="inlineStr"/>
    </row>
    <row r="34">
      <c r="A34" s="18" t="inlineStr">
        <is>
          <t>OPERATIONAL</t>
        </is>
      </c>
      <c r="B34" s="18" t="inlineStr">
        <is>
          <t>AGI TR Units 1-2</t>
        </is>
      </c>
      <c r="C34" s="18" t="inlineStr"/>
      <c r="D34" s="18" t="inlineStr">
        <is>
          <t>AGI TR Units 1-2</t>
        </is>
      </c>
      <c r="E34" s="21" t="inlineStr">
        <is>
          <t>BUFFER</t>
        </is>
      </c>
      <c r="F34" s="18" t="inlineStr">
        <is>
          <t>All</t>
        </is>
      </c>
      <c r="G34" s="20">
        <f>PROJECT_START+3</f>
        <v/>
      </c>
      <c r="H34" s="20">
        <f>G34+I34</f>
        <v/>
      </c>
      <c r="I34" s="18" t="n">
        <v>0</v>
      </c>
      <c r="J34" s="18" t="inlineStr"/>
    </row>
    <row r="35">
      <c r="A35" s="18" t="inlineStr">
        <is>
          <t>OPERATIONAL</t>
        </is>
      </c>
      <c r="B35" s="18" t="inlineStr">
        <is>
          <t>AGI TR Units 1-2</t>
        </is>
      </c>
      <c r="C35" s="18" t="inlineStr">
        <is>
          <t>A1030</t>
        </is>
      </c>
      <c r="D35" s="18" t="inlineStr">
        <is>
          <t>Loading of AGI TR Unit 1 on SPMT; lashing; Shifting to Mina Zayed Port RoRo Jetty area</t>
        </is>
      </c>
      <c r="E35" s="21" t="inlineStr">
        <is>
          <t>BUFFER</t>
        </is>
      </c>
      <c r="F35" s="18" t="inlineStr">
        <is>
          <t>All</t>
        </is>
      </c>
      <c r="G35" s="20">
        <f>PROJECT_START+3</f>
        <v/>
      </c>
      <c r="H35" s="20">
        <f>G35+I35</f>
        <v/>
      </c>
      <c r="I35" s="18" t="n">
        <v>0.3</v>
      </c>
      <c r="J35" s="18" t="inlineStr"/>
    </row>
    <row r="36">
      <c r="A36" s="18" t="inlineStr">
        <is>
          <t>OPERATIONAL</t>
        </is>
      </c>
      <c r="B36" s="18" t="inlineStr">
        <is>
          <t>AGI TR Units 1-2</t>
        </is>
      </c>
      <c r="C36" s="18" t="inlineStr">
        <is>
          <t>A1040</t>
        </is>
      </c>
      <c r="D36" s="18" t="inlineStr">
        <is>
          <t>RoRo Ramp Installation - 5t Frokift and Crane required</t>
        </is>
      </c>
      <c r="E36" s="21" t="inlineStr">
        <is>
          <t>BUFFER</t>
        </is>
      </c>
      <c r="F36" s="18" t="inlineStr">
        <is>
          <t>All</t>
        </is>
      </c>
      <c r="G36" s="20">
        <f>PROJECT_START+3</f>
        <v/>
      </c>
      <c r="H36" s="20">
        <f>G36+I36</f>
        <v/>
      </c>
      <c r="I36" s="18" t="n">
        <v>0.3</v>
      </c>
      <c r="J36" s="18" t="inlineStr"/>
    </row>
    <row r="37">
      <c r="A37" s="18" t="inlineStr">
        <is>
          <t>OPERATIONAL</t>
        </is>
      </c>
      <c r="B37" s="18" t="inlineStr">
        <is>
          <t>AGI TR Units 1-2</t>
        </is>
      </c>
      <c r="C37" s="18" t="inlineStr">
        <is>
          <t>A1060</t>
        </is>
      </c>
      <c r="D37" s="18" t="inlineStr">
        <is>
          <t>Load-out of AGL TR Unit 1; stool down (10am-11am)</t>
        </is>
      </c>
      <c r="E37" s="23" t="inlineStr">
        <is>
          <t>LOADOUT</t>
        </is>
      </c>
      <c r="F37" s="18" t="inlineStr">
        <is>
          <t>All</t>
        </is>
      </c>
      <c r="G37" s="20">
        <f>PROJECT_START+3</f>
        <v/>
      </c>
      <c r="H37" s="20">
        <f>G37+I37</f>
        <v/>
      </c>
      <c r="I37" s="18" t="n">
        <v>0.2</v>
      </c>
      <c r="J37" s="18" t="inlineStr"/>
    </row>
    <row r="38">
      <c r="A38" s="18" t="inlineStr">
        <is>
          <t>OPERATIONAL</t>
        </is>
      </c>
      <c r="B38" s="18" t="inlineStr">
        <is>
          <t>AGI TR Units 1-2</t>
        </is>
      </c>
      <c r="C38" s="18" t="inlineStr">
        <is>
          <t>A1070</t>
        </is>
      </c>
      <c r="D38" s="18" t="inlineStr">
        <is>
          <t>RoRo ramp removal; Seafastening AGL TR Unit 1 - Crane required</t>
        </is>
      </c>
      <c r="E38" s="24" t="inlineStr">
        <is>
          <t>SEAFAST</t>
        </is>
      </c>
      <c r="F38" s="18" t="inlineStr">
        <is>
          <t>All</t>
        </is>
      </c>
      <c r="G38" s="20">
        <f>PROJECT_START+3</f>
        <v/>
      </c>
      <c r="H38" s="20">
        <f>G38+I38</f>
        <v/>
      </c>
      <c r="I38" s="18">
        <f>DUR_BUF</f>
        <v/>
      </c>
      <c r="J38" s="18" t="inlineStr"/>
    </row>
    <row r="39">
      <c r="A39" s="18" t="inlineStr">
        <is>
          <t>OPERATIONAL</t>
        </is>
      </c>
      <c r="B39" s="18" t="inlineStr">
        <is>
          <t>AGI TR Units 1-2</t>
        </is>
      </c>
      <c r="C39" s="18" t="inlineStr">
        <is>
          <t>A1071</t>
        </is>
      </c>
      <c r="D39" s="18" t="inlineStr">
        <is>
          <t>Loading of AGI TR Unit 2 on SPMT; lashing</t>
        </is>
      </c>
      <c r="E39" s="21" t="inlineStr">
        <is>
          <t>BUFFER</t>
        </is>
      </c>
      <c r="F39" s="18" t="inlineStr">
        <is>
          <t>All</t>
        </is>
      </c>
      <c r="G39" s="20">
        <f>PROJECT_START+3</f>
        <v/>
      </c>
      <c r="H39" s="20">
        <f>G39+I39</f>
        <v/>
      </c>
      <c r="I39" s="18">
        <f>DUR_BUF</f>
        <v/>
      </c>
      <c r="J39" s="18" t="inlineStr"/>
    </row>
    <row r="40">
      <c r="A40" s="18" t="inlineStr">
        <is>
          <t>OPERATIONAL</t>
        </is>
      </c>
      <c r="B40" s="18" t="inlineStr">
        <is>
          <t>AGI TR Units 1-2</t>
        </is>
      </c>
      <c r="C40" s="18" t="inlineStr">
        <is>
          <t>A1072</t>
        </is>
      </c>
      <c r="D40" s="18" t="inlineStr">
        <is>
          <t>Shifting of AGL TR Unit 2 to Jetty area</t>
        </is>
      </c>
      <c r="E40" s="21" t="inlineStr">
        <is>
          <t>BUFFER</t>
        </is>
      </c>
      <c r="F40" s="18" t="inlineStr">
        <is>
          <t>All</t>
        </is>
      </c>
      <c r="G40" s="20">
        <f>PROJECT_START+4</f>
        <v/>
      </c>
      <c r="H40" s="20">
        <f>G40+I40</f>
        <v/>
      </c>
      <c r="I40" s="18" t="n">
        <v>0.05</v>
      </c>
      <c r="J40" s="18" t="inlineStr"/>
    </row>
    <row r="41">
      <c r="A41" s="18" t="inlineStr">
        <is>
          <t>OPERATIONAL</t>
        </is>
      </c>
      <c r="B41" s="18" t="inlineStr">
        <is>
          <t>AGI TR Units 1-2</t>
        </is>
      </c>
      <c r="C41" s="18" t="inlineStr">
        <is>
          <t>A1073</t>
        </is>
      </c>
      <c r="D41" s="18" t="inlineStr">
        <is>
          <t>RoRo Ramp Installation - Crane required</t>
        </is>
      </c>
      <c r="E41" s="21" t="inlineStr">
        <is>
          <t>BUFFER</t>
        </is>
      </c>
      <c r="F41" s="18" t="inlineStr">
        <is>
          <t>All</t>
        </is>
      </c>
      <c r="G41" s="20">
        <f>PROJECT_START+4</f>
        <v/>
      </c>
      <c r="H41" s="20">
        <f>G41+I41</f>
        <v/>
      </c>
      <c r="I41" s="18" t="n">
        <v>0.3</v>
      </c>
      <c r="J41" s="18" t="inlineStr"/>
    </row>
    <row r="42">
      <c r="A42" s="18" t="inlineStr">
        <is>
          <t>OPERATIONAL</t>
        </is>
      </c>
      <c r="B42" s="18" t="inlineStr">
        <is>
          <t>AGI TR Units 1-2</t>
        </is>
      </c>
      <c r="C42" s="18" t="inlineStr">
        <is>
          <t>A1074</t>
        </is>
      </c>
      <c r="D42" s="18" t="inlineStr">
        <is>
          <t>Load-out of AGI TR Unit 2; stoold down; securing of SPMT (8am-9am)</t>
        </is>
      </c>
      <c r="E42" s="23" t="inlineStr">
        <is>
          <t>LOADOUT</t>
        </is>
      </c>
      <c r="F42" s="18" t="inlineStr">
        <is>
          <t>All</t>
        </is>
      </c>
      <c r="G42" s="20">
        <f>PROJECT_START+4</f>
        <v/>
      </c>
      <c r="H42" s="20">
        <f>G42+I42</f>
        <v/>
      </c>
      <c r="I42" s="18" t="n">
        <v>0.3</v>
      </c>
      <c r="J42" s="18" t="inlineStr"/>
    </row>
    <row r="43">
      <c r="A43" s="18" t="inlineStr">
        <is>
          <t>OPERATIONAL</t>
        </is>
      </c>
      <c r="B43" s="18" t="inlineStr">
        <is>
          <t>AGI TR Units 1-2</t>
        </is>
      </c>
      <c r="C43" s="18" t="inlineStr">
        <is>
          <t>A1075</t>
        </is>
      </c>
      <c r="D43" s="18" t="inlineStr">
        <is>
          <t>Removal of RoRo Ramp; Sea fastening AGI TR Unit 2 - Crane required</t>
        </is>
      </c>
      <c r="E43" s="24" t="inlineStr">
        <is>
          <t>SEAFAST</t>
        </is>
      </c>
      <c r="F43" s="18" t="inlineStr">
        <is>
          <t>All</t>
        </is>
      </c>
      <c r="G43" s="20">
        <f>PROJECT_START+4</f>
        <v/>
      </c>
      <c r="H43" s="20">
        <f>G43+I43</f>
        <v/>
      </c>
      <c r="I43" s="18">
        <f>DUR_BUF</f>
        <v/>
      </c>
      <c r="J43" s="18" t="inlineStr"/>
    </row>
    <row r="44">
      <c r="A44" s="18" t="inlineStr">
        <is>
          <t>OPERATIONAL</t>
        </is>
      </c>
      <c r="B44" s="18" t="inlineStr">
        <is>
          <t>AGI TR Units 1-2</t>
        </is>
      </c>
      <c r="C44" s="18" t="inlineStr">
        <is>
          <t>A1080</t>
        </is>
      </c>
      <c r="D44" s="18" t="inlineStr">
        <is>
          <t>MWS + MPI + Final Preparations</t>
        </is>
      </c>
      <c r="E44" s="21" t="inlineStr">
        <is>
          <t>BUFFER</t>
        </is>
      </c>
      <c r="F44" s="18" t="inlineStr">
        <is>
          <t>All</t>
        </is>
      </c>
      <c r="G44" s="20">
        <f>PROJECT_START+5</f>
        <v/>
      </c>
      <c r="H44" s="20">
        <f>G44+I44</f>
        <v/>
      </c>
      <c r="I44" s="18" t="n">
        <v>0.2</v>
      </c>
      <c r="J44" s="18" t="inlineStr"/>
    </row>
    <row r="45">
      <c r="A45" s="18" t="inlineStr">
        <is>
          <t>OPERATIONAL</t>
        </is>
      </c>
      <c r="B45" s="18" t="inlineStr">
        <is>
          <t>AGI TR Units 1-2</t>
        </is>
      </c>
      <c r="C45" s="18" t="inlineStr">
        <is>
          <t>A1081</t>
        </is>
      </c>
      <c r="D45" s="18" t="inlineStr">
        <is>
          <t>Sail-away - Marine Transportation by LCT to Al Ghallan Island</t>
        </is>
      </c>
      <c r="E45" s="25" t="inlineStr">
        <is>
          <t>SAIL</t>
        </is>
      </c>
      <c r="F45" s="18" t="inlineStr">
        <is>
          <t>All</t>
        </is>
      </c>
      <c r="G45" s="20">
        <f>PROJECT_START+6</f>
        <v/>
      </c>
      <c r="H45" s="20">
        <f>G45+I45</f>
        <v/>
      </c>
      <c r="I45" s="18">
        <f>DUR_SAIL</f>
        <v/>
      </c>
      <c r="J45" s="18" t="inlineStr"/>
    </row>
    <row r="46">
      <c r="A46" s="18" t="inlineStr">
        <is>
          <t>OPERATIONAL</t>
        </is>
      </c>
      <c r="B46" s="18" t="inlineStr">
        <is>
          <t>AGI TR Units 1-2</t>
        </is>
      </c>
      <c r="C46" s="18" t="inlineStr">
        <is>
          <t>A1090</t>
        </is>
      </c>
      <c r="D46" s="18" t="inlineStr">
        <is>
          <t>MMT Crew Mob to AGI; Site Induction; Meeting with Client</t>
        </is>
      </c>
      <c r="E46" s="21" t="inlineStr">
        <is>
          <t>BUFFER</t>
        </is>
      </c>
      <c r="F46" s="18" t="inlineStr">
        <is>
          <t>All</t>
        </is>
      </c>
      <c r="G46" s="20">
        <f>PROJECT_START+7</f>
        <v/>
      </c>
      <c r="H46" s="20">
        <f>G46+I46</f>
        <v/>
      </c>
      <c r="I46" s="18">
        <f>DUR_BUF</f>
        <v/>
      </c>
      <c r="J46" s="18" t="inlineStr"/>
    </row>
    <row r="47">
      <c r="A47" s="18" t="inlineStr">
        <is>
          <t>OPERATIONAL</t>
        </is>
      </c>
      <c r="B47" s="18" t="inlineStr">
        <is>
          <t>AGI TR Units 1-2</t>
        </is>
      </c>
      <c r="C47" s="18" t="inlineStr">
        <is>
          <t>A1091</t>
        </is>
      </c>
      <c r="D47" s="18" t="inlineStr">
        <is>
          <t>LCT Arrival; Berthing at AGL RoRo Jetty</t>
        </is>
      </c>
      <c r="E47" s="26" t="inlineStr">
        <is>
          <t>AGI_UNLOAD</t>
        </is>
      </c>
      <c r="F47" s="18" t="inlineStr">
        <is>
          <t>All</t>
        </is>
      </c>
      <c r="G47" s="20">
        <f>PROJECT_START+7</f>
        <v/>
      </c>
      <c r="H47" s="20">
        <f>G47+I47</f>
        <v/>
      </c>
      <c r="I47" s="18">
        <f>DUR_BUF</f>
        <v/>
      </c>
      <c r="J47" s="18" t="inlineStr"/>
    </row>
    <row r="48">
      <c r="A48" s="18" t="inlineStr">
        <is>
          <t>OPERATIONAL</t>
        </is>
      </c>
      <c r="B48" s="18" t="inlineStr">
        <is>
          <t>AGI TR Units 1-2</t>
        </is>
      </c>
      <c r="C48" s="18" t="inlineStr">
        <is>
          <t>A1100</t>
        </is>
      </c>
      <c r="D48" s="18" t="inlineStr">
        <is>
          <t>Unlashing and cutting; steel sets preparations - Forklift required</t>
        </is>
      </c>
      <c r="E48" s="21" t="inlineStr">
        <is>
          <t>BUFFER</t>
        </is>
      </c>
      <c r="F48" s="18" t="inlineStr">
        <is>
          <t>All</t>
        </is>
      </c>
      <c r="G48" s="20">
        <f>PROJECT_START+7</f>
        <v/>
      </c>
      <c r="H48" s="20">
        <f>G48+I48</f>
        <v/>
      </c>
      <c r="I48" s="18">
        <f>DUR_BUF</f>
        <v/>
      </c>
      <c r="J48" s="18" t="inlineStr"/>
    </row>
    <row r="49">
      <c r="A49" s="18" t="inlineStr">
        <is>
          <t>OPERATIONAL</t>
        </is>
      </c>
      <c r="B49" s="18" t="inlineStr">
        <is>
          <t>AGI TR Units 1-2</t>
        </is>
      </c>
      <c r="C49" s="18" t="inlineStr">
        <is>
          <t>A1110</t>
        </is>
      </c>
      <c r="D49" s="18" t="inlineStr">
        <is>
          <t>Load-in of AGI TR Unit 2 (including RoRo Ramp Installation); store on Jetty - Crane required</t>
        </is>
      </c>
      <c r="E49" s="23" t="inlineStr">
        <is>
          <t>LOADOUT</t>
        </is>
      </c>
      <c r="F49" s="18" t="inlineStr">
        <is>
          <t>All</t>
        </is>
      </c>
      <c r="G49" s="20">
        <f>PROJECT_START+8</f>
        <v/>
      </c>
      <c r="H49" s="20">
        <f>G49+I49</f>
        <v/>
      </c>
      <c r="I49" s="18">
        <f>DUR_UL</f>
        <v/>
      </c>
      <c r="J49" s="18" t="inlineStr"/>
    </row>
    <row r="50">
      <c r="A50" s="18" t="inlineStr">
        <is>
          <t>OPERATIONAL</t>
        </is>
      </c>
      <c r="B50" s="18" t="inlineStr">
        <is>
          <t>AGI TR Units 1-2</t>
        </is>
      </c>
      <c r="C50" s="18" t="inlineStr">
        <is>
          <t>A1120</t>
        </is>
      </c>
      <c r="D50" s="18" t="inlineStr">
        <is>
          <t>Load-in of AGI TR Unit 1 (including RoRo Ramp Installation); store on Jetty - Crane required</t>
        </is>
      </c>
      <c r="E50" s="23" t="inlineStr">
        <is>
          <t>LOADOUT</t>
        </is>
      </c>
      <c r="F50" s="18" t="inlineStr">
        <is>
          <t>All</t>
        </is>
      </c>
      <c r="G50" s="20">
        <f>PROJECT_START+9</f>
        <v/>
      </c>
      <c r="H50" s="20">
        <f>G50+I50</f>
        <v/>
      </c>
      <c r="I50" s="18">
        <f>DUR_UL</f>
        <v/>
      </c>
      <c r="J50" s="18" t="inlineStr"/>
    </row>
    <row r="51">
      <c r="A51" s="18" t="inlineStr">
        <is>
          <t>OPERATIONAL</t>
        </is>
      </c>
      <c r="B51" s="18" t="inlineStr">
        <is>
          <t>AGI TR Units 1-2</t>
        </is>
      </c>
      <c r="C51" s="18" t="inlineStr">
        <is>
          <t>A1121</t>
        </is>
      </c>
      <c r="D51" s="18" t="inlineStr">
        <is>
          <t>LCT Sails back to MZP to collect TR Units 3-4</t>
        </is>
      </c>
      <c r="E51" s="25" t="inlineStr">
        <is>
          <t>SAIL</t>
        </is>
      </c>
      <c r="F51" s="18" t="inlineStr">
        <is>
          <t>All</t>
        </is>
      </c>
      <c r="G51" s="20">
        <f>PROJECT_START+10</f>
        <v/>
      </c>
      <c r="H51" s="20">
        <f>G51+I51</f>
        <v/>
      </c>
      <c r="I51" s="18">
        <f>DUR_SAIL</f>
        <v/>
      </c>
      <c r="J51" s="18" t="inlineStr"/>
    </row>
    <row r="52">
      <c r="A52" s="18" t="inlineStr">
        <is>
          <t>OPERATIONAL</t>
        </is>
      </c>
      <c r="B52" s="18" t="inlineStr">
        <is>
          <t>AGI TR Units 1-2</t>
        </is>
      </c>
      <c r="C52" s="18" t="inlineStr">
        <is>
          <t>A1122</t>
        </is>
      </c>
      <c r="D52" s="18" t="inlineStr">
        <is>
          <t>Steel bridge Installation 1 - Crane required</t>
        </is>
      </c>
      <c r="E52" s="21" t="inlineStr">
        <is>
          <t>BUFFER</t>
        </is>
      </c>
      <c r="F52" s="18" t="inlineStr">
        <is>
          <t>All</t>
        </is>
      </c>
      <c r="G52" s="20">
        <f>PROJECT_START+10</f>
        <v/>
      </c>
      <c r="H52" s="20">
        <f>G52+I52</f>
        <v/>
      </c>
      <c r="I52" s="18" t="n">
        <v>0.3</v>
      </c>
      <c r="J52" s="18" t="inlineStr"/>
    </row>
    <row r="53">
      <c r="A53" s="18" t="inlineStr">
        <is>
          <t>OPERATIONAL</t>
        </is>
      </c>
      <c r="B53" s="18" t="inlineStr">
        <is>
          <t>AGI TR Units 1-2</t>
        </is>
      </c>
      <c r="C53" s="18" t="inlineStr">
        <is>
          <t>A1140</t>
        </is>
      </c>
      <c r="D53" s="18" t="inlineStr">
        <is>
          <t>AGL TR Unit 1 (TR Bay 4) load on SPMT; lashing; Transportation and JD (steel set to be delivered to bay area by trailer)</t>
        </is>
      </c>
      <c r="E53" s="21" t="inlineStr">
        <is>
          <t>BUFFER</t>
        </is>
      </c>
      <c r="F53" s="18" t="inlineStr">
        <is>
          <t>All</t>
        </is>
      </c>
      <c r="G53" s="20">
        <f>PROJECT_START+10</f>
        <v/>
      </c>
      <c r="H53" s="20">
        <f>G53+I53</f>
        <v/>
      </c>
      <c r="I53" s="18" t="n">
        <v>0.7</v>
      </c>
      <c r="J53" s="18" t="inlineStr"/>
    </row>
    <row r="54">
      <c r="A54" s="18" t="inlineStr">
        <is>
          <t>OPERATIONAL</t>
        </is>
      </c>
      <c r="B54" s="18" t="inlineStr">
        <is>
          <t>AGI TR Units 1-2</t>
        </is>
      </c>
      <c r="C54" s="18" t="inlineStr">
        <is>
          <t>A1141</t>
        </is>
      </c>
      <c r="D54" s="18" t="inlineStr">
        <is>
          <t>Turning of AGI TR Unit 1 (TR Bay 4) - 10t Forklift required</t>
        </is>
      </c>
      <c r="E54" s="27" t="inlineStr">
        <is>
          <t>TURNING</t>
        </is>
      </c>
      <c r="F54" s="18" t="inlineStr">
        <is>
          <t>All</t>
        </is>
      </c>
      <c r="G54" s="20">
        <f>PROJECT_START+11</f>
        <v/>
      </c>
      <c r="H54" s="20">
        <f>G54+I54</f>
        <v/>
      </c>
      <c r="I54" s="18">
        <f>DUR_TURN</f>
        <v/>
      </c>
      <c r="J54" s="18" t="inlineStr"/>
    </row>
    <row r="55">
      <c r="A55" s="28" t="inlineStr">
        <is>
          <t>OPERATIONAL</t>
        </is>
      </c>
      <c r="B55" s="28" t="inlineStr">
        <is>
          <t>AGI TR Units 1-2</t>
        </is>
      </c>
      <c r="C55" s="28" t="inlineStr">
        <is>
          <t>A1150</t>
        </is>
      </c>
      <c r="D55" s="28" t="inlineStr">
        <is>
          <t>Jacking down of AGI TR Unit 1 (TR Bay 4) on temporary support - Forklift required</t>
        </is>
      </c>
      <c r="E55" s="29" t="inlineStr">
        <is>
          <t>JACKDOWN</t>
        </is>
      </c>
      <c r="F55" s="28" t="inlineStr">
        <is>
          <t>All</t>
        </is>
      </c>
      <c r="G55" s="30">
        <f>PROJECT_START+14</f>
        <v/>
      </c>
      <c r="H55" s="30">
        <f>G55+I55</f>
        <v/>
      </c>
      <c r="I55" s="28">
        <f>DUR_JD</f>
        <v/>
      </c>
      <c r="J55" s="28" t="inlineStr"/>
    </row>
    <row r="56">
      <c r="A56" s="18" t="inlineStr">
        <is>
          <t>OPERATIONAL</t>
        </is>
      </c>
      <c r="B56" s="18" t="inlineStr">
        <is>
          <t>AGI TR Units 1-2</t>
        </is>
      </c>
      <c r="C56" s="18" t="inlineStr">
        <is>
          <t>A1160</t>
        </is>
      </c>
      <c r="D56" s="18" t="inlineStr">
        <is>
          <t>Steel bridge Installation 2 - Crane required</t>
        </is>
      </c>
      <c r="E56" s="21" t="inlineStr">
        <is>
          <t>BUFFER</t>
        </is>
      </c>
      <c r="F56" s="18" t="inlineStr">
        <is>
          <t>All</t>
        </is>
      </c>
      <c r="G56" s="20">
        <f>PROJECT_START+14</f>
        <v/>
      </c>
      <c r="H56" s="20">
        <f>G56+I56</f>
        <v/>
      </c>
      <c r="I56" s="18" t="n">
        <v>0.3</v>
      </c>
      <c r="J56" s="18" t="inlineStr"/>
    </row>
    <row r="57">
      <c r="A57" s="18" t="inlineStr">
        <is>
          <t>OPERATIONAL</t>
        </is>
      </c>
      <c r="B57" s="18" t="inlineStr">
        <is>
          <t>AGI TR Units 1-2</t>
        </is>
      </c>
      <c r="C57" s="18" t="inlineStr">
        <is>
          <t>A1170</t>
        </is>
      </c>
      <c r="D57" s="18" t="inlineStr">
        <is>
          <t>AGL TR Unit 2 (TR Bay 3) load on SPMT; lashing; Transportation and JD (steel set to be delivered to bay area by trailer)</t>
        </is>
      </c>
      <c r="E57" s="21" t="inlineStr">
        <is>
          <t>BUFFER</t>
        </is>
      </c>
      <c r="F57" s="18" t="inlineStr">
        <is>
          <t>All</t>
        </is>
      </c>
      <c r="G57" s="20">
        <f>PROJECT_START+14</f>
        <v/>
      </c>
      <c r="H57" s="20">
        <f>G57+I57</f>
        <v/>
      </c>
      <c r="I57" s="18" t="n">
        <v>0.7</v>
      </c>
      <c r="J57" s="18" t="inlineStr"/>
    </row>
    <row r="58">
      <c r="A58" s="18" t="inlineStr">
        <is>
          <t>OPERATIONAL</t>
        </is>
      </c>
      <c r="B58" s="18" t="inlineStr">
        <is>
          <t>AGI TR Units 1-2</t>
        </is>
      </c>
      <c r="C58" s="18" t="inlineStr">
        <is>
          <t>A1180</t>
        </is>
      </c>
      <c r="D58" s="18" t="inlineStr">
        <is>
          <t>Turning of AGI TR Unit 2 (TR Bay 3) - 10t Forklift required</t>
        </is>
      </c>
      <c r="E58" s="27" t="inlineStr">
        <is>
          <t>TURNING</t>
        </is>
      </c>
      <c r="F58" s="18" t="inlineStr">
        <is>
          <t>All</t>
        </is>
      </c>
      <c r="G58" s="20">
        <f>PROJECT_START+15</f>
        <v/>
      </c>
      <c r="H58" s="20">
        <f>G58+I58</f>
        <v/>
      </c>
      <c r="I58" s="18">
        <f>DUR_TURN</f>
        <v/>
      </c>
      <c r="J58" s="18" t="inlineStr"/>
    </row>
    <row r="59">
      <c r="A59" s="18" t="inlineStr">
        <is>
          <t>OPERATIONAL</t>
        </is>
      </c>
      <c r="B59" s="18" t="inlineStr">
        <is>
          <t>AGI TR Units 1-2</t>
        </is>
      </c>
      <c r="C59" s="18" t="inlineStr">
        <is>
          <t>A1181</t>
        </is>
      </c>
      <c r="D59" s="18" t="inlineStr">
        <is>
          <t>SPMT shifting back to Port</t>
        </is>
      </c>
      <c r="E59" s="21" t="inlineStr">
        <is>
          <t>BUFFER</t>
        </is>
      </c>
      <c r="F59" s="18" t="inlineStr">
        <is>
          <t>All</t>
        </is>
      </c>
      <c r="G59" s="20">
        <f>PROJECT_START+16</f>
        <v/>
      </c>
      <c r="H59" s="20">
        <f>G59+I59</f>
        <v/>
      </c>
      <c r="I59" s="18">
        <f>DUR_BUF</f>
        <v/>
      </c>
      <c r="J59" s="18" t="inlineStr"/>
    </row>
    <row r="60">
      <c r="A60" s="28" t="inlineStr">
        <is>
          <t>OPERATIONAL</t>
        </is>
      </c>
      <c r="B60" s="28" t="inlineStr">
        <is>
          <t>AGI TR Units 1-2</t>
        </is>
      </c>
      <c r="C60" s="28" t="inlineStr">
        <is>
          <t>A1190</t>
        </is>
      </c>
      <c r="D60" s="28" t="inlineStr">
        <is>
          <t>Jacking down of AGI TR Unit 2 (TR Bay 3) on temporary support - Forklift and Crane required</t>
        </is>
      </c>
      <c r="E60" s="29" t="inlineStr">
        <is>
          <t>JACKDOWN</t>
        </is>
      </c>
      <c r="F60" s="28" t="inlineStr">
        <is>
          <t>All</t>
        </is>
      </c>
      <c r="G60" s="30">
        <f>PROJECT_START+18</f>
        <v/>
      </c>
      <c r="H60" s="30">
        <f>G60+I60</f>
        <v/>
      </c>
      <c r="I60" s="28">
        <f>DUR_JD</f>
        <v/>
      </c>
      <c r="J60" s="28" t="inlineStr"/>
    </row>
    <row r="61">
      <c r="A61" s="18" t="inlineStr">
        <is>
          <t>OPERATIONAL</t>
        </is>
      </c>
      <c r="B61" s="18" t="inlineStr">
        <is>
          <t>AGI TR Units 3-4</t>
        </is>
      </c>
      <c r="C61" s="18" t="inlineStr"/>
      <c r="D61" s="18" t="inlineStr">
        <is>
          <t>AGI TR Units 3-4</t>
        </is>
      </c>
      <c r="E61" s="21" t="inlineStr">
        <is>
          <t>BUFFER</t>
        </is>
      </c>
      <c r="F61" s="18" t="inlineStr">
        <is>
          <t>All</t>
        </is>
      </c>
      <c r="G61" s="20">
        <f>PROJECT_START+11</f>
        <v/>
      </c>
      <c r="H61" s="20">
        <f>G61+I61</f>
        <v/>
      </c>
      <c r="I61" s="18" t="n">
        <v>0</v>
      </c>
      <c r="J61" s="18" t="inlineStr"/>
    </row>
    <row r="62">
      <c r="A62" s="18" t="inlineStr">
        <is>
          <t>OPERATIONAL</t>
        </is>
      </c>
      <c r="B62" s="18" t="inlineStr">
        <is>
          <t>AGI TR Units 3-4</t>
        </is>
      </c>
      <c r="C62" s="18" t="inlineStr">
        <is>
          <t>A1200</t>
        </is>
      </c>
      <c r="D62" s="18" t="inlineStr">
        <is>
          <t>LCT arrives to MZP; Deck preparations</t>
        </is>
      </c>
      <c r="E62" s="22" t="inlineStr">
        <is>
          <t>DECK_PREP</t>
        </is>
      </c>
      <c r="F62" s="18" t="inlineStr">
        <is>
          <t>All</t>
        </is>
      </c>
      <c r="G62" s="20">
        <f>PROJECT_START+11</f>
        <v/>
      </c>
      <c r="H62" s="20">
        <f>G62+I62</f>
        <v/>
      </c>
      <c r="I62" s="18">
        <f>DUR_UL</f>
        <v/>
      </c>
      <c r="J62" s="18" t="inlineStr"/>
    </row>
    <row r="63">
      <c r="A63" s="18" t="inlineStr">
        <is>
          <t>OPERATIONAL</t>
        </is>
      </c>
      <c r="B63" s="18" t="inlineStr">
        <is>
          <t>AGI TR Units 3-4</t>
        </is>
      </c>
      <c r="C63" s="18" t="inlineStr">
        <is>
          <t>A1210</t>
        </is>
      </c>
      <c r="D63" s="18" t="inlineStr">
        <is>
          <t>Loading of AGI TR Unit 3 on SPMT; lashing; Shifting to Mina Zayed Port RoRo Jetty area</t>
        </is>
      </c>
      <c r="E63" s="21" t="inlineStr">
        <is>
          <t>BUFFER</t>
        </is>
      </c>
      <c r="F63" s="18" t="inlineStr">
        <is>
          <t>All</t>
        </is>
      </c>
      <c r="G63" s="20">
        <f>PROJECT_START+12</f>
        <v/>
      </c>
      <c r="H63" s="20">
        <f>G63+I63</f>
        <v/>
      </c>
      <c r="I63" s="18" t="n">
        <v>0.3</v>
      </c>
      <c r="J63" s="18" t="inlineStr"/>
    </row>
    <row r="64">
      <c r="A64" s="18" t="inlineStr">
        <is>
          <t>OPERATIONAL</t>
        </is>
      </c>
      <c r="B64" s="18" t="inlineStr">
        <is>
          <t>AGI TR Units 3-4</t>
        </is>
      </c>
      <c r="C64" s="18" t="inlineStr">
        <is>
          <t>A1220</t>
        </is>
      </c>
      <c r="D64" s="18" t="inlineStr">
        <is>
          <t>RoRo Ramp Installation - 5t Frokift and Crane required</t>
        </is>
      </c>
      <c r="E64" s="21" t="inlineStr">
        <is>
          <t>BUFFER</t>
        </is>
      </c>
      <c r="F64" s="18" t="inlineStr">
        <is>
          <t>All</t>
        </is>
      </c>
      <c r="G64" s="20">
        <f>PROJECT_START+12</f>
        <v/>
      </c>
      <c r="H64" s="20">
        <f>G64+I64</f>
        <v/>
      </c>
      <c r="I64" s="18" t="n">
        <v>0.3</v>
      </c>
      <c r="J64" s="18" t="inlineStr"/>
    </row>
    <row r="65">
      <c r="A65" s="18" t="inlineStr">
        <is>
          <t>OPERATIONAL</t>
        </is>
      </c>
      <c r="B65" s="18" t="inlineStr">
        <is>
          <t>AGI TR Units 3-4</t>
        </is>
      </c>
      <c r="C65" s="18" t="inlineStr">
        <is>
          <t>A1230</t>
        </is>
      </c>
      <c r="D65" s="18" t="inlineStr">
        <is>
          <t>Load-out of AGL TR Unit 3; stool down</t>
        </is>
      </c>
      <c r="E65" s="23" t="inlineStr">
        <is>
          <t>LOADOUT</t>
        </is>
      </c>
      <c r="F65" s="18" t="inlineStr">
        <is>
          <t>All</t>
        </is>
      </c>
      <c r="G65" s="20">
        <f>PROJECT_START+12</f>
        <v/>
      </c>
      <c r="H65" s="20">
        <f>G65+I65</f>
        <v/>
      </c>
      <c r="I65" s="18" t="n">
        <v>0.2</v>
      </c>
      <c r="J65" s="18" t="inlineStr"/>
    </row>
    <row r="66">
      <c r="A66" s="18" t="inlineStr">
        <is>
          <t>OPERATIONAL</t>
        </is>
      </c>
      <c r="B66" s="18" t="inlineStr">
        <is>
          <t>AGI TR Units 3-4</t>
        </is>
      </c>
      <c r="C66" s="18" t="inlineStr">
        <is>
          <t>A1240</t>
        </is>
      </c>
      <c r="D66" s="18" t="inlineStr">
        <is>
          <t>RoRo ramp removal; Seafastening AGL TR Unit 3 - Crane required</t>
        </is>
      </c>
      <c r="E66" s="24" t="inlineStr">
        <is>
          <t>SEAFAST</t>
        </is>
      </c>
      <c r="F66" s="18" t="inlineStr">
        <is>
          <t>All</t>
        </is>
      </c>
      <c r="G66" s="20">
        <f>PROJECT_START+12</f>
        <v/>
      </c>
      <c r="H66" s="20">
        <f>G66+I66</f>
        <v/>
      </c>
      <c r="I66" s="18">
        <f>DUR_BUF</f>
        <v/>
      </c>
      <c r="J66" s="18" t="inlineStr"/>
    </row>
    <row r="67">
      <c r="A67" s="18" t="inlineStr">
        <is>
          <t>OPERATIONAL</t>
        </is>
      </c>
      <c r="B67" s="18" t="inlineStr">
        <is>
          <t>AGI TR Units 3-4</t>
        </is>
      </c>
      <c r="C67" s="18" t="inlineStr">
        <is>
          <t>A1250</t>
        </is>
      </c>
      <c r="D67" s="18" t="inlineStr">
        <is>
          <t>Loading of AGI TR Unit 4 on SPMT; lashing</t>
        </is>
      </c>
      <c r="E67" s="21" t="inlineStr">
        <is>
          <t>BUFFER</t>
        </is>
      </c>
      <c r="F67" s="18" t="inlineStr">
        <is>
          <t>All</t>
        </is>
      </c>
      <c r="G67" s="20">
        <f>PROJECT_START+12</f>
        <v/>
      </c>
      <c r="H67" s="20">
        <f>G67+I67</f>
        <v/>
      </c>
      <c r="I67" s="18">
        <f>DUR_BUF</f>
        <v/>
      </c>
      <c r="J67" s="18" t="inlineStr"/>
    </row>
    <row r="68">
      <c r="A68" s="18" t="inlineStr">
        <is>
          <t>OPERATIONAL</t>
        </is>
      </c>
      <c r="B68" s="18" t="inlineStr">
        <is>
          <t>AGI TR Units 3-4</t>
        </is>
      </c>
      <c r="C68" s="18" t="inlineStr">
        <is>
          <t>A1260</t>
        </is>
      </c>
      <c r="D68" s="18" t="inlineStr">
        <is>
          <t>Shifting of AGL TR Unit 4 to Jetty area</t>
        </is>
      </c>
      <c r="E68" s="21" t="inlineStr">
        <is>
          <t>BUFFER</t>
        </is>
      </c>
      <c r="F68" s="18" t="inlineStr">
        <is>
          <t>All</t>
        </is>
      </c>
      <c r="G68" s="20">
        <f>PROJECT_START+13</f>
        <v/>
      </c>
      <c r="H68" s="20">
        <f>G68+I68</f>
        <v/>
      </c>
      <c r="I68" s="18" t="n">
        <v>0.05</v>
      </c>
      <c r="J68" s="18" t="inlineStr"/>
    </row>
    <row r="69">
      <c r="A69" s="18" t="inlineStr">
        <is>
          <t>OPERATIONAL</t>
        </is>
      </c>
      <c r="B69" s="18" t="inlineStr">
        <is>
          <t>AGI TR Units 3-4</t>
        </is>
      </c>
      <c r="C69" s="18" t="inlineStr">
        <is>
          <t>A1270</t>
        </is>
      </c>
      <c r="D69" s="18" t="inlineStr">
        <is>
          <t>RoRo Ramp Installation - Crane required</t>
        </is>
      </c>
      <c r="E69" s="21" t="inlineStr">
        <is>
          <t>BUFFER</t>
        </is>
      </c>
      <c r="F69" s="18" t="inlineStr">
        <is>
          <t>All</t>
        </is>
      </c>
      <c r="G69" s="20">
        <f>PROJECT_START+13</f>
        <v/>
      </c>
      <c r="H69" s="20">
        <f>G69+I69</f>
        <v/>
      </c>
      <c r="I69" s="18" t="n">
        <v>0.3</v>
      </c>
      <c r="J69" s="18" t="inlineStr"/>
    </row>
    <row r="70">
      <c r="A70" s="18" t="inlineStr">
        <is>
          <t>OPERATIONAL</t>
        </is>
      </c>
      <c r="B70" s="18" t="inlineStr">
        <is>
          <t>AGI TR Units 3-4</t>
        </is>
      </c>
      <c r="C70" s="18" t="inlineStr">
        <is>
          <t>A1280</t>
        </is>
      </c>
      <c r="D70" s="18" t="inlineStr">
        <is>
          <t>Load-out of AGI TR Unit 4; stoold down; securing of SPMT</t>
        </is>
      </c>
      <c r="E70" s="23" t="inlineStr">
        <is>
          <t>LOADOUT</t>
        </is>
      </c>
      <c r="F70" s="18" t="inlineStr">
        <is>
          <t>All</t>
        </is>
      </c>
      <c r="G70" s="20">
        <f>PROJECT_START+13</f>
        <v/>
      </c>
      <c r="H70" s="20">
        <f>G70+I70</f>
        <v/>
      </c>
      <c r="I70" s="18" t="n">
        <v>0.3</v>
      </c>
      <c r="J70" s="18" t="inlineStr"/>
    </row>
    <row r="71">
      <c r="A71" s="18" t="inlineStr">
        <is>
          <t>OPERATIONAL</t>
        </is>
      </c>
      <c r="B71" s="18" t="inlineStr">
        <is>
          <t>AGI TR Units 3-4</t>
        </is>
      </c>
      <c r="C71" s="18" t="inlineStr">
        <is>
          <t>A1290</t>
        </is>
      </c>
      <c r="D71" s="18" t="inlineStr">
        <is>
          <t>Removal of RoRo Ramp; Sea fastening AGI TR Unit 4 - Crane required</t>
        </is>
      </c>
      <c r="E71" s="24" t="inlineStr">
        <is>
          <t>SEAFAST</t>
        </is>
      </c>
      <c r="F71" s="18" t="inlineStr">
        <is>
          <t>All</t>
        </is>
      </c>
      <c r="G71" s="20">
        <f>PROJECT_START+13</f>
        <v/>
      </c>
      <c r="H71" s="20">
        <f>G71+I71</f>
        <v/>
      </c>
      <c r="I71" s="18">
        <f>DUR_BUF</f>
        <v/>
      </c>
      <c r="J71" s="18" t="inlineStr"/>
    </row>
    <row r="72">
      <c r="A72" s="18" t="inlineStr">
        <is>
          <t>OPERATIONAL</t>
        </is>
      </c>
      <c r="B72" s="18" t="inlineStr">
        <is>
          <t>AGI TR Units 3-4</t>
        </is>
      </c>
      <c r="C72" s="18" t="inlineStr">
        <is>
          <t>A1300</t>
        </is>
      </c>
      <c r="D72" s="18" t="inlineStr">
        <is>
          <t>MWS + MPI + Final Preparations</t>
        </is>
      </c>
      <c r="E72" s="21" t="inlineStr">
        <is>
          <t>BUFFER</t>
        </is>
      </c>
      <c r="F72" s="18" t="inlineStr">
        <is>
          <t>All</t>
        </is>
      </c>
      <c r="G72" s="20">
        <f>PROJECT_START+14</f>
        <v/>
      </c>
      <c r="H72" s="20">
        <f>G72+I72</f>
        <v/>
      </c>
      <c r="I72" s="18" t="n">
        <v>0.2</v>
      </c>
      <c r="J72" s="18" t="inlineStr"/>
    </row>
    <row r="73">
      <c r="A73" s="18" t="inlineStr">
        <is>
          <t>OPERATIONAL</t>
        </is>
      </c>
      <c r="B73" s="18" t="inlineStr">
        <is>
          <t>AGI TR Units 3-4</t>
        </is>
      </c>
      <c r="C73" s="18" t="inlineStr">
        <is>
          <t>A1310</t>
        </is>
      </c>
      <c r="D73" s="18" t="inlineStr">
        <is>
          <t>Sail-away - Marine Transportation by LCT to Al Ghallan Island</t>
        </is>
      </c>
      <c r="E73" s="25" t="inlineStr">
        <is>
          <t>SAIL</t>
        </is>
      </c>
      <c r="F73" s="18" t="inlineStr">
        <is>
          <t>All</t>
        </is>
      </c>
      <c r="G73" s="20">
        <f>PROJECT_START+15</f>
        <v/>
      </c>
      <c r="H73" s="20">
        <f>G73+I73</f>
        <v/>
      </c>
      <c r="I73" s="18">
        <f>DUR_SAIL</f>
        <v/>
      </c>
      <c r="J73" s="18" t="inlineStr"/>
    </row>
    <row r="74">
      <c r="A74" s="18" t="inlineStr">
        <is>
          <t>OPERATIONAL</t>
        </is>
      </c>
      <c r="B74" s="18" t="inlineStr">
        <is>
          <t>AGI TR Units 3-4</t>
        </is>
      </c>
      <c r="C74" s="18" t="inlineStr">
        <is>
          <t>A1320</t>
        </is>
      </c>
      <c r="D74" s="18" t="inlineStr">
        <is>
          <t>LCT Arrival; Berthing at AGL RoRo Jetty</t>
        </is>
      </c>
      <c r="E74" s="26" t="inlineStr">
        <is>
          <t>AGI_UNLOAD</t>
        </is>
      </c>
      <c r="F74" s="18" t="inlineStr">
        <is>
          <t>All</t>
        </is>
      </c>
      <c r="G74" s="20">
        <f>PROJECT_START+16</f>
        <v/>
      </c>
      <c r="H74" s="20">
        <f>G74+I74</f>
        <v/>
      </c>
      <c r="I74" s="18">
        <f>DUR_BUF</f>
        <v/>
      </c>
      <c r="J74" s="18" t="inlineStr"/>
    </row>
    <row r="75">
      <c r="A75" s="18" t="inlineStr">
        <is>
          <t>OPERATIONAL</t>
        </is>
      </c>
      <c r="B75" s="18" t="inlineStr">
        <is>
          <t>AGI TR Units 3-4</t>
        </is>
      </c>
      <c r="C75" s="18" t="inlineStr">
        <is>
          <t>A1330</t>
        </is>
      </c>
      <c r="D75" s="18" t="inlineStr">
        <is>
          <t>Unlashing and cutting; steel sets preparations - Forklift required</t>
        </is>
      </c>
      <c r="E75" s="21" t="inlineStr">
        <is>
          <t>BUFFER</t>
        </is>
      </c>
      <c r="F75" s="18" t="inlineStr">
        <is>
          <t>All</t>
        </is>
      </c>
      <c r="G75" s="20">
        <f>PROJECT_START+16</f>
        <v/>
      </c>
      <c r="H75" s="20">
        <f>G75+I75</f>
        <v/>
      </c>
      <c r="I75" s="18">
        <f>DUR_BUF</f>
        <v/>
      </c>
      <c r="J75" s="18" t="inlineStr"/>
    </row>
    <row r="76">
      <c r="A76" s="18" t="inlineStr">
        <is>
          <t>OPERATIONAL</t>
        </is>
      </c>
      <c r="B76" s="18" t="inlineStr">
        <is>
          <t>AGI TR Units 3-4</t>
        </is>
      </c>
      <c r="C76" s="18" t="inlineStr">
        <is>
          <t>A1340</t>
        </is>
      </c>
      <c r="D76" s="18" t="inlineStr">
        <is>
          <t>Load-in of AGI TR Unit 4 (including RoRo Ramp Installation); store on Jetty - Crane required</t>
        </is>
      </c>
      <c r="E76" s="23" t="inlineStr">
        <is>
          <t>LOADOUT</t>
        </is>
      </c>
      <c r="F76" s="18" t="inlineStr">
        <is>
          <t>All</t>
        </is>
      </c>
      <c r="G76" s="20">
        <f>PROJECT_START+17</f>
        <v/>
      </c>
      <c r="H76" s="20">
        <f>G76+I76</f>
        <v/>
      </c>
      <c r="I76" s="18">
        <f>DUR_UL</f>
        <v/>
      </c>
      <c r="J76" s="18" t="inlineStr"/>
    </row>
    <row r="77">
      <c r="A77" s="18" t="inlineStr">
        <is>
          <t>OPERATIONAL</t>
        </is>
      </c>
      <c r="B77" s="18" t="inlineStr">
        <is>
          <t>AGI TR Units 3-4</t>
        </is>
      </c>
      <c r="C77" s="18" t="inlineStr">
        <is>
          <t>A1350</t>
        </is>
      </c>
      <c r="D77" s="18" t="inlineStr">
        <is>
          <t>Load-in of AGI TR Unit 3 (including RoRo Ramp Installation); store on Jetty - Crane required</t>
        </is>
      </c>
      <c r="E77" s="23" t="inlineStr">
        <is>
          <t>LOADOUT</t>
        </is>
      </c>
      <c r="F77" s="18" t="inlineStr">
        <is>
          <t>All</t>
        </is>
      </c>
      <c r="G77" s="20">
        <f>PROJECT_START+18</f>
        <v/>
      </c>
      <c r="H77" s="20">
        <f>G77+I77</f>
        <v/>
      </c>
      <c r="I77" s="18">
        <f>DUR_UL</f>
        <v/>
      </c>
      <c r="J77" s="18" t="inlineStr"/>
    </row>
    <row r="78">
      <c r="A78" s="18" t="inlineStr">
        <is>
          <t>OPERATIONAL</t>
        </is>
      </c>
      <c r="B78" s="18" t="inlineStr">
        <is>
          <t>AGI TR Units 3-4</t>
        </is>
      </c>
      <c r="C78" s="18" t="inlineStr">
        <is>
          <t>A1360</t>
        </is>
      </c>
      <c r="D78" s="18" t="inlineStr">
        <is>
          <t>LCT Sails back to MZP to collect TR Units 5-6 (LCT must carry back 4pcs of 7.45m beams)</t>
        </is>
      </c>
      <c r="E78" s="25" t="inlineStr">
        <is>
          <t>SAIL</t>
        </is>
      </c>
      <c r="F78" s="18" t="inlineStr">
        <is>
          <t>All</t>
        </is>
      </c>
      <c r="G78" s="20">
        <f>PROJECT_START+19</f>
        <v/>
      </c>
      <c r="H78" s="20">
        <f>G78+I78</f>
        <v/>
      </c>
      <c r="I78" s="18">
        <f>DUR_SAIL</f>
        <v/>
      </c>
      <c r="J78" s="18" t="inlineStr"/>
    </row>
    <row r="79">
      <c r="A79" s="18" t="inlineStr">
        <is>
          <t>OPERATIONAL</t>
        </is>
      </c>
      <c r="B79" s="18" t="inlineStr">
        <is>
          <t>AGI TR Units 3-4</t>
        </is>
      </c>
      <c r="C79" s="18" t="inlineStr">
        <is>
          <t>A1370</t>
        </is>
      </c>
      <c r="D79" s="18" t="inlineStr">
        <is>
          <t>Steel bridge Installation 1 - Crane required</t>
        </is>
      </c>
      <c r="E79" s="21" t="inlineStr">
        <is>
          <t>BUFFER</t>
        </is>
      </c>
      <c r="F79" s="18" t="inlineStr">
        <is>
          <t>All</t>
        </is>
      </c>
      <c r="G79" s="20">
        <f>PROJECT_START+19</f>
        <v/>
      </c>
      <c r="H79" s="20">
        <f>G79+I79</f>
        <v/>
      </c>
      <c r="I79" s="18" t="n">
        <v>0.3</v>
      </c>
      <c r="J79" s="18" t="inlineStr"/>
    </row>
    <row r="80">
      <c r="A80" s="18" t="inlineStr">
        <is>
          <t>OPERATIONAL</t>
        </is>
      </c>
      <c r="B80" s="18" t="inlineStr">
        <is>
          <t>AGI TR Units 3-4</t>
        </is>
      </c>
      <c r="C80" s="18" t="inlineStr">
        <is>
          <t>A1380</t>
        </is>
      </c>
      <c r="D80" s="18" t="inlineStr">
        <is>
          <t>AGL TR Unit 3 (TR Bay 2) load on SPMT; lashing; Transportation and JD (steel set to be delivered to bay area by trailer)</t>
        </is>
      </c>
      <c r="E80" s="21" t="inlineStr">
        <is>
          <t>BUFFER</t>
        </is>
      </c>
      <c r="F80" s="18" t="inlineStr">
        <is>
          <t>All</t>
        </is>
      </c>
      <c r="G80" s="20">
        <f>PROJECT_START+19</f>
        <v/>
      </c>
      <c r="H80" s="20">
        <f>G80+I80</f>
        <v/>
      </c>
      <c r="I80" s="18" t="n">
        <v>0.7</v>
      </c>
      <c r="J80" s="18" t="inlineStr"/>
    </row>
    <row r="81">
      <c r="A81" s="18" t="inlineStr">
        <is>
          <t>OPERATIONAL</t>
        </is>
      </c>
      <c r="B81" s="18" t="inlineStr">
        <is>
          <t>AGI TR Units 3-4</t>
        </is>
      </c>
      <c r="C81" s="18" t="inlineStr">
        <is>
          <t>A1390</t>
        </is>
      </c>
      <c r="D81" s="18" t="inlineStr">
        <is>
          <t>Turning of AGI TR Unit 3 (TR Bay 2) - 10t Forklift required</t>
        </is>
      </c>
      <c r="E81" s="27" t="inlineStr">
        <is>
          <t>TURNING</t>
        </is>
      </c>
      <c r="F81" s="18" t="inlineStr">
        <is>
          <t>All</t>
        </is>
      </c>
      <c r="G81" s="20">
        <f>PROJECT_START+20</f>
        <v/>
      </c>
      <c r="H81" s="20">
        <f>G81+I81</f>
        <v/>
      </c>
      <c r="I81" s="18">
        <f>DUR_TURN</f>
        <v/>
      </c>
      <c r="J81" s="18" t="inlineStr"/>
    </row>
    <row r="82">
      <c r="A82" s="28" t="inlineStr">
        <is>
          <t>OPERATIONAL</t>
        </is>
      </c>
      <c r="B82" s="28" t="inlineStr">
        <is>
          <t>AGI TR Units 3-4</t>
        </is>
      </c>
      <c r="C82" s="28" t="inlineStr">
        <is>
          <t>A1400</t>
        </is>
      </c>
      <c r="D82" s="28" t="inlineStr">
        <is>
          <t>Jacking down of AGI TR Unit 3 (TR Bay 2) on temporary support - Forklift required</t>
        </is>
      </c>
      <c r="E82" s="29" t="inlineStr">
        <is>
          <t>JACKDOWN</t>
        </is>
      </c>
      <c r="F82" s="28" t="inlineStr">
        <is>
          <t>All</t>
        </is>
      </c>
      <c r="G82" s="30">
        <f>PROJECT_START+23</f>
        <v/>
      </c>
      <c r="H82" s="30">
        <f>G82+I82</f>
        <v/>
      </c>
      <c r="I82" s="28">
        <f>DUR_JD</f>
        <v/>
      </c>
      <c r="J82" s="28" t="inlineStr"/>
    </row>
    <row r="83">
      <c r="A83" s="18" t="inlineStr">
        <is>
          <t>OPERATIONAL</t>
        </is>
      </c>
      <c r="B83" s="18" t="inlineStr">
        <is>
          <t>AGI TR Units 3-4</t>
        </is>
      </c>
      <c r="C83" s="18" t="inlineStr">
        <is>
          <t>A1410</t>
        </is>
      </c>
      <c r="D83" s="18" t="inlineStr">
        <is>
          <t>Steel bridge Installation 2 - Crane required</t>
        </is>
      </c>
      <c r="E83" s="21" t="inlineStr">
        <is>
          <t>BUFFER</t>
        </is>
      </c>
      <c r="F83" s="18" t="inlineStr">
        <is>
          <t>All</t>
        </is>
      </c>
      <c r="G83" s="20">
        <f>PROJECT_START+23</f>
        <v/>
      </c>
      <c r="H83" s="20">
        <f>G83+I83</f>
        <v/>
      </c>
      <c r="I83" s="18" t="n">
        <v>0.3</v>
      </c>
      <c r="J83" s="18" t="inlineStr"/>
    </row>
    <row r="84">
      <c r="A84" s="18" t="inlineStr">
        <is>
          <t>OPERATIONAL</t>
        </is>
      </c>
      <c r="B84" s="18" t="inlineStr">
        <is>
          <t>AGI TR Units 3-4</t>
        </is>
      </c>
      <c r="C84" s="18" t="inlineStr">
        <is>
          <t>A1420</t>
        </is>
      </c>
      <c r="D84" s="18" t="inlineStr">
        <is>
          <t>AGL TR Unit 4 (TR Bay 1) load on SPMT; lashing; Transportation and JD (steel set to be delivered to bay area by trailer)</t>
        </is>
      </c>
      <c r="E84" s="21" t="inlineStr">
        <is>
          <t>BUFFER</t>
        </is>
      </c>
      <c r="F84" s="18" t="inlineStr">
        <is>
          <t>All</t>
        </is>
      </c>
      <c r="G84" s="20">
        <f>PROJECT_START+23</f>
        <v/>
      </c>
      <c r="H84" s="20">
        <f>G84+I84</f>
        <v/>
      </c>
      <c r="I84" s="18" t="n">
        <v>0.7</v>
      </c>
      <c r="J84" s="18" t="inlineStr"/>
    </row>
    <row r="85">
      <c r="A85" s="18" t="inlineStr">
        <is>
          <t>OPERATIONAL</t>
        </is>
      </c>
      <c r="B85" s="18" t="inlineStr">
        <is>
          <t>AGI TR Units 3-4</t>
        </is>
      </c>
      <c r="C85" s="18" t="inlineStr">
        <is>
          <t>A1430</t>
        </is>
      </c>
      <c r="D85" s="18" t="inlineStr">
        <is>
          <t>Turning of AGI TR Unit 4 (TR Bay 1) - 10t Forklift required</t>
        </is>
      </c>
      <c r="E85" s="27" t="inlineStr">
        <is>
          <t>TURNING</t>
        </is>
      </c>
      <c r="F85" s="18" t="inlineStr">
        <is>
          <t>All</t>
        </is>
      </c>
      <c r="G85" s="20">
        <f>PROJECT_START+24</f>
        <v/>
      </c>
      <c r="H85" s="20">
        <f>G85+I85</f>
        <v/>
      </c>
      <c r="I85" s="18">
        <f>DUR_TURN</f>
        <v/>
      </c>
      <c r="J85" s="18" t="inlineStr"/>
    </row>
    <row r="86">
      <c r="A86" s="18" t="inlineStr">
        <is>
          <t>OPERATIONAL</t>
        </is>
      </c>
      <c r="B86" s="18" t="inlineStr">
        <is>
          <t>AGI TR Units 3-4</t>
        </is>
      </c>
      <c r="C86" s="18" t="inlineStr">
        <is>
          <t>A1440</t>
        </is>
      </c>
      <c r="D86" s="18" t="inlineStr">
        <is>
          <t>SPMT shifting back to Port</t>
        </is>
      </c>
      <c r="E86" s="21" t="inlineStr">
        <is>
          <t>BUFFER</t>
        </is>
      </c>
      <c r="F86" s="18" t="inlineStr">
        <is>
          <t>All</t>
        </is>
      </c>
      <c r="G86" s="20">
        <f>PROJECT_START+25</f>
        <v/>
      </c>
      <c r="H86" s="20">
        <f>G86+I86</f>
        <v/>
      </c>
      <c r="I86" s="18">
        <f>DUR_BUF</f>
        <v/>
      </c>
      <c r="J86" s="18" t="inlineStr"/>
    </row>
    <row r="87">
      <c r="A87" s="28" t="inlineStr">
        <is>
          <t>OPERATIONAL</t>
        </is>
      </c>
      <c r="B87" s="28" t="inlineStr">
        <is>
          <t>AGI TR Units 3-4</t>
        </is>
      </c>
      <c r="C87" s="28" t="inlineStr">
        <is>
          <t>A1450</t>
        </is>
      </c>
      <c r="D87" s="28" t="inlineStr">
        <is>
          <t>Jacking down of AGI TR Unit 4 (TR Bay 1) on temporary support - Forklift and Crane required</t>
        </is>
      </c>
      <c r="E87" s="29" t="inlineStr">
        <is>
          <t>JACKDOWN</t>
        </is>
      </c>
      <c r="F87" s="28" t="inlineStr">
        <is>
          <t>All</t>
        </is>
      </c>
      <c r="G87" s="30">
        <f>PROJECT_START+27</f>
        <v/>
      </c>
      <c r="H87" s="30">
        <f>G87+I87</f>
        <v/>
      </c>
      <c r="I87" s="28">
        <f>DUR_JD</f>
        <v/>
      </c>
      <c r="J87" s="28" t="inlineStr"/>
    </row>
    <row r="88">
      <c r="A88" s="18" t="inlineStr">
        <is>
          <t>OPERATIONAL</t>
        </is>
      </c>
      <c r="B88" s="18" t="inlineStr">
        <is>
          <t>AGI TR Units 5-6</t>
        </is>
      </c>
      <c r="C88" s="18" t="inlineStr"/>
      <c r="D88" s="18" t="inlineStr">
        <is>
          <t>AGI TR Units 5-6</t>
        </is>
      </c>
      <c r="E88" s="21" t="inlineStr">
        <is>
          <t>BUFFER</t>
        </is>
      </c>
      <c r="F88" s="18" t="inlineStr">
        <is>
          <t>All</t>
        </is>
      </c>
      <c r="G88" s="20">
        <f>PROJECT_START+20</f>
        <v/>
      </c>
      <c r="H88" s="20">
        <f>G88+I88</f>
        <v/>
      </c>
      <c r="I88" s="18" t="n">
        <v>0</v>
      </c>
      <c r="J88" s="18" t="inlineStr"/>
    </row>
    <row r="89">
      <c r="A89" s="18" t="inlineStr">
        <is>
          <t>OPERATIONAL</t>
        </is>
      </c>
      <c r="B89" s="18" t="inlineStr">
        <is>
          <t>AGI TR Units 5-6</t>
        </is>
      </c>
      <c r="C89" s="18" t="inlineStr">
        <is>
          <t>A1460</t>
        </is>
      </c>
      <c r="D89" s="18" t="inlineStr">
        <is>
          <t>LCT arrives to MZP; Deck preparations</t>
        </is>
      </c>
      <c r="E89" s="22" t="inlineStr">
        <is>
          <t>DECK_PREP</t>
        </is>
      </c>
      <c r="F89" s="18" t="inlineStr">
        <is>
          <t>All</t>
        </is>
      </c>
      <c r="G89" s="20">
        <f>PROJECT_START+20</f>
        <v/>
      </c>
      <c r="H89" s="20">
        <f>G89+I89</f>
        <v/>
      </c>
      <c r="I89" s="18">
        <f>DUR_UL</f>
        <v/>
      </c>
      <c r="J89" s="18" t="inlineStr"/>
    </row>
    <row r="90">
      <c r="A90" s="18" t="inlineStr">
        <is>
          <t>OPERATIONAL</t>
        </is>
      </c>
      <c r="B90" s="18" t="inlineStr">
        <is>
          <t>AGI TR Units 5-6</t>
        </is>
      </c>
      <c r="C90" s="18" t="inlineStr">
        <is>
          <t>A1470</t>
        </is>
      </c>
      <c r="D90" s="18" t="inlineStr">
        <is>
          <t>Loading of AGI TR Unit 5 on SPMT; lashing; Shifting to Mina Zayed Port RoRo Jetty area</t>
        </is>
      </c>
      <c r="E90" s="21" t="inlineStr">
        <is>
          <t>BUFFER</t>
        </is>
      </c>
      <c r="F90" s="18" t="inlineStr">
        <is>
          <t>All</t>
        </is>
      </c>
      <c r="G90" s="20">
        <f>PROJECT_START+21</f>
        <v/>
      </c>
      <c r="H90" s="20">
        <f>G90+I90</f>
        <v/>
      </c>
      <c r="I90" s="18" t="n">
        <v>0.3</v>
      </c>
      <c r="J90" s="18" t="inlineStr"/>
    </row>
    <row r="91">
      <c r="A91" s="18" t="inlineStr">
        <is>
          <t>OPERATIONAL</t>
        </is>
      </c>
      <c r="B91" s="18" t="inlineStr">
        <is>
          <t>AGI TR Units 5-6</t>
        </is>
      </c>
      <c r="C91" s="18" t="inlineStr">
        <is>
          <t>A1480</t>
        </is>
      </c>
      <c r="D91" s="18" t="inlineStr">
        <is>
          <t>RoRo Ramp Installation - 5t Frokift and Crane required</t>
        </is>
      </c>
      <c r="E91" s="21" t="inlineStr">
        <is>
          <t>BUFFER</t>
        </is>
      </c>
      <c r="F91" s="18" t="inlineStr">
        <is>
          <t>All</t>
        </is>
      </c>
      <c r="G91" s="20">
        <f>PROJECT_START+21</f>
        <v/>
      </c>
      <c r="H91" s="20">
        <f>G91+I91</f>
        <v/>
      </c>
      <c r="I91" s="18" t="n">
        <v>0.3</v>
      </c>
      <c r="J91" s="18" t="inlineStr"/>
    </row>
    <row r="92">
      <c r="A92" s="18" t="inlineStr">
        <is>
          <t>OPERATIONAL</t>
        </is>
      </c>
      <c r="B92" s="18" t="inlineStr">
        <is>
          <t>AGI TR Units 5-6</t>
        </is>
      </c>
      <c r="C92" s="18" t="inlineStr">
        <is>
          <t>A1490</t>
        </is>
      </c>
      <c r="D92" s="18" t="inlineStr">
        <is>
          <t>Load-out of AGL TR Unit 5; stool down</t>
        </is>
      </c>
      <c r="E92" s="23" t="inlineStr">
        <is>
          <t>LOADOUT</t>
        </is>
      </c>
      <c r="F92" s="18" t="inlineStr">
        <is>
          <t>All</t>
        </is>
      </c>
      <c r="G92" s="20">
        <f>PROJECT_START+21</f>
        <v/>
      </c>
      <c r="H92" s="20">
        <f>G92+I92</f>
        <v/>
      </c>
      <c r="I92" s="18" t="n">
        <v>0.2</v>
      </c>
      <c r="J92" s="18" t="inlineStr"/>
    </row>
    <row r="93">
      <c r="A93" s="18" t="inlineStr">
        <is>
          <t>OPERATIONAL</t>
        </is>
      </c>
      <c r="B93" s="18" t="inlineStr">
        <is>
          <t>AGI TR Units 5-6</t>
        </is>
      </c>
      <c r="C93" s="18" t="inlineStr">
        <is>
          <t>A1500</t>
        </is>
      </c>
      <c r="D93" s="18" t="inlineStr">
        <is>
          <t>RoRo ramp removal; Seafastening AGL TR Unit 5 - Crane required</t>
        </is>
      </c>
      <c r="E93" s="24" t="inlineStr">
        <is>
          <t>SEAFAST</t>
        </is>
      </c>
      <c r="F93" s="18" t="inlineStr">
        <is>
          <t>All</t>
        </is>
      </c>
      <c r="G93" s="20">
        <f>PROJECT_START+21</f>
        <v/>
      </c>
      <c r="H93" s="20">
        <f>G93+I93</f>
        <v/>
      </c>
      <c r="I93" s="18">
        <f>DUR_BUF</f>
        <v/>
      </c>
      <c r="J93" s="18" t="inlineStr"/>
    </row>
    <row r="94">
      <c r="A94" s="18" t="inlineStr">
        <is>
          <t>OPERATIONAL</t>
        </is>
      </c>
      <c r="B94" s="18" t="inlineStr">
        <is>
          <t>AGI TR Units 5-6</t>
        </is>
      </c>
      <c r="C94" s="18" t="inlineStr">
        <is>
          <t>A1510</t>
        </is>
      </c>
      <c r="D94" s="18" t="inlineStr">
        <is>
          <t>Loading of AGI TR Unit 6 on SPMT; lashing</t>
        </is>
      </c>
      <c r="E94" s="21" t="inlineStr">
        <is>
          <t>BUFFER</t>
        </is>
      </c>
      <c r="F94" s="18" t="inlineStr">
        <is>
          <t>All</t>
        </is>
      </c>
      <c r="G94" s="20">
        <f>PROJECT_START+21</f>
        <v/>
      </c>
      <c r="H94" s="20">
        <f>G94+I94</f>
        <v/>
      </c>
      <c r="I94" s="18">
        <f>DUR_BUF</f>
        <v/>
      </c>
      <c r="J94" s="18" t="inlineStr"/>
    </row>
    <row r="95">
      <c r="A95" s="18" t="inlineStr">
        <is>
          <t>OPERATIONAL</t>
        </is>
      </c>
      <c r="B95" s="18" t="inlineStr">
        <is>
          <t>AGI TR Units 5-6</t>
        </is>
      </c>
      <c r="C95" s="18" t="inlineStr">
        <is>
          <t>A1520</t>
        </is>
      </c>
      <c r="D95" s="18" t="inlineStr">
        <is>
          <t>Shifting of AGL TR Unit 6 to Jetty area</t>
        </is>
      </c>
      <c r="E95" s="21" t="inlineStr">
        <is>
          <t>BUFFER</t>
        </is>
      </c>
      <c r="F95" s="18" t="inlineStr">
        <is>
          <t>All</t>
        </is>
      </c>
      <c r="G95" s="20">
        <f>PROJECT_START+22</f>
        <v/>
      </c>
      <c r="H95" s="20">
        <f>G95+I95</f>
        <v/>
      </c>
      <c r="I95" s="18" t="n">
        <v>0.05</v>
      </c>
      <c r="J95" s="18" t="inlineStr"/>
    </row>
    <row r="96">
      <c r="A96" s="18" t="inlineStr">
        <is>
          <t>OPERATIONAL</t>
        </is>
      </c>
      <c r="B96" s="18" t="inlineStr">
        <is>
          <t>AGI TR Units 5-6</t>
        </is>
      </c>
      <c r="C96" s="18" t="inlineStr">
        <is>
          <t>A1530</t>
        </is>
      </c>
      <c r="D96" s="18" t="inlineStr">
        <is>
          <t>RoRo Ramp Installation - Crane required</t>
        </is>
      </c>
      <c r="E96" s="21" t="inlineStr">
        <is>
          <t>BUFFER</t>
        </is>
      </c>
      <c r="F96" s="18" t="inlineStr">
        <is>
          <t>All</t>
        </is>
      </c>
      <c r="G96" s="20">
        <f>PROJECT_START+22</f>
        <v/>
      </c>
      <c r="H96" s="20">
        <f>G96+I96</f>
        <v/>
      </c>
      <c r="I96" s="18" t="n">
        <v>0.3</v>
      </c>
      <c r="J96" s="18" t="inlineStr"/>
    </row>
    <row r="97">
      <c r="A97" s="18" t="inlineStr">
        <is>
          <t>OPERATIONAL</t>
        </is>
      </c>
      <c r="B97" s="18" t="inlineStr">
        <is>
          <t>AGI TR Units 5-6</t>
        </is>
      </c>
      <c r="C97" s="18" t="inlineStr">
        <is>
          <t>A1540</t>
        </is>
      </c>
      <c r="D97" s="18" t="inlineStr">
        <is>
          <t>Load-out of AGI TR Unit 6; stoold down; securing of SPMT</t>
        </is>
      </c>
      <c r="E97" s="23" t="inlineStr">
        <is>
          <t>LOADOUT</t>
        </is>
      </c>
      <c r="F97" s="18" t="inlineStr">
        <is>
          <t>All</t>
        </is>
      </c>
      <c r="G97" s="20">
        <f>PROJECT_START+22</f>
        <v/>
      </c>
      <c r="H97" s="20">
        <f>G97+I97</f>
        <v/>
      </c>
      <c r="I97" s="18" t="n">
        <v>0.3</v>
      </c>
      <c r="J97" s="18" t="inlineStr"/>
    </row>
    <row r="98">
      <c r="A98" s="18" t="inlineStr">
        <is>
          <t>OPERATIONAL</t>
        </is>
      </c>
      <c r="B98" s="18" t="inlineStr">
        <is>
          <t>AGI TR Units 5-6</t>
        </is>
      </c>
      <c r="C98" s="18" t="inlineStr">
        <is>
          <t>A1550</t>
        </is>
      </c>
      <c r="D98" s="18" t="inlineStr">
        <is>
          <t>Removal of RoRo Ramp; Sea fastening AGI TR Unit 6 - Crane required</t>
        </is>
      </c>
      <c r="E98" s="24" t="inlineStr">
        <is>
          <t>SEAFAST</t>
        </is>
      </c>
      <c r="F98" s="18" t="inlineStr">
        <is>
          <t>All</t>
        </is>
      </c>
      <c r="G98" s="20">
        <f>PROJECT_START+22</f>
        <v/>
      </c>
      <c r="H98" s="20">
        <f>G98+I98</f>
        <v/>
      </c>
      <c r="I98" s="18">
        <f>DUR_BUF</f>
        <v/>
      </c>
      <c r="J98" s="18" t="inlineStr"/>
    </row>
    <row r="99">
      <c r="A99" s="18" t="inlineStr">
        <is>
          <t>OPERATIONAL</t>
        </is>
      </c>
      <c r="B99" s="18" t="inlineStr">
        <is>
          <t>AGI TR Units 5-6</t>
        </is>
      </c>
      <c r="C99" s="18" t="inlineStr">
        <is>
          <t>A1560</t>
        </is>
      </c>
      <c r="D99" s="18" t="inlineStr">
        <is>
          <t>MWS + MPI + Final Preparations</t>
        </is>
      </c>
      <c r="E99" s="21" t="inlineStr">
        <is>
          <t>BUFFER</t>
        </is>
      </c>
      <c r="F99" s="18" t="inlineStr">
        <is>
          <t>All</t>
        </is>
      </c>
      <c r="G99" s="20">
        <f>PROJECT_START+23</f>
        <v/>
      </c>
      <c r="H99" s="20">
        <f>G99+I99</f>
        <v/>
      </c>
      <c r="I99" s="18" t="n">
        <v>0.2</v>
      </c>
      <c r="J99" s="18" t="inlineStr"/>
    </row>
    <row r="100">
      <c r="A100" s="18" t="inlineStr">
        <is>
          <t>OPERATIONAL</t>
        </is>
      </c>
      <c r="B100" s="18" t="inlineStr">
        <is>
          <t>AGI TR Units 5-6</t>
        </is>
      </c>
      <c r="C100" s="18" t="inlineStr">
        <is>
          <t>A1570</t>
        </is>
      </c>
      <c r="D100" s="18" t="inlineStr">
        <is>
          <t>Sail-away - Marine Transportation by LCT to Al Ghallan Island</t>
        </is>
      </c>
      <c r="E100" s="25" t="inlineStr">
        <is>
          <t>SAIL</t>
        </is>
      </c>
      <c r="F100" s="18" t="inlineStr">
        <is>
          <t>All</t>
        </is>
      </c>
      <c r="G100" s="20">
        <f>PROJECT_START+24</f>
        <v/>
      </c>
      <c r="H100" s="20">
        <f>G100+I100</f>
        <v/>
      </c>
      <c r="I100" s="18">
        <f>DUR_SAIL</f>
        <v/>
      </c>
      <c r="J100" s="18" t="inlineStr"/>
    </row>
    <row r="101">
      <c r="A101" s="18" t="inlineStr">
        <is>
          <t>OPERATIONAL</t>
        </is>
      </c>
      <c r="B101" s="18" t="inlineStr">
        <is>
          <t>AGI TR Units 5-6</t>
        </is>
      </c>
      <c r="C101" s="18" t="inlineStr">
        <is>
          <t>A1580</t>
        </is>
      </c>
      <c r="D101" s="18" t="inlineStr">
        <is>
          <t>LCT Arrival; Berthing at AGL RoRo Jetty</t>
        </is>
      </c>
      <c r="E101" s="26" t="inlineStr">
        <is>
          <t>AGI_UNLOAD</t>
        </is>
      </c>
      <c r="F101" s="18" t="inlineStr">
        <is>
          <t>All</t>
        </is>
      </c>
      <c r="G101" s="20">
        <f>PROJECT_START+25</f>
        <v/>
      </c>
      <c r="H101" s="20">
        <f>G101+I101</f>
        <v/>
      </c>
      <c r="I101" s="18">
        <f>DUR_BUF</f>
        <v/>
      </c>
      <c r="J101" s="18" t="inlineStr"/>
    </row>
    <row r="102">
      <c r="A102" s="18" t="inlineStr">
        <is>
          <t>OPERATIONAL</t>
        </is>
      </c>
      <c r="B102" s="18" t="inlineStr">
        <is>
          <t>AGI TR Units 5-6</t>
        </is>
      </c>
      <c r="C102" s="18" t="inlineStr">
        <is>
          <t>A1590</t>
        </is>
      </c>
      <c r="D102" s="18" t="inlineStr">
        <is>
          <t>Unlashing and cutting; steel sets preparations - Forklift required</t>
        </is>
      </c>
      <c r="E102" s="21" t="inlineStr">
        <is>
          <t>BUFFER</t>
        </is>
      </c>
      <c r="F102" s="18" t="inlineStr">
        <is>
          <t>All</t>
        </is>
      </c>
      <c r="G102" s="20">
        <f>PROJECT_START+25</f>
        <v/>
      </c>
      <c r="H102" s="20">
        <f>G102+I102</f>
        <v/>
      </c>
      <c r="I102" s="18">
        <f>DUR_BUF</f>
        <v/>
      </c>
      <c r="J102" s="18" t="inlineStr"/>
    </row>
    <row r="103">
      <c r="A103" s="18" t="inlineStr">
        <is>
          <t>OPERATIONAL</t>
        </is>
      </c>
      <c r="B103" s="18" t="inlineStr">
        <is>
          <t>AGI TR Units 5-6</t>
        </is>
      </c>
      <c r="C103" s="18" t="inlineStr">
        <is>
          <t>A1600</t>
        </is>
      </c>
      <c r="D103" s="18" t="inlineStr">
        <is>
          <t>Load-in of AGI TR Unit 6 (including RoRo Ramp Installation); store on Jetty - Crane required</t>
        </is>
      </c>
      <c r="E103" s="23" t="inlineStr">
        <is>
          <t>LOADOUT</t>
        </is>
      </c>
      <c r="F103" s="18" t="inlineStr">
        <is>
          <t>All</t>
        </is>
      </c>
      <c r="G103" s="20">
        <f>PROJECT_START+26</f>
        <v/>
      </c>
      <c r="H103" s="20">
        <f>G103+I103</f>
        <v/>
      </c>
      <c r="I103" s="18">
        <f>DUR_UL</f>
        <v/>
      </c>
      <c r="J103" s="18" t="inlineStr"/>
    </row>
    <row r="104">
      <c r="A104" s="18" t="inlineStr">
        <is>
          <t>OPERATIONAL</t>
        </is>
      </c>
      <c r="B104" s="18" t="inlineStr">
        <is>
          <t>AGI TR Units 5-6</t>
        </is>
      </c>
      <c r="C104" s="18" t="inlineStr">
        <is>
          <t>A1610</t>
        </is>
      </c>
      <c r="D104" s="18" t="inlineStr">
        <is>
          <t>Load-in of AGI TR Unit 5 (including RoRo Ramp Installation); store on Jetty - Crane required</t>
        </is>
      </c>
      <c r="E104" s="23" t="inlineStr">
        <is>
          <t>LOADOUT</t>
        </is>
      </c>
      <c r="F104" s="18" t="inlineStr">
        <is>
          <t>All</t>
        </is>
      </c>
      <c r="G104" s="20">
        <f>PROJECT_START+27</f>
        <v/>
      </c>
      <c r="H104" s="20">
        <f>G104+I104</f>
        <v/>
      </c>
      <c r="I104" s="18">
        <f>DUR_UL</f>
        <v/>
      </c>
      <c r="J104" s="18" t="inlineStr"/>
    </row>
    <row r="105">
      <c r="A105" s="18" t="inlineStr">
        <is>
          <t>OPERATIONAL</t>
        </is>
      </c>
      <c r="B105" s="18" t="inlineStr">
        <is>
          <t>AGI TR Units 5-6</t>
        </is>
      </c>
      <c r="C105" s="18" t="inlineStr">
        <is>
          <t>A1620</t>
        </is>
      </c>
      <c r="D105" s="18" t="inlineStr">
        <is>
          <t>LCT Sails back to MZP to collect TR Unit 7 (LCT must carry back 2pcs of 7.45m beams)</t>
        </is>
      </c>
      <c r="E105" s="25" t="inlineStr">
        <is>
          <t>SAIL</t>
        </is>
      </c>
      <c r="F105" s="18" t="inlineStr">
        <is>
          <t>All</t>
        </is>
      </c>
      <c r="G105" s="20">
        <f>PROJECT_START+28</f>
        <v/>
      </c>
      <c r="H105" s="20">
        <f>G105+I105</f>
        <v/>
      </c>
      <c r="I105" s="18">
        <f>DUR_SAIL</f>
        <v/>
      </c>
      <c r="J105" s="18" t="inlineStr"/>
    </row>
    <row r="106">
      <c r="A106" s="18" t="inlineStr">
        <is>
          <t>OPERATIONAL</t>
        </is>
      </c>
      <c r="B106" s="18" t="inlineStr">
        <is>
          <t>AGI TR Units 5-6</t>
        </is>
      </c>
      <c r="C106" s="18" t="inlineStr">
        <is>
          <t>A1630</t>
        </is>
      </c>
      <c r="D106" s="18" t="inlineStr">
        <is>
          <t>Steel bridge Installation 1 - Crane required</t>
        </is>
      </c>
      <c r="E106" s="21" t="inlineStr">
        <is>
          <t>BUFFER</t>
        </is>
      </c>
      <c r="F106" s="18" t="inlineStr">
        <is>
          <t>All</t>
        </is>
      </c>
      <c r="G106" s="20">
        <f>PROJECT_START+28</f>
        <v/>
      </c>
      <c r="H106" s="20">
        <f>G106+I106</f>
        <v/>
      </c>
      <c r="I106" s="18" t="n">
        <v>0.3</v>
      </c>
      <c r="J106" s="18" t="inlineStr"/>
    </row>
    <row r="107">
      <c r="A107" s="18" t="inlineStr">
        <is>
          <t>OPERATIONAL</t>
        </is>
      </c>
      <c r="B107" s="18" t="inlineStr">
        <is>
          <t>AGI TR Units 5-6</t>
        </is>
      </c>
      <c r="C107" s="18" t="inlineStr">
        <is>
          <t>A1640</t>
        </is>
      </c>
      <c r="D107" s="18" t="inlineStr">
        <is>
          <t>AGL TR Unit 5 (TR Bay 5) load on SPMT; lashing; Transportation and JD (steel set to be delivered to bay area by trailer)</t>
        </is>
      </c>
      <c r="E107" s="21" t="inlineStr">
        <is>
          <t>BUFFER</t>
        </is>
      </c>
      <c r="F107" s="18" t="inlineStr">
        <is>
          <t>All</t>
        </is>
      </c>
      <c r="G107" s="20">
        <f>PROJECT_START+28</f>
        <v/>
      </c>
      <c r="H107" s="20">
        <f>G107+I107</f>
        <v/>
      </c>
      <c r="I107" s="18" t="n">
        <v>0.7</v>
      </c>
      <c r="J107" s="18" t="inlineStr"/>
    </row>
    <row r="108">
      <c r="A108" s="18" t="inlineStr">
        <is>
          <t>OPERATIONAL</t>
        </is>
      </c>
      <c r="B108" s="18" t="inlineStr">
        <is>
          <t>AGI TR Units 5-6</t>
        </is>
      </c>
      <c r="C108" s="18" t="inlineStr">
        <is>
          <t>A1650</t>
        </is>
      </c>
      <c r="D108" s="18" t="inlineStr">
        <is>
          <t>Turning of AGI TR Unit 5 (TR Bay 5) - 10t Forklift required</t>
        </is>
      </c>
      <c r="E108" s="27" t="inlineStr">
        <is>
          <t>TURNING</t>
        </is>
      </c>
      <c r="F108" s="18" t="inlineStr">
        <is>
          <t>All</t>
        </is>
      </c>
      <c r="G108" s="20">
        <f>PROJECT_START+29</f>
        <v/>
      </c>
      <c r="H108" s="20">
        <f>G108+I108</f>
        <v/>
      </c>
      <c r="I108" s="18">
        <f>DUR_TURN</f>
        <v/>
      </c>
      <c r="J108" s="18" t="inlineStr"/>
    </row>
    <row r="109">
      <c r="A109" s="28" t="inlineStr">
        <is>
          <t>OPERATIONAL</t>
        </is>
      </c>
      <c r="B109" s="28" t="inlineStr">
        <is>
          <t>AGI TR Units 5-6</t>
        </is>
      </c>
      <c r="C109" s="28" t="inlineStr">
        <is>
          <t>A1660</t>
        </is>
      </c>
      <c r="D109" s="28" t="inlineStr">
        <is>
          <t>Jacking down of AGI TR Unit 5 (TR Bay 5) on temporary support - Forklift required</t>
        </is>
      </c>
      <c r="E109" s="29" t="inlineStr">
        <is>
          <t>JACKDOWN</t>
        </is>
      </c>
      <c r="F109" s="28" t="inlineStr">
        <is>
          <t>All</t>
        </is>
      </c>
      <c r="G109" s="30">
        <f>PROJECT_START+32</f>
        <v/>
      </c>
      <c r="H109" s="30">
        <f>G109+I109</f>
        <v/>
      </c>
      <c r="I109" s="28">
        <f>DUR_JD</f>
        <v/>
      </c>
      <c r="J109" s="28" t="inlineStr"/>
    </row>
    <row r="110">
      <c r="A110" s="18" t="inlineStr">
        <is>
          <t>OPERATIONAL</t>
        </is>
      </c>
      <c r="B110" s="18" t="inlineStr">
        <is>
          <t>AGI TR Units 5-6</t>
        </is>
      </c>
      <c r="C110" s="18" t="inlineStr">
        <is>
          <t>A1670</t>
        </is>
      </c>
      <c r="D110" s="18" t="inlineStr">
        <is>
          <t>Steel bridge Installation 2 - Crane required</t>
        </is>
      </c>
      <c r="E110" s="21" t="inlineStr">
        <is>
          <t>BUFFER</t>
        </is>
      </c>
      <c r="F110" s="18" t="inlineStr">
        <is>
          <t>All</t>
        </is>
      </c>
      <c r="G110" s="20">
        <f>PROJECT_START+32</f>
        <v/>
      </c>
      <c r="H110" s="20">
        <f>G110+I110</f>
        <v/>
      </c>
      <c r="I110" s="18" t="n">
        <v>0.3</v>
      </c>
      <c r="J110" s="18" t="inlineStr"/>
    </row>
    <row r="111">
      <c r="A111" s="18" t="inlineStr">
        <is>
          <t>OPERATIONAL</t>
        </is>
      </c>
      <c r="B111" s="18" t="inlineStr">
        <is>
          <t>AGI TR Units 5-6</t>
        </is>
      </c>
      <c r="C111" s="18" t="inlineStr">
        <is>
          <t>A1680</t>
        </is>
      </c>
      <c r="D111" s="18" t="inlineStr">
        <is>
          <t>AGL TR Unit 6 (TR Bay 6) load on SPMT; lashing; Transportation and JD (steel set to be delivered to bay area by trailer)</t>
        </is>
      </c>
      <c r="E111" s="21" t="inlineStr">
        <is>
          <t>BUFFER</t>
        </is>
      </c>
      <c r="F111" s="18" t="inlineStr">
        <is>
          <t>All</t>
        </is>
      </c>
      <c r="G111" s="20">
        <f>PROJECT_START+32</f>
        <v/>
      </c>
      <c r="H111" s="20">
        <f>G111+I111</f>
        <v/>
      </c>
      <c r="I111" s="18" t="n">
        <v>0.7</v>
      </c>
      <c r="J111" s="18" t="inlineStr"/>
    </row>
    <row r="112">
      <c r="A112" s="18" t="inlineStr">
        <is>
          <t>OPERATIONAL</t>
        </is>
      </c>
      <c r="B112" s="18" t="inlineStr">
        <is>
          <t>AGI TR Units 5-6</t>
        </is>
      </c>
      <c r="C112" s="18" t="inlineStr">
        <is>
          <t>A1690</t>
        </is>
      </c>
      <c r="D112" s="18" t="inlineStr">
        <is>
          <t>Turning of AGI TR Unit 6 (TR Bay 6) - 10t Forklift required</t>
        </is>
      </c>
      <c r="E112" s="27" t="inlineStr">
        <is>
          <t>TURNING</t>
        </is>
      </c>
      <c r="F112" s="18" t="inlineStr">
        <is>
          <t>All</t>
        </is>
      </c>
      <c r="G112" s="20">
        <f>PROJECT_START+33</f>
        <v/>
      </c>
      <c r="H112" s="20">
        <f>G112+I112</f>
        <v/>
      </c>
      <c r="I112" s="18">
        <f>DUR_TURN</f>
        <v/>
      </c>
      <c r="J112" s="18" t="inlineStr"/>
    </row>
    <row r="113">
      <c r="A113" s="18" t="inlineStr">
        <is>
          <t>OPERATIONAL</t>
        </is>
      </c>
      <c r="B113" s="18" t="inlineStr">
        <is>
          <t>AGI TR Units 5-6</t>
        </is>
      </c>
      <c r="C113" s="18" t="inlineStr">
        <is>
          <t>A1700</t>
        </is>
      </c>
      <c r="D113" s="18" t="inlineStr">
        <is>
          <t>SPMT shifting back to Port</t>
        </is>
      </c>
      <c r="E113" s="21" t="inlineStr">
        <is>
          <t>BUFFER</t>
        </is>
      </c>
      <c r="F113" s="18" t="inlineStr">
        <is>
          <t>All</t>
        </is>
      </c>
      <c r="G113" s="20">
        <f>PROJECT_START+34</f>
        <v/>
      </c>
      <c r="H113" s="20">
        <f>G113+I113</f>
        <v/>
      </c>
      <c r="I113" s="18">
        <f>DUR_BUF</f>
        <v/>
      </c>
      <c r="J113" s="18" t="inlineStr"/>
    </row>
    <row r="114">
      <c r="A114" s="28" t="inlineStr">
        <is>
          <t>OPERATIONAL</t>
        </is>
      </c>
      <c r="B114" s="28" t="inlineStr">
        <is>
          <t>AGI TR Units 5-6</t>
        </is>
      </c>
      <c r="C114" s="28" t="inlineStr">
        <is>
          <t>A1710</t>
        </is>
      </c>
      <c r="D114" s="28" t="inlineStr">
        <is>
          <t>Jacking down of AGI TR Unit 6 (TR Bay 6) on temporary support - Forklift and Crane required</t>
        </is>
      </c>
      <c r="E114" s="29" t="inlineStr">
        <is>
          <t>JACKDOWN</t>
        </is>
      </c>
      <c r="F114" s="28" t="inlineStr">
        <is>
          <t>All</t>
        </is>
      </c>
      <c r="G114" s="30">
        <f>PROJECT_START+36</f>
        <v/>
      </c>
      <c r="H114" s="30">
        <f>G114+I114</f>
        <v/>
      </c>
      <c r="I114" s="28">
        <f>DUR_JD</f>
        <v/>
      </c>
      <c r="J114" s="28" t="inlineStr"/>
    </row>
    <row r="115">
      <c r="A115" s="18" t="inlineStr">
        <is>
          <t>OPERATIONAL</t>
        </is>
      </c>
      <c r="B115" s="18" t="inlineStr">
        <is>
          <t>AGI TR Unit 7</t>
        </is>
      </c>
      <c r="C115" s="18" t="inlineStr"/>
      <c r="D115" s="18" t="inlineStr">
        <is>
          <t>AGI TR Unit 7</t>
        </is>
      </c>
      <c r="E115" s="21" t="inlineStr">
        <is>
          <t>BUFFER</t>
        </is>
      </c>
      <c r="F115" s="18" t="inlineStr">
        <is>
          <t>All</t>
        </is>
      </c>
      <c r="G115" s="20">
        <f>PROJECT_START+29</f>
        <v/>
      </c>
      <c r="H115" s="20">
        <f>G115+I115</f>
        <v/>
      </c>
      <c r="I115" s="18" t="n">
        <v>0</v>
      </c>
      <c r="J115" s="18" t="inlineStr"/>
    </row>
    <row r="116">
      <c r="A116" s="18" t="inlineStr">
        <is>
          <t>OPERATIONAL</t>
        </is>
      </c>
      <c r="B116" s="18" t="inlineStr">
        <is>
          <t>AGI TR Unit 7</t>
        </is>
      </c>
      <c r="C116" s="18" t="inlineStr">
        <is>
          <t>A1720</t>
        </is>
      </c>
      <c r="D116" s="18" t="inlineStr">
        <is>
          <t>LCT arrives to MZP; Deck preparations</t>
        </is>
      </c>
      <c r="E116" s="22" t="inlineStr">
        <is>
          <t>DECK_PREP</t>
        </is>
      </c>
      <c r="F116" s="18" t="inlineStr">
        <is>
          <t>All</t>
        </is>
      </c>
      <c r="G116" s="20">
        <f>PROJECT_START+29</f>
        <v/>
      </c>
      <c r="H116" s="20">
        <f>G116+I116</f>
        <v/>
      </c>
      <c r="I116" s="18">
        <f>DUR_UL</f>
        <v/>
      </c>
      <c r="J116" s="18" t="inlineStr"/>
    </row>
    <row r="117">
      <c r="A117" s="18" t="inlineStr">
        <is>
          <t>OPERATIONAL</t>
        </is>
      </c>
      <c r="B117" s="18" t="inlineStr">
        <is>
          <t>AGI TR Unit 7</t>
        </is>
      </c>
      <c r="C117" s="18" t="inlineStr">
        <is>
          <t>A1730</t>
        </is>
      </c>
      <c r="D117" s="18" t="inlineStr">
        <is>
          <t>Loading of AGI TR Unit 7 on SPMT; lashing; Shifting to Mina Zayed Port RoRo Jetty area</t>
        </is>
      </c>
      <c r="E117" s="21" t="inlineStr">
        <is>
          <t>BUFFER</t>
        </is>
      </c>
      <c r="F117" s="18" t="inlineStr">
        <is>
          <t>All</t>
        </is>
      </c>
      <c r="G117" s="20">
        <f>PROJECT_START+30</f>
        <v/>
      </c>
      <c r="H117" s="20">
        <f>G117+I117</f>
        <v/>
      </c>
      <c r="I117" s="18" t="n">
        <v>0.3</v>
      </c>
      <c r="J117" s="18" t="inlineStr"/>
    </row>
    <row r="118">
      <c r="A118" s="18" t="inlineStr">
        <is>
          <t>OPERATIONAL</t>
        </is>
      </c>
      <c r="B118" s="18" t="inlineStr">
        <is>
          <t>AGI TR Unit 7</t>
        </is>
      </c>
      <c r="C118" s="18" t="inlineStr">
        <is>
          <t>A1740</t>
        </is>
      </c>
      <c r="D118" s="18" t="inlineStr">
        <is>
          <t>RoRo Ramp Installation - 5t Frokift and Crane required</t>
        </is>
      </c>
      <c r="E118" s="21" t="inlineStr">
        <is>
          <t>BUFFER</t>
        </is>
      </c>
      <c r="F118" s="18" t="inlineStr">
        <is>
          <t>All</t>
        </is>
      </c>
      <c r="G118" s="20">
        <f>PROJECT_START+30</f>
        <v/>
      </c>
      <c r="H118" s="20">
        <f>G118+I118</f>
        <v/>
      </c>
      <c r="I118" s="18" t="n">
        <v>0.3</v>
      </c>
      <c r="J118" s="18" t="inlineStr"/>
    </row>
    <row r="119">
      <c r="A119" s="18" t="inlineStr">
        <is>
          <t>OPERATIONAL</t>
        </is>
      </c>
      <c r="B119" s="18" t="inlineStr">
        <is>
          <t>AGI TR Unit 7</t>
        </is>
      </c>
      <c r="C119" s="18" t="inlineStr">
        <is>
          <t>A1750</t>
        </is>
      </c>
      <c r="D119" s="18" t="inlineStr">
        <is>
          <t>Load-out of AGL TR Unit 7; stool down</t>
        </is>
      </c>
      <c r="E119" s="23" t="inlineStr">
        <is>
          <t>LOADOUT</t>
        </is>
      </c>
      <c r="F119" s="18" t="inlineStr">
        <is>
          <t>All</t>
        </is>
      </c>
      <c r="G119" s="20">
        <f>PROJECT_START+30</f>
        <v/>
      </c>
      <c r="H119" s="20">
        <f>G119+I119</f>
        <v/>
      </c>
      <c r="I119" s="18" t="n">
        <v>0.2</v>
      </c>
      <c r="J119" s="18" t="inlineStr"/>
    </row>
    <row r="120">
      <c r="A120" s="18" t="inlineStr">
        <is>
          <t>OPERATIONAL</t>
        </is>
      </c>
      <c r="B120" s="18" t="inlineStr">
        <is>
          <t>AGI TR Unit 7</t>
        </is>
      </c>
      <c r="C120" s="18" t="inlineStr">
        <is>
          <t>A1760</t>
        </is>
      </c>
      <c r="D120" s="18" t="inlineStr">
        <is>
          <t>RoRo ramp removal; Seafastening AGL TR Unit 7 - Crane required</t>
        </is>
      </c>
      <c r="E120" s="24" t="inlineStr">
        <is>
          <t>SEAFAST</t>
        </is>
      </c>
      <c r="F120" s="18" t="inlineStr">
        <is>
          <t>All</t>
        </is>
      </c>
      <c r="G120" s="20">
        <f>PROJECT_START+30</f>
        <v/>
      </c>
      <c r="H120" s="20">
        <f>G120+I120</f>
        <v/>
      </c>
      <c r="I120" s="18">
        <f>DUR_BUF</f>
        <v/>
      </c>
      <c r="J120" s="18" t="inlineStr"/>
    </row>
    <row r="121">
      <c r="A121" s="18" t="inlineStr">
        <is>
          <t>OPERATIONAL</t>
        </is>
      </c>
      <c r="B121" s="18" t="inlineStr">
        <is>
          <t>AGI TR Unit 7</t>
        </is>
      </c>
      <c r="C121" s="18" t="inlineStr">
        <is>
          <t>A1820</t>
        </is>
      </c>
      <c r="D121" s="18" t="inlineStr">
        <is>
          <t>MWS + MPI + Final Preparations</t>
        </is>
      </c>
      <c r="E121" s="21" t="inlineStr">
        <is>
          <t>BUFFER</t>
        </is>
      </c>
      <c r="F121" s="18" t="inlineStr">
        <is>
          <t>All</t>
        </is>
      </c>
      <c r="G121" s="20">
        <f>PROJECT_START+31</f>
        <v/>
      </c>
      <c r="H121" s="20">
        <f>G121+I121</f>
        <v/>
      </c>
      <c r="I121" s="18">
        <f>DUR_BUF</f>
        <v/>
      </c>
      <c r="J121" s="18" t="inlineStr"/>
    </row>
    <row r="122">
      <c r="A122" s="18" t="inlineStr">
        <is>
          <t>OPERATIONAL</t>
        </is>
      </c>
      <c r="B122" s="18" t="inlineStr">
        <is>
          <t>AGI TR Unit 7</t>
        </is>
      </c>
      <c r="C122" s="18" t="inlineStr">
        <is>
          <t>A1830</t>
        </is>
      </c>
      <c r="D122" s="18" t="inlineStr">
        <is>
          <t>Sail-away - Marine Transportation by LCT to Al Ghallan Island</t>
        </is>
      </c>
      <c r="E122" s="25" t="inlineStr">
        <is>
          <t>SAIL</t>
        </is>
      </c>
      <c r="F122" s="18" t="inlineStr">
        <is>
          <t>All</t>
        </is>
      </c>
      <c r="G122" s="20">
        <f>PROJECT_START+32</f>
        <v/>
      </c>
      <c r="H122" s="20">
        <f>G122+I122</f>
        <v/>
      </c>
      <c r="I122" s="18">
        <f>DUR_SAIL</f>
        <v/>
      </c>
      <c r="J122" s="18" t="inlineStr"/>
    </row>
    <row r="123">
      <c r="A123" s="18" t="inlineStr">
        <is>
          <t>OPERATIONAL</t>
        </is>
      </c>
      <c r="B123" s="18" t="inlineStr">
        <is>
          <t>AGI TR Unit 7</t>
        </is>
      </c>
      <c r="C123" s="18" t="inlineStr">
        <is>
          <t>A1840</t>
        </is>
      </c>
      <c r="D123" s="18" t="inlineStr">
        <is>
          <t>LCT Arrival; Berthing at AGL RoRo Jetty</t>
        </is>
      </c>
      <c r="E123" s="26" t="inlineStr">
        <is>
          <t>AGI_UNLOAD</t>
        </is>
      </c>
      <c r="F123" s="18" t="inlineStr">
        <is>
          <t>All</t>
        </is>
      </c>
      <c r="G123" s="20">
        <f>PROJECT_START+33</f>
        <v/>
      </c>
      <c r="H123" s="20">
        <f>G123+I123</f>
        <v/>
      </c>
      <c r="I123" s="18">
        <f>DUR_BUF</f>
        <v/>
      </c>
      <c r="J123" s="18" t="inlineStr"/>
    </row>
    <row r="124">
      <c r="A124" s="18" t="inlineStr">
        <is>
          <t>OPERATIONAL</t>
        </is>
      </c>
      <c r="B124" s="18" t="inlineStr">
        <is>
          <t>AGI TR Unit 7</t>
        </is>
      </c>
      <c r="C124" s="18" t="inlineStr">
        <is>
          <t>A1850</t>
        </is>
      </c>
      <c r="D124" s="18" t="inlineStr">
        <is>
          <t>Unlashing and cutting; steel sets preparations - Forklift required</t>
        </is>
      </c>
      <c r="E124" s="21" t="inlineStr">
        <is>
          <t>BUFFER</t>
        </is>
      </c>
      <c r="F124" s="18" t="inlineStr">
        <is>
          <t>All</t>
        </is>
      </c>
      <c r="G124" s="20">
        <f>PROJECT_START+33</f>
        <v/>
      </c>
      <c r="H124" s="20">
        <f>G124+I124</f>
        <v/>
      </c>
      <c r="I124" s="18">
        <f>DUR_BUF</f>
        <v/>
      </c>
      <c r="J124" s="18" t="inlineStr"/>
    </row>
    <row r="125">
      <c r="A125" s="18" t="inlineStr">
        <is>
          <t>OPERATIONAL</t>
        </is>
      </c>
      <c r="B125" s="18" t="inlineStr">
        <is>
          <t>AGI TR Unit 7</t>
        </is>
      </c>
      <c r="C125" s="18" t="inlineStr">
        <is>
          <t>A1860</t>
        </is>
      </c>
      <c r="D125" s="18" t="inlineStr">
        <is>
          <t>Load-in of AGI TR Unit 7 (including RoRo Ramp Installation); store on Jetty - Crane required</t>
        </is>
      </c>
      <c r="E125" s="23" t="inlineStr">
        <is>
          <t>LOADOUT</t>
        </is>
      </c>
      <c r="F125" s="18" t="inlineStr">
        <is>
          <t>All</t>
        </is>
      </c>
      <c r="G125" s="20">
        <f>PROJECT_START+34</f>
        <v/>
      </c>
      <c r="H125" s="20">
        <f>G125+I125</f>
        <v/>
      </c>
      <c r="I125" s="18">
        <f>DUR_UL</f>
        <v/>
      </c>
      <c r="J125" s="18" t="inlineStr"/>
    </row>
    <row r="126">
      <c r="A126" s="18" t="inlineStr">
        <is>
          <t>OPERATIONAL</t>
        </is>
      </c>
      <c r="B126" s="18" t="inlineStr">
        <is>
          <t>AGI TR Unit 7</t>
        </is>
      </c>
      <c r="C126" s="18" t="inlineStr">
        <is>
          <t>A1890</t>
        </is>
      </c>
      <c r="D126" s="18" t="inlineStr">
        <is>
          <t>Steel bridge Installation - Crane required</t>
        </is>
      </c>
      <c r="E126" s="21" t="inlineStr">
        <is>
          <t>BUFFER</t>
        </is>
      </c>
      <c r="F126" s="18" t="inlineStr">
        <is>
          <t>All</t>
        </is>
      </c>
      <c r="G126" s="20">
        <f>PROJECT_START+35</f>
        <v/>
      </c>
      <c r="H126" s="20">
        <f>G126+I126</f>
        <v/>
      </c>
      <c r="I126" s="18" t="n">
        <v>0.3</v>
      </c>
      <c r="J126" s="18" t="inlineStr"/>
    </row>
    <row r="127">
      <c r="A127" s="18" t="inlineStr">
        <is>
          <t>OPERATIONAL</t>
        </is>
      </c>
      <c r="B127" s="18" t="inlineStr">
        <is>
          <t>AGI TR Unit 7</t>
        </is>
      </c>
      <c r="C127" s="18" t="inlineStr">
        <is>
          <t>A1900</t>
        </is>
      </c>
      <c r="D127" s="18" t="inlineStr">
        <is>
          <t>AGL TR Unit 7 (TR Bay 7) load on SPMT; lashing; Transportation and JD (steel set to be delivered to bay area by trailer)</t>
        </is>
      </c>
      <c r="E127" s="21" t="inlineStr">
        <is>
          <t>BUFFER</t>
        </is>
      </c>
      <c r="F127" s="18" t="inlineStr">
        <is>
          <t>All</t>
        </is>
      </c>
      <c r="G127" s="20">
        <f>PROJECT_START+35</f>
        <v/>
      </c>
      <c r="H127" s="20">
        <f>G127+I127</f>
        <v/>
      </c>
      <c r="I127" s="18" t="n">
        <v>0.7</v>
      </c>
      <c r="J127" s="18" t="inlineStr"/>
    </row>
    <row r="128">
      <c r="A128" s="18" t="inlineStr">
        <is>
          <t>OPERATIONAL</t>
        </is>
      </c>
      <c r="B128" s="18" t="inlineStr">
        <is>
          <t>AGI TR Unit 7</t>
        </is>
      </c>
      <c r="C128" s="18" t="inlineStr">
        <is>
          <t>A1910</t>
        </is>
      </c>
      <c r="D128" s="18" t="inlineStr">
        <is>
          <t>Turning of AGI TR Unit 7 (TR Bay 7) - 10t Forklift required</t>
        </is>
      </c>
      <c r="E128" s="27" t="inlineStr">
        <is>
          <t>TURNING</t>
        </is>
      </c>
      <c r="F128" s="18" t="inlineStr">
        <is>
          <t>All</t>
        </is>
      </c>
      <c r="G128" s="20">
        <f>PROJECT_START+37</f>
        <v/>
      </c>
      <c r="H128" s="20">
        <f>G128+I128</f>
        <v/>
      </c>
      <c r="I128" s="18">
        <f>DUR_TURN</f>
        <v/>
      </c>
      <c r="J128" s="18" t="inlineStr"/>
    </row>
    <row r="129">
      <c r="A129" s="28" t="inlineStr">
        <is>
          <t>OPERATIONAL</t>
        </is>
      </c>
      <c r="B129" s="28" t="inlineStr">
        <is>
          <t>AGI TR Unit 7</t>
        </is>
      </c>
      <c r="C129" s="28" t="inlineStr">
        <is>
          <t>A1920</t>
        </is>
      </c>
      <c r="D129" s="28" t="inlineStr">
        <is>
          <t>Jacking down of AGI TR Unit 7 (TR Bay 7) on temporary support - Forklift required</t>
        </is>
      </c>
      <c r="E129" s="29" t="inlineStr">
        <is>
          <t>JACKDOWN</t>
        </is>
      </c>
      <c r="F129" s="28" t="inlineStr">
        <is>
          <t>All</t>
        </is>
      </c>
      <c r="G129" s="30">
        <f>PROJECT_START+40</f>
        <v/>
      </c>
      <c r="H129" s="30">
        <f>G129+I129</f>
        <v/>
      </c>
      <c r="I129" s="28">
        <f>DUR_JD</f>
        <v/>
      </c>
      <c r="J129" s="28" t="inlineStr"/>
    </row>
    <row r="130">
      <c r="A130" s="18" t="inlineStr">
        <is>
          <t>OPERATIONAL</t>
        </is>
      </c>
      <c r="B130" s="18" t="inlineStr">
        <is>
          <t>AGI TR Unit 7</t>
        </is>
      </c>
      <c r="C130" s="18" t="inlineStr">
        <is>
          <t>A1960</t>
        </is>
      </c>
      <c r="D130" s="18" t="inlineStr">
        <is>
          <t>SPMT shifting back to Port</t>
        </is>
      </c>
      <c r="E130" s="21" t="inlineStr">
        <is>
          <t>BUFFER</t>
        </is>
      </c>
      <c r="F130" s="18" t="inlineStr">
        <is>
          <t>All</t>
        </is>
      </c>
      <c r="G130" s="20">
        <f>PROJECT_START+39</f>
        <v/>
      </c>
      <c r="H130" s="20">
        <f>G130+I130</f>
        <v/>
      </c>
      <c r="I130" s="18">
        <f>DUR_BUF</f>
        <v/>
      </c>
      <c r="J130" s="18" t="inlineStr"/>
    </row>
  </sheetData>
  <mergeCells count="3">
    <mergeCell ref="A1:J1"/>
    <mergeCell ref="A3:J3"/>
    <mergeCell ref="A2:J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T129"/>
  <sheetViews>
    <sheetView workbookViewId="0">
      <pane xSplit="4" ySplit="4" topLeftCell="E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45" customWidth="1" min="4" max="4"/>
    <col width="2.5" customWidth="1" min="5" max="5"/>
    <col width="2.5" customWidth="1" min="6" max="6"/>
    <col width="2.5" customWidth="1" min="7" max="7"/>
    <col width="2.5" customWidth="1" min="8" max="8"/>
    <col width="2.5" customWidth="1" min="9" max="9"/>
    <col width="2.5" customWidth="1" min="10" max="10"/>
    <col width="2.5" customWidth="1" min="11" max="11"/>
    <col width="2.5" customWidth="1" min="12" max="12"/>
    <col width="2.5" customWidth="1" min="13" max="13"/>
    <col width="2.5" customWidth="1" min="14" max="14"/>
    <col width="2.5" customWidth="1" min="15" max="15"/>
    <col width="2.5" customWidth="1" min="16" max="16"/>
    <col width="2.5" customWidth="1" min="17" max="17"/>
    <col width="2.5" customWidth="1" min="18" max="18"/>
    <col width="2.5" customWidth="1" min="19" max="19"/>
    <col width="2.5" customWidth="1" min="20" max="20"/>
    <col width="2.5" customWidth="1" min="21" max="21"/>
    <col width="2.5" customWidth="1" min="22" max="22"/>
    <col width="2.5" customWidth="1" min="23" max="23"/>
    <col width="2.5" customWidth="1" min="24" max="24"/>
    <col width="2.5" customWidth="1" min="25" max="25"/>
    <col width="2.5" customWidth="1" min="26" max="26"/>
    <col width="2.5" customWidth="1" min="27" max="27"/>
    <col width="2.5" customWidth="1" min="28" max="28"/>
    <col width="2.5" customWidth="1" min="29" max="29"/>
    <col width="2.5" customWidth="1" min="30" max="30"/>
    <col width="2.5" customWidth="1" min="31" max="31"/>
    <col width="2.5" customWidth="1" min="32" max="32"/>
    <col width="2.5" customWidth="1" min="33" max="33"/>
    <col width="2.5" customWidth="1" min="34" max="34"/>
    <col width="2.5" customWidth="1" min="35" max="35"/>
    <col width="2.5" customWidth="1" min="36" max="36"/>
    <col width="2.5" customWidth="1" min="37" max="37"/>
    <col width="2.5" customWidth="1" min="38" max="38"/>
    <col width="2.5" customWidth="1" min="39" max="39"/>
    <col width="2.5" customWidth="1" min="40" max="40"/>
    <col width="2.5" customWidth="1" min="41" max="41"/>
    <col width="2.5" customWidth="1" min="42" max="42"/>
    <col width="2.5" customWidth="1" min="43" max="43"/>
    <col width="2.5" customWidth="1" min="44" max="44"/>
    <col width="2.5" customWidth="1" min="45" max="45"/>
    <col width="2.5" customWidth="1" min="46" max="46"/>
    <col width="2.5" customWidth="1" min="47" max="47"/>
    <col width="2.5" customWidth="1" min="48" max="48"/>
    <col width="2.5" customWidth="1" min="49" max="49"/>
    <col width="2.5" customWidth="1" min="50" max="50"/>
    <col width="2.5" customWidth="1" min="51" max="51"/>
    <col width="2.5" customWidth="1" min="52" max="52"/>
    <col width="2.5" customWidth="1" min="53" max="53"/>
    <col width="2.5" customWidth="1" min="54" max="54"/>
    <col width="2.5" customWidth="1" min="55" max="55"/>
    <col width="2.5" customWidth="1" min="56" max="56"/>
    <col width="2.5" customWidth="1" min="57" max="57"/>
    <col width="2.5" customWidth="1" min="58" max="58"/>
    <col width="2.5" customWidth="1" min="59" max="59"/>
    <col width="2.5" customWidth="1" min="60" max="60"/>
    <col width="2.5" customWidth="1" min="61" max="61"/>
    <col width="2.5" customWidth="1" min="62" max="62"/>
    <col width="2.5" customWidth="1" min="63" max="63"/>
    <col width="2.5" customWidth="1" min="64" max="64"/>
    <col width="2.5" customWidth="1" min="65" max="65"/>
    <col width="2.5" customWidth="1" min="66" max="66"/>
    <col width="2.5" customWidth="1" min="67" max="67"/>
    <col width="2.5" customWidth="1" min="68" max="68"/>
    <col width="2.5" customWidth="1" min="69" max="69"/>
    <col width="2.5" customWidth="1" min="70" max="70"/>
    <col width="2.5" customWidth="1" min="71" max="71"/>
    <col width="2.5" customWidth="1" min="72" max="72"/>
    <col width="2.5" customWidth="1" min="73" max="73"/>
    <col width="2.5" customWidth="1" min="74" max="74"/>
    <col width="2.5" customWidth="1" min="75" max="75"/>
    <col width="2.5" customWidth="1" min="76" max="76"/>
    <col width="2.5" customWidth="1" min="77" max="77"/>
    <col width="2.5" customWidth="1" min="78" max="78"/>
    <col width="2.5" customWidth="1" min="79" max="79"/>
    <col width="2.5" customWidth="1" min="80" max="80"/>
    <col width="2.5" customWidth="1" min="81" max="81"/>
    <col width="2.5" customWidth="1" min="82" max="82"/>
    <col width="2.5" customWidth="1" min="83" max="83"/>
    <col width="2.5" customWidth="1" min="84" max="84"/>
    <col width="2.5" customWidth="1" min="85" max="85"/>
    <col width="2.5" customWidth="1" min="86" max="86"/>
    <col width="2.5" customWidth="1" min="87" max="87"/>
    <col width="2.5" customWidth="1" min="88" max="88"/>
    <col width="2.5" customWidth="1" min="89" max="89"/>
    <col width="2.5" customWidth="1" min="90" max="90"/>
    <col width="2.5" customWidth="1" min="91" max="91"/>
    <col width="2.5" customWidth="1" min="92" max="92"/>
    <col width="2.5" customWidth="1" min="93" max="93"/>
    <col width="2.5" customWidth="1" min="94" max="94"/>
    <col width="2.5" customWidth="1" min="95" max="95"/>
    <col width="2.5" customWidth="1" min="96" max="96"/>
    <col width="2.5" customWidth="1" min="97" max="97"/>
    <col width="2.5" customWidth="1" min="98" max="98"/>
    <col width="2.5" customWidth="1" min="99" max="99"/>
    <col width="2.5" customWidth="1" min="100" max="100"/>
    <col width="2.5" customWidth="1" min="101" max="101"/>
    <col width="2.5" customWidth="1" min="102" max="102"/>
    <col width="2.5" customWidth="1" min="103" max="103"/>
    <col width="2.5" customWidth="1" min="104" max="104"/>
    <col width="2.5" customWidth="1" min="105" max="105"/>
    <col width="2.5" customWidth="1" min="106" max="106"/>
    <col width="2.5" customWidth="1" min="107" max="107"/>
    <col width="2.5" customWidth="1" min="108" max="108"/>
    <col width="2.5" customWidth="1" min="109" max="109"/>
    <col width="2.5" customWidth="1" min="110" max="110"/>
    <col width="2.5" customWidth="1" min="111" max="111"/>
    <col width="2.5" customWidth="1" min="112" max="112"/>
    <col width="2.5" customWidth="1" min="113" max="113"/>
    <col width="2.5" customWidth="1" min="114" max="114"/>
    <col width="2.5" customWidth="1" min="115" max="115"/>
    <col width="2.5" customWidth="1" min="116" max="116"/>
    <col width="2.5" customWidth="1" min="117" max="117"/>
    <col width="2.5" customWidth="1" min="118" max="118"/>
    <col width="2.5" customWidth="1" min="119" max="119"/>
    <col width="2.5" customWidth="1" min="120" max="120"/>
    <col width="2.5" customWidth="1" min="121" max="121"/>
    <col width="2.5" customWidth="1" min="122" max="122"/>
    <col width="2.5" customWidth="1" min="123" max="123"/>
    <col width="2.5" customWidth="1" min="124" max="124"/>
  </cols>
  <sheetData>
    <row r="1">
      <c r="A1" s="31" t="inlineStr">
        <is>
          <t>AGI TR Transportation - Option_A Gantt Chart</t>
        </is>
      </c>
    </row>
    <row r="2">
      <c r="A2" s="16" t="inlineStr">
        <is>
          <t>Orange Zone = Winter Shamal Risk Period (Jan 15-Apr 30) | Tide ≥1.90m + Weather Gate | VBA: RefreshGanttChart_Option_A로 색상 갱신</t>
        </is>
      </c>
    </row>
    <row r="3">
      <c r="A3" s="5" t="inlineStr">
        <is>
          <t>Jan 2026</t>
        </is>
      </c>
    </row>
    <row r="4">
      <c r="A4" s="32" t="inlineStr">
        <is>
          <t>Type A</t>
        </is>
      </c>
      <c r="B4" s="32" t="inlineStr">
        <is>
          <t>Type B</t>
        </is>
      </c>
      <c r="C4" s="32" t="inlineStr">
        <is>
          <t>Activity ID</t>
        </is>
      </c>
      <c r="D4" s="32" t="inlineStr">
        <is>
          <t>Activity Name</t>
        </is>
      </c>
      <c r="E4" s="33">
        <f>PROJECT_START+0</f>
        <v/>
      </c>
      <c r="F4" s="33">
        <f>PROJECT_START+1</f>
        <v/>
      </c>
      <c r="G4" s="33">
        <f>PROJECT_START+2</f>
        <v/>
      </c>
      <c r="H4" s="33">
        <f>PROJECT_START+3</f>
        <v/>
      </c>
      <c r="I4" s="33">
        <f>PROJECT_START+4</f>
        <v/>
      </c>
      <c r="J4" s="33">
        <f>PROJECT_START+5</f>
        <v/>
      </c>
      <c r="K4" s="33">
        <f>PROJECT_START+6</f>
        <v/>
      </c>
      <c r="L4" s="33">
        <f>PROJECT_START+7</f>
        <v/>
      </c>
      <c r="M4" s="33">
        <f>PROJECT_START+8</f>
        <v/>
      </c>
      <c r="N4" s="33">
        <f>PROJECT_START+9</f>
        <v/>
      </c>
      <c r="O4" s="33">
        <f>PROJECT_START+10</f>
        <v/>
      </c>
      <c r="P4" s="33">
        <f>PROJECT_START+11</f>
        <v/>
      </c>
      <c r="Q4" s="33">
        <f>PROJECT_START+12</f>
        <v/>
      </c>
      <c r="R4" s="33">
        <f>PROJECT_START+13</f>
        <v/>
      </c>
      <c r="S4" s="33">
        <f>PROJECT_START+14</f>
        <v/>
      </c>
      <c r="T4" s="33">
        <f>PROJECT_START+15</f>
        <v/>
      </c>
      <c r="U4" s="33">
        <f>PROJECT_START+16</f>
        <v/>
      </c>
      <c r="V4" s="33">
        <f>PROJECT_START+17</f>
        <v/>
      </c>
      <c r="W4" s="33">
        <f>PROJECT_START+18</f>
        <v/>
      </c>
      <c r="X4" s="33">
        <f>PROJECT_START+19</f>
        <v/>
      </c>
      <c r="Y4" s="33">
        <f>PROJECT_START+20</f>
        <v/>
      </c>
      <c r="Z4" s="33">
        <f>PROJECT_START+21</f>
        <v/>
      </c>
      <c r="AA4" s="33">
        <f>PROJECT_START+22</f>
        <v/>
      </c>
      <c r="AB4" s="33">
        <f>PROJECT_START+23</f>
        <v/>
      </c>
      <c r="AC4" s="33">
        <f>PROJECT_START+24</f>
        <v/>
      </c>
      <c r="AD4" s="33">
        <f>PROJECT_START+25</f>
        <v/>
      </c>
      <c r="AE4" s="33">
        <f>PROJECT_START+26</f>
        <v/>
      </c>
      <c r="AF4" s="33">
        <f>PROJECT_START+27</f>
        <v/>
      </c>
      <c r="AG4" s="33">
        <f>PROJECT_START+28</f>
        <v/>
      </c>
      <c r="AH4" s="33">
        <f>PROJECT_START+29</f>
        <v/>
      </c>
      <c r="AI4" s="33">
        <f>PROJECT_START+30</f>
        <v/>
      </c>
      <c r="AJ4" s="33">
        <f>PROJECT_START+31</f>
        <v/>
      </c>
      <c r="AK4" s="33">
        <f>PROJECT_START+32</f>
        <v/>
      </c>
      <c r="AL4" s="33">
        <f>PROJECT_START+33</f>
        <v/>
      </c>
      <c r="AM4" s="33">
        <f>PROJECT_START+34</f>
        <v/>
      </c>
      <c r="AN4" s="33">
        <f>PROJECT_START+35</f>
        <v/>
      </c>
      <c r="AO4" s="33">
        <f>PROJECT_START+36</f>
        <v/>
      </c>
      <c r="AP4" s="33">
        <f>PROJECT_START+37</f>
        <v/>
      </c>
      <c r="AQ4" s="33">
        <f>PROJECT_START+38</f>
        <v/>
      </c>
      <c r="AR4" s="33">
        <f>PROJECT_START+39</f>
        <v/>
      </c>
      <c r="AS4" s="33">
        <f>PROJECT_START+40</f>
        <v/>
      </c>
      <c r="AT4" s="33">
        <f>PROJECT_START+41</f>
        <v/>
      </c>
      <c r="AU4" s="33">
        <f>PROJECT_START+42</f>
        <v/>
      </c>
      <c r="AV4" s="33">
        <f>PROJECT_START+43</f>
        <v/>
      </c>
      <c r="AW4" s="33">
        <f>PROJECT_START+44</f>
        <v/>
      </c>
      <c r="AX4" s="33">
        <f>PROJECT_START+45</f>
        <v/>
      </c>
      <c r="AY4" s="33">
        <f>PROJECT_START+46</f>
        <v/>
      </c>
      <c r="AZ4" s="33">
        <f>PROJECT_START+47</f>
        <v/>
      </c>
      <c r="BA4" s="33">
        <f>PROJECT_START+48</f>
        <v/>
      </c>
      <c r="BB4" s="33">
        <f>PROJECT_START+49</f>
        <v/>
      </c>
      <c r="BC4" s="33">
        <f>PROJECT_START+50</f>
        <v/>
      </c>
      <c r="BD4" s="33">
        <f>PROJECT_START+51</f>
        <v/>
      </c>
      <c r="BE4" s="33">
        <f>PROJECT_START+52</f>
        <v/>
      </c>
      <c r="BF4" s="33">
        <f>PROJECT_START+53</f>
        <v/>
      </c>
      <c r="BG4" s="33">
        <f>PROJECT_START+54</f>
        <v/>
      </c>
      <c r="BH4" s="33">
        <f>PROJECT_START+55</f>
        <v/>
      </c>
      <c r="BI4" s="33">
        <f>PROJECT_START+56</f>
        <v/>
      </c>
      <c r="BJ4" s="33">
        <f>PROJECT_START+57</f>
        <v/>
      </c>
      <c r="BK4" s="33">
        <f>PROJECT_START+58</f>
        <v/>
      </c>
      <c r="BL4" s="33">
        <f>PROJECT_START+59</f>
        <v/>
      </c>
      <c r="BM4" s="33">
        <f>PROJECT_START+60</f>
        <v/>
      </c>
      <c r="BN4" s="33">
        <f>PROJECT_START+61</f>
        <v/>
      </c>
      <c r="BO4" s="33">
        <f>PROJECT_START+62</f>
        <v/>
      </c>
      <c r="BP4" s="33">
        <f>PROJECT_START+63</f>
        <v/>
      </c>
      <c r="BQ4" s="33">
        <f>PROJECT_START+64</f>
        <v/>
      </c>
      <c r="BR4" s="33">
        <f>PROJECT_START+65</f>
        <v/>
      </c>
      <c r="BS4" s="33">
        <f>PROJECT_START+66</f>
        <v/>
      </c>
      <c r="BT4" s="33">
        <f>PROJECT_START+67</f>
        <v/>
      </c>
      <c r="BU4" s="33">
        <f>PROJECT_START+68</f>
        <v/>
      </c>
      <c r="BV4" s="33">
        <f>PROJECT_START+69</f>
        <v/>
      </c>
      <c r="BW4" s="33">
        <f>PROJECT_START+70</f>
        <v/>
      </c>
      <c r="BX4" s="33">
        <f>PROJECT_START+71</f>
        <v/>
      </c>
      <c r="BY4" s="33">
        <f>PROJECT_START+72</f>
        <v/>
      </c>
      <c r="BZ4" s="33">
        <f>PROJECT_START+73</f>
        <v/>
      </c>
      <c r="CA4" s="33">
        <f>PROJECT_START+74</f>
        <v/>
      </c>
      <c r="CB4" s="33">
        <f>PROJECT_START+75</f>
        <v/>
      </c>
      <c r="CC4" s="33">
        <f>PROJECT_START+76</f>
        <v/>
      </c>
      <c r="CD4" s="33">
        <f>PROJECT_START+77</f>
        <v/>
      </c>
      <c r="CE4" s="33">
        <f>PROJECT_START+78</f>
        <v/>
      </c>
      <c r="CF4" s="33">
        <f>PROJECT_START+79</f>
        <v/>
      </c>
      <c r="CG4" s="33">
        <f>PROJECT_START+80</f>
        <v/>
      </c>
      <c r="CH4" s="33">
        <f>PROJECT_START+81</f>
        <v/>
      </c>
      <c r="CI4" s="33">
        <f>PROJECT_START+82</f>
        <v/>
      </c>
      <c r="CJ4" s="33">
        <f>PROJECT_START+83</f>
        <v/>
      </c>
      <c r="CK4" s="33">
        <f>PROJECT_START+84</f>
        <v/>
      </c>
      <c r="CL4" s="33">
        <f>PROJECT_START+85</f>
        <v/>
      </c>
      <c r="CM4" s="33">
        <f>PROJECT_START+86</f>
        <v/>
      </c>
      <c r="CN4" s="33">
        <f>PROJECT_START+87</f>
        <v/>
      </c>
      <c r="CO4" s="33">
        <f>PROJECT_START+88</f>
        <v/>
      </c>
      <c r="CP4" s="33">
        <f>PROJECT_START+89</f>
        <v/>
      </c>
      <c r="CQ4" s="33">
        <f>PROJECT_START+90</f>
        <v/>
      </c>
      <c r="CR4" s="33">
        <f>PROJECT_START+91</f>
        <v/>
      </c>
      <c r="CS4" s="33">
        <f>PROJECT_START+92</f>
        <v/>
      </c>
      <c r="CT4" s="33">
        <f>PROJECT_START+93</f>
        <v/>
      </c>
      <c r="CU4" s="33">
        <f>PROJECT_START+94</f>
        <v/>
      </c>
      <c r="CV4" s="34">
        <f>PROJECT_START+95</f>
        <v/>
      </c>
      <c r="CW4" s="34">
        <f>PROJECT_START+96</f>
        <v/>
      </c>
      <c r="CX4" s="34">
        <f>PROJECT_START+97</f>
        <v/>
      </c>
      <c r="CY4" s="34">
        <f>PROJECT_START+98</f>
        <v/>
      </c>
      <c r="CZ4" s="34">
        <f>PROJECT_START+99</f>
        <v/>
      </c>
      <c r="DA4" s="34">
        <f>PROJECT_START+100</f>
        <v/>
      </c>
      <c r="DB4" s="34">
        <f>PROJECT_START+101</f>
        <v/>
      </c>
      <c r="DC4" s="34">
        <f>PROJECT_START+102</f>
        <v/>
      </c>
      <c r="DD4" s="34">
        <f>PROJECT_START+103</f>
        <v/>
      </c>
      <c r="DE4" s="34">
        <f>PROJECT_START+104</f>
        <v/>
      </c>
      <c r="DF4" s="34">
        <f>PROJECT_START+105</f>
        <v/>
      </c>
      <c r="DG4" s="34">
        <f>PROJECT_START+106</f>
        <v/>
      </c>
      <c r="DH4" s="34">
        <f>PROJECT_START+107</f>
        <v/>
      </c>
      <c r="DI4" s="34">
        <f>PROJECT_START+108</f>
        <v/>
      </c>
      <c r="DJ4" s="34">
        <f>PROJECT_START+109</f>
        <v/>
      </c>
      <c r="DK4" s="34">
        <f>PROJECT_START+110</f>
        <v/>
      </c>
      <c r="DL4" s="34">
        <f>PROJECT_START+111</f>
        <v/>
      </c>
      <c r="DM4" s="34">
        <f>PROJECT_START+112</f>
        <v/>
      </c>
      <c r="DN4" s="34">
        <f>PROJECT_START+113</f>
        <v/>
      </c>
      <c r="DO4" s="34">
        <f>PROJECT_START+114</f>
        <v/>
      </c>
      <c r="DP4" s="34">
        <f>PROJECT_START+115</f>
        <v/>
      </c>
      <c r="DQ4" s="34">
        <f>PROJECT_START+116</f>
        <v/>
      </c>
      <c r="DR4" s="34">
        <f>PROJECT_START+117</f>
        <v/>
      </c>
      <c r="DS4" s="34">
        <f>PROJECT_START+118</f>
        <v/>
      </c>
      <c r="DT4" s="34">
        <f>PROJECT_START+119</f>
        <v/>
      </c>
    </row>
    <row r="5">
      <c r="A5" s="18">
        <f>'Schedule_Data_Option_A'!A6</f>
        <v/>
      </c>
      <c r="B5" s="18">
        <f>'Schedule_Data_Option_A'!B6</f>
        <v/>
      </c>
      <c r="C5" s="18">
        <f>'Schedule_Data_Option_A'!C6</f>
        <v/>
      </c>
      <c r="D5" s="19">
        <f>'Schedule_Data_Option_A'!D6</f>
        <v/>
      </c>
      <c r="E5" s="35" t="inlineStr">
        <is>
          <t>*</t>
        </is>
      </c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18" t="n"/>
      <c r="W5" s="18" t="n"/>
      <c r="X5" s="18" t="n"/>
      <c r="Y5" s="18" t="n"/>
      <c r="Z5" s="18" t="n"/>
      <c r="AA5" s="18" t="n"/>
      <c r="AB5" s="18" t="n"/>
      <c r="AC5" s="18" t="n"/>
      <c r="AD5" s="18" t="n"/>
      <c r="AE5" s="18" t="n"/>
      <c r="AF5" s="18" t="n"/>
      <c r="AG5" s="18" t="n"/>
      <c r="AH5" s="18" t="n"/>
      <c r="AI5" s="18" t="n"/>
      <c r="AJ5" s="18" t="n"/>
      <c r="AK5" s="18" t="n"/>
      <c r="AL5" s="18" t="n"/>
      <c r="AM5" s="18" t="n"/>
      <c r="AN5" s="18" t="n"/>
      <c r="AO5" s="18" t="n"/>
      <c r="AP5" s="18" t="n"/>
      <c r="AQ5" s="18" t="n"/>
      <c r="AR5" s="18" t="n"/>
      <c r="AS5" s="18" t="n"/>
      <c r="AT5" s="18" t="n"/>
      <c r="AU5" s="18" t="n"/>
      <c r="AV5" s="18" t="n"/>
      <c r="AW5" s="18" t="n"/>
      <c r="AX5" s="18" t="n"/>
      <c r="AY5" s="18" t="n"/>
      <c r="AZ5" s="18" t="n"/>
      <c r="BA5" s="18" t="n"/>
      <c r="BB5" s="18" t="n"/>
      <c r="BC5" s="18" t="n"/>
      <c r="BD5" s="18" t="n"/>
      <c r="BE5" s="18" t="n"/>
      <c r="BF5" s="18" t="n"/>
      <c r="BG5" s="18" t="n"/>
      <c r="BH5" s="18" t="n"/>
      <c r="BI5" s="18" t="n"/>
      <c r="BJ5" s="18" t="n"/>
      <c r="BK5" s="18" t="n"/>
      <c r="BL5" s="18" t="n"/>
      <c r="BM5" s="18" t="n"/>
      <c r="BN5" s="18" t="n"/>
      <c r="BO5" s="18" t="n"/>
      <c r="BP5" s="18" t="n"/>
      <c r="BQ5" s="18" t="n"/>
      <c r="BR5" s="18" t="n"/>
      <c r="BS5" s="18" t="n"/>
      <c r="BT5" s="18" t="n"/>
      <c r="BU5" s="18" t="n"/>
      <c r="BV5" s="18" t="n"/>
      <c r="BW5" s="18" t="n"/>
      <c r="BX5" s="18" t="n"/>
      <c r="BY5" s="18" t="n"/>
      <c r="BZ5" s="18" t="n"/>
      <c r="CA5" s="18" t="n"/>
      <c r="CB5" s="18" t="n"/>
      <c r="CC5" s="18" t="n"/>
      <c r="CD5" s="18" t="n"/>
      <c r="CE5" s="18" t="n"/>
      <c r="CF5" s="18" t="n"/>
      <c r="CG5" s="18" t="n"/>
      <c r="CH5" s="18" t="n"/>
      <c r="CI5" s="18" t="n"/>
      <c r="CJ5" s="18" t="n"/>
      <c r="CK5" s="18" t="n"/>
      <c r="CL5" s="18" t="n"/>
      <c r="CM5" s="18" t="n"/>
      <c r="CN5" s="18" t="n"/>
      <c r="CO5" s="18" t="n"/>
      <c r="CP5" s="18" t="n"/>
      <c r="CQ5" s="18" t="n"/>
      <c r="CR5" s="18" t="n"/>
      <c r="CS5" s="18" t="n"/>
      <c r="CT5" s="18" t="n"/>
      <c r="CU5" s="18" t="n"/>
      <c r="CV5" s="18" t="n"/>
      <c r="CW5" s="18" t="n"/>
      <c r="CX5" s="18" t="n"/>
      <c r="CY5" s="18" t="n"/>
      <c r="CZ5" s="18" t="n"/>
      <c r="DA5" s="18" t="n"/>
      <c r="DB5" s="18" t="n"/>
      <c r="DC5" s="18" t="n"/>
      <c r="DD5" s="18" t="n"/>
      <c r="DE5" s="18" t="n"/>
      <c r="DF5" s="18" t="n"/>
      <c r="DG5" s="18" t="n"/>
      <c r="DH5" s="18" t="n"/>
      <c r="DI5" s="18" t="n"/>
      <c r="DJ5" s="18" t="n"/>
      <c r="DK5" s="18" t="n"/>
      <c r="DL5" s="18" t="n"/>
      <c r="DM5" s="18" t="n"/>
      <c r="DN5" s="18" t="n"/>
      <c r="DO5" s="18" t="n"/>
      <c r="DP5" s="18" t="n"/>
      <c r="DQ5" s="18" t="n"/>
      <c r="DR5" s="18" t="n"/>
      <c r="DS5" s="18" t="n"/>
      <c r="DT5" s="18" t="n"/>
    </row>
    <row r="6">
      <c r="A6" s="18">
        <f>'Schedule_Data_Option_A'!A7</f>
        <v/>
      </c>
      <c r="B6" s="18">
        <f>'Schedule_Data_Option_A'!B7</f>
        <v/>
      </c>
      <c r="C6" s="18">
        <f>'Schedule_Data_Option_A'!C7</f>
        <v/>
      </c>
      <c r="D6" s="21">
        <f>'Schedule_Data_Option_A'!D7</f>
        <v/>
      </c>
      <c r="E6" s="36" t="inlineStr">
        <is>
          <t>*</t>
        </is>
      </c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  <c r="AA6" s="18" t="n"/>
      <c r="AB6" s="18" t="n"/>
      <c r="AC6" s="18" t="n"/>
      <c r="AD6" s="18" t="n"/>
      <c r="AE6" s="18" t="n"/>
      <c r="AF6" s="18" t="n"/>
      <c r="AG6" s="18" t="n"/>
      <c r="AH6" s="18" t="n"/>
      <c r="AI6" s="18" t="n"/>
      <c r="AJ6" s="18" t="n"/>
      <c r="AK6" s="18" t="n"/>
      <c r="AL6" s="18" t="n"/>
      <c r="AM6" s="18" t="n"/>
      <c r="AN6" s="18" t="n"/>
      <c r="AO6" s="18" t="n"/>
      <c r="AP6" s="18" t="n"/>
      <c r="AQ6" s="18" t="n"/>
      <c r="AR6" s="18" t="n"/>
      <c r="AS6" s="18" t="n"/>
      <c r="AT6" s="18" t="n"/>
      <c r="AU6" s="18" t="n"/>
      <c r="AV6" s="18" t="n"/>
      <c r="AW6" s="18" t="n"/>
      <c r="AX6" s="18" t="n"/>
      <c r="AY6" s="18" t="n"/>
      <c r="AZ6" s="18" t="n"/>
      <c r="BA6" s="18" t="n"/>
      <c r="BB6" s="18" t="n"/>
      <c r="BC6" s="18" t="n"/>
      <c r="BD6" s="18" t="n"/>
      <c r="BE6" s="18" t="n"/>
      <c r="BF6" s="18" t="n"/>
      <c r="BG6" s="18" t="n"/>
      <c r="BH6" s="18" t="n"/>
      <c r="BI6" s="18" t="n"/>
      <c r="BJ6" s="18" t="n"/>
      <c r="BK6" s="18" t="n"/>
      <c r="BL6" s="18" t="n"/>
      <c r="BM6" s="18" t="n"/>
      <c r="BN6" s="18" t="n"/>
      <c r="BO6" s="18" t="n"/>
      <c r="BP6" s="18" t="n"/>
      <c r="BQ6" s="18" t="n"/>
      <c r="BR6" s="18" t="n"/>
      <c r="BS6" s="18" t="n"/>
      <c r="BT6" s="18" t="n"/>
      <c r="BU6" s="18" t="n"/>
      <c r="BV6" s="18" t="n"/>
      <c r="BW6" s="18" t="n"/>
      <c r="BX6" s="18" t="n"/>
      <c r="BY6" s="18" t="n"/>
      <c r="BZ6" s="18" t="n"/>
      <c r="CA6" s="18" t="n"/>
      <c r="CB6" s="18" t="n"/>
      <c r="CC6" s="18" t="n"/>
      <c r="CD6" s="18" t="n"/>
      <c r="CE6" s="18" t="n"/>
      <c r="CF6" s="18" t="n"/>
      <c r="CG6" s="18" t="n"/>
      <c r="CH6" s="18" t="n"/>
      <c r="CI6" s="18" t="n"/>
      <c r="CJ6" s="18" t="n"/>
      <c r="CK6" s="18" t="n"/>
      <c r="CL6" s="18" t="n"/>
      <c r="CM6" s="18" t="n"/>
      <c r="CN6" s="18" t="n"/>
      <c r="CO6" s="18" t="n"/>
      <c r="CP6" s="18" t="n"/>
      <c r="CQ6" s="18" t="n"/>
      <c r="CR6" s="18" t="n"/>
      <c r="CS6" s="18" t="n"/>
      <c r="CT6" s="18" t="n"/>
      <c r="CU6" s="18" t="n"/>
      <c r="CV6" s="18" t="n"/>
      <c r="CW6" s="18" t="n"/>
      <c r="CX6" s="18" t="n"/>
      <c r="CY6" s="18" t="n"/>
      <c r="CZ6" s="18" t="n"/>
      <c r="DA6" s="18" t="n"/>
      <c r="DB6" s="18" t="n"/>
      <c r="DC6" s="18" t="n"/>
      <c r="DD6" s="18" t="n"/>
      <c r="DE6" s="18" t="n"/>
      <c r="DF6" s="18" t="n"/>
      <c r="DG6" s="18" t="n"/>
      <c r="DH6" s="18" t="n"/>
      <c r="DI6" s="18" t="n"/>
      <c r="DJ6" s="18" t="n"/>
      <c r="DK6" s="18" t="n"/>
      <c r="DL6" s="18" t="n"/>
      <c r="DM6" s="18" t="n"/>
      <c r="DN6" s="18" t="n"/>
      <c r="DO6" s="18" t="n"/>
      <c r="DP6" s="18" t="n"/>
      <c r="DQ6" s="18" t="n"/>
      <c r="DR6" s="18" t="n"/>
      <c r="DS6" s="18" t="n"/>
      <c r="DT6" s="18" t="n"/>
    </row>
    <row r="7">
      <c r="A7" s="18">
        <f>'Schedule_Data_Option_A'!A8</f>
        <v/>
      </c>
      <c r="B7" s="18">
        <f>'Schedule_Data_Option_A'!B8</f>
        <v/>
      </c>
      <c r="C7" s="18">
        <f>'Schedule_Data_Option_A'!C8</f>
        <v/>
      </c>
      <c r="D7" s="19">
        <f>'Schedule_Data_Option_A'!D8</f>
        <v/>
      </c>
      <c r="E7" s="19" t="n"/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  <c r="AA7" s="18" t="n"/>
      <c r="AB7" s="18" t="n"/>
      <c r="AC7" s="18" t="n"/>
      <c r="AD7" s="18" t="n"/>
      <c r="AE7" s="18" t="n"/>
      <c r="AF7" s="18" t="n"/>
      <c r="AG7" s="18" t="n"/>
      <c r="AH7" s="18" t="n"/>
      <c r="AI7" s="18" t="n"/>
      <c r="AJ7" s="18" t="n"/>
      <c r="AK7" s="18" t="n"/>
      <c r="AL7" s="18" t="n"/>
      <c r="AM7" s="18" t="n"/>
      <c r="AN7" s="18" t="n"/>
      <c r="AO7" s="18" t="n"/>
      <c r="AP7" s="18" t="n"/>
      <c r="AQ7" s="18" t="n"/>
      <c r="AR7" s="18" t="n"/>
      <c r="AS7" s="18" t="n"/>
      <c r="AT7" s="18" t="n"/>
      <c r="AU7" s="18" t="n"/>
      <c r="AV7" s="18" t="n"/>
      <c r="AW7" s="18" t="n"/>
      <c r="AX7" s="18" t="n"/>
      <c r="AY7" s="18" t="n"/>
      <c r="AZ7" s="18" t="n"/>
      <c r="BA7" s="18" t="n"/>
      <c r="BB7" s="18" t="n"/>
      <c r="BC7" s="18" t="n"/>
      <c r="BD7" s="18" t="n"/>
      <c r="BE7" s="18" t="n"/>
      <c r="BF7" s="18" t="n"/>
      <c r="BG7" s="18" t="n"/>
      <c r="BH7" s="18" t="n"/>
      <c r="BI7" s="18" t="n"/>
      <c r="BJ7" s="18" t="n"/>
      <c r="BK7" s="18" t="n"/>
      <c r="BL7" s="18" t="n"/>
      <c r="BM7" s="18" t="n"/>
      <c r="BN7" s="18" t="n"/>
      <c r="BO7" s="18" t="n"/>
      <c r="BP7" s="18" t="n"/>
      <c r="BQ7" s="18" t="n"/>
      <c r="BR7" s="18" t="n"/>
      <c r="BS7" s="18" t="n"/>
      <c r="BT7" s="18" t="n"/>
      <c r="BU7" s="18" t="n"/>
      <c r="BV7" s="18" t="n"/>
      <c r="BW7" s="18" t="n"/>
      <c r="BX7" s="18" t="n"/>
      <c r="BY7" s="18" t="n"/>
      <c r="BZ7" s="18" t="n"/>
      <c r="CA7" s="18" t="n"/>
      <c r="CB7" s="18" t="n"/>
      <c r="CC7" s="18" t="n"/>
      <c r="CD7" s="18" t="n"/>
      <c r="CE7" s="18" t="n"/>
      <c r="CF7" s="18" t="n"/>
      <c r="CG7" s="18" t="n"/>
      <c r="CH7" s="18" t="n"/>
      <c r="CI7" s="18" t="n"/>
      <c r="CJ7" s="18" t="n"/>
      <c r="CK7" s="18" t="n"/>
      <c r="CL7" s="18" t="n"/>
      <c r="CM7" s="18" t="n"/>
      <c r="CN7" s="18" t="n"/>
      <c r="CO7" s="18" t="n"/>
      <c r="CP7" s="18" t="n"/>
      <c r="CQ7" s="18" t="n"/>
      <c r="CR7" s="18" t="n"/>
      <c r="CS7" s="18" t="n"/>
      <c r="CT7" s="18" t="n"/>
      <c r="CU7" s="18" t="n"/>
      <c r="CV7" s="18" t="n"/>
      <c r="CW7" s="18" t="n"/>
      <c r="CX7" s="18" t="n"/>
      <c r="CY7" s="18" t="n"/>
      <c r="CZ7" s="18" t="n"/>
      <c r="DA7" s="18" t="n"/>
      <c r="DB7" s="18" t="n"/>
      <c r="DC7" s="18" t="n"/>
      <c r="DD7" s="18" t="n"/>
      <c r="DE7" s="18" t="n"/>
      <c r="DF7" s="18" t="n"/>
      <c r="DG7" s="18" t="n"/>
      <c r="DH7" s="18" t="n"/>
      <c r="DI7" s="18" t="n"/>
      <c r="DJ7" s="18" t="n"/>
      <c r="DK7" s="18" t="n"/>
      <c r="DL7" s="18" t="n"/>
      <c r="DM7" s="18" t="n"/>
      <c r="DN7" s="18" t="n"/>
      <c r="DO7" s="18" t="n"/>
      <c r="DP7" s="18" t="n"/>
      <c r="DQ7" s="18" t="n"/>
      <c r="DR7" s="18" t="n"/>
      <c r="DS7" s="18" t="n"/>
      <c r="DT7" s="18" t="n"/>
    </row>
    <row r="8">
      <c r="A8" s="18">
        <f>'Schedule_Data_Option_A'!A9</f>
        <v/>
      </c>
      <c r="B8" s="18">
        <f>'Schedule_Data_Option_A'!B9</f>
        <v/>
      </c>
      <c r="C8" s="18">
        <f>'Schedule_Data_Option_A'!C9</f>
        <v/>
      </c>
      <c r="D8" s="19">
        <f>'Schedule_Data_Option_A'!D9</f>
        <v/>
      </c>
      <c r="E8" s="18" t="n"/>
      <c r="F8" s="18" t="n"/>
      <c r="G8" s="18" t="n"/>
      <c r="H8" s="18" t="n"/>
      <c r="I8" s="18" t="n"/>
      <c r="J8" s="18" t="n"/>
      <c r="K8" s="18" t="n"/>
      <c r="L8" s="18" t="n"/>
      <c r="M8" s="18" t="n"/>
      <c r="N8" s="19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  <c r="AA8" s="18" t="n"/>
      <c r="AB8" s="18" t="n"/>
      <c r="AC8" s="18" t="n"/>
      <c r="AD8" s="18" t="n"/>
      <c r="AE8" s="18" t="n"/>
      <c r="AF8" s="18" t="n"/>
      <c r="AG8" s="18" t="n"/>
      <c r="AH8" s="18" t="n"/>
      <c r="AI8" s="18" t="n"/>
      <c r="AJ8" s="18" t="n"/>
      <c r="AK8" s="18" t="n"/>
      <c r="AL8" s="18" t="n"/>
      <c r="AM8" s="18" t="n"/>
      <c r="AN8" s="18" t="n"/>
      <c r="AO8" s="18" t="n"/>
      <c r="AP8" s="18" t="n"/>
      <c r="AQ8" s="18" t="n"/>
      <c r="AR8" s="18" t="n"/>
      <c r="AS8" s="18" t="n"/>
      <c r="AT8" s="18" t="n"/>
      <c r="AU8" s="18" t="n"/>
      <c r="AV8" s="18" t="n"/>
      <c r="AW8" s="18" t="n"/>
      <c r="AX8" s="18" t="n"/>
      <c r="AY8" s="18" t="n"/>
      <c r="AZ8" s="18" t="n"/>
      <c r="BA8" s="18" t="n"/>
      <c r="BB8" s="18" t="n"/>
      <c r="BC8" s="18" t="n"/>
      <c r="BD8" s="18" t="n"/>
      <c r="BE8" s="18" t="n"/>
      <c r="BF8" s="18" t="n"/>
      <c r="BG8" s="18" t="n"/>
      <c r="BH8" s="18" t="n"/>
      <c r="BI8" s="18" t="n"/>
      <c r="BJ8" s="18" t="n"/>
      <c r="BK8" s="18" t="n"/>
      <c r="BL8" s="18" t="n"/>
      <c r="BM8" s="18" t="n"/>
      <c r="BN8" s="18" t="n"/>
      <c r="BO8" s="18" t="n"/>
      <c r="BP8" s="18" t="n"/>
      <c r="BQ8" s="18" t="n"/>
      <c r="BR8" s="18" t="n"/>
      <c r="BS8" s="18" t="n"/>
      <c r="BT8" s="18" t="n"/>
      <c r="BU8" s="18" t="n"/>
      <c r="BV8" s="18" t="n"/>
      <c r="BW8" s="18" t="n"/>
      <c r="BX8" s="18" t="n"/>
      <c r="BY8" s="18" t="n"/>
      <c r="BZ8" s="18" t="n"/>
      <c r="CA8" s="18" t="n"/>
      <c r="CB8" s="18" t="n"/>
      <c r="CC8" s="18" t="n"/>
      <c r="CD8" s="18" t="n"/>
      <c r="CE8" s="18" t="n"/>
      <c r="CF8" s="18" t="n"/>
      <c r="CG8" s="18" t="n"/>
      <c r="CH8" s="18" t="n"/>
      <c r="CI8" s="18" t="n"/>
      <c r="CJ8" s="18" t="n"/>
      <c r="CK8" s="18" t="n"/>
      <c r="CL8" s="18" t="n"/>
      <c r="CM8" s="18" t="n"/>
      <c r="CN8" s="18" t="n"/>
      <c r="CO8" s="18" t="n"/>
      <c r="CP8" s="18" t="n"/>
      <c r="CQ8" s="18" t="n"/>
      <c r="CR8" s="18" t="n"/>
      <c r="CS8" s="18" t="n"/>
      <c r="CT8" s="18" t="n"/>
      <c r="CU8" s="18" t="n"/>
      <c r="CV8" s="18" t="n"/>
      <c r="CW8" s="18" t="n"/>
      <c r="CX8" s="18" t="n"/>
      <c r="CY8" s="18" t="n"/>
      <c r="CZ8" s="18" t="n"/>
      <c r="DA8" s="18" t="n"/>
      <c r="DB8" s="18" t="n"/>
      <c r="DC8" s="18" t="n"/>
      <c r="DD8" s="18" t="n"/>
      <c r="DE8" s="18" t="n"/>
      <c r="DF8" s="18" t="n"/>
      <c r="DG8" s="18" t="n"/>
      <c r="DH8" s="18" t="n"/>
      <c r="DI8" s="18" t="n"/>
      <c r="DJ8" s="18" t="n"/>
      <c r="DK8" s="18" t="n"/>
      <c r="DL8" s="18" t="n"/>
      <c r="DM8" s="18" t="n"/>
      <c r="DN8" s="18" t="n"/>
      <c r="DO8" s="18" t="n"/>
      <c r="DP8" s="18" t="n"/>
      <c r="DQ8" s="18" t="n"/>
      <c r="DR8" s="18" t="n"/>
      <c r="DS8" s="18" t="n"/>
      <c r="DT8" s="18" t="n"/>
    </row>
    <row r="9">
      <c r="A9" s="18">
        <f>'Schedule_Data_Option_A'!A10</f>
        <v/>
      </c>
      <c r="B9" s="18">
        <f>'Schedule_Data_Option_A'!B10</f>
        <v/>
      </c>
      <c r="C9" s="18">
        <f>'Schedule_Data_Option_A'!C10</f>
        <v/>
      </c>
      <c r="D9" s="21">
        <f>'Schedule_Data_Option_A'!D10</f>
        <v/>
      </c>
      <c r="E9" s="36" t="inlineStr">
        <is>
          <t>*</t>
        </is>
      </c>
      <c r="F9" s="18" t="n"/>
      <c r="G9" s="18" t="n"/>
      <c r="H9" s="18" t="n"/>
      <c r="I9" s="18" t="n"/>
      <c r="J9" s="18" t="n"/>
      <c r="K9" s="18" t="n"/>
      <c r="L9" s="18" t="n"/>
      <c r="M9" s="18" t="n"/>
      <c r="N9" s="18" t="n"/>
      <c r="O9" s="18" t="n"/>
      <c r="P9" s="18" t="n"/>
      <c r="Q9" s="18" t="n"/>
      <c r="R9" s="18" t="n"/>
      <c r="S9" s="18" t="n"/>
      <c r="T9" s="18" t="n"/>
      <c r="U9" s="18" t="n"/>
      <c r="V9" s="18" t="n"/>
      <c r="W9" s="18" t="n"/>
      <c r="X9" s="18" t="n"/>
      <c r="Y9" s="18" t="n"/>
      <c r="Z9" s="18" t="n"/>
      <c r="AA9" s="18" t="n"/>
      <c r="AB9" s="18" t="n"/>
      <c r="AC9" s="18" t="n"/>
      <c r="AD9" s="18" t="n"/>
      <c r="AE9" s="18" t="n"/>
      <c r="AF9" s="18" t="n"/>
      <c r="AG9" s="18" t="n"/>
      <c r="AH9" s="18" t="n"/>
      <c r="AI9" s="18" t="n"/>
      <c r="AJ9" s="18" t="n"/>
      <c r="AK9" s="18" t="n"/>
      <c r="AL9" s="18" t="n"/>
      <c r="AM9" s="18" t="n"/>
      <c r="AN9" s="18" t="n"/>
      <c r="AO9" s="18" t="n"/>
      <c r="AP9" s="18" t="n"/>
      <c r="AQ9" s="18" t="n"/>
      <c r="AR9" s="18" t="n"/>
      <c r="AS9" s="18" t="n"/>
      <c r="AT9" s="18" t="n"/>
      <c r="AU9" s="18" t="n"/>
      <c r="AV9" s="18" t="n"/>
      <c r="AW9" s="18" t="n"/>
      <c r="AX9" s="18" t="n"/>
      <c r="AY9" s="18" t="n"/>
      <c r="AZ9" s="18" t="n"/>
      <c r="BA9" s="18" t="n"/>
      <c r="BB9" s="18" t="n"/>
      <c r="BC9" s="18" t="n"/>
      <c r="BD9" s="18" t="n"/>
      <c r="BE9" s="18" t="n"/>
      <c r="BF9" s="18" t="n"/>
      <c r="BG9" s="18" t="n"/>
      <c r="BH9" s="18" t="n"/>
      <c r="BI9" s="18" t="n"/>
      <c r="BJ9" s="18" t="n"/>
      <c r="BK9" s="18" t="n"/>
      <c r="BL9" s="18" t="n"/>
      <c r="BM9" s="18" t="n"/>
      <c r="BN9" s="18" t="n"/>
      <c r="BO9" s="18" t="n"/>
      <c r="BP9" s="18" t="n"/>
      <c r="BQ9" s="18" t="n"/>
      <c r="BR9" s="18" t="n"/>
      <c r="BS9" s="18" t="n"/>
      <c r="BT9" s="18" t="n"/>
      <c r="BU9" s="18" t="n"/>
      <c r="BV9" s="18" t="n"/>
      <c r="BW9" s="18" t="n"/>
      <c r="BX9" s="18" t="n"/>
      <c r="BY9" s="18" t="n"/>
      <c r="BZ9" s="18" t="n"/>
      <c r="CA9" s="18" t="n"/>
      <c r="CB9" s="18" t="n"/>
      <c r="CC9" s="18" t="n"/>
      <c r="CD9" s="18" t="n"/>
      <c r="CE9" s="18" t="n"/>
      <c r="CF9" s="18" t="n"/>
      <c r="CG9" s="18" t="n"/>
      <c r="CH9" s="18" t="n"/>
      <c r="CI9" s="18" t="n"/>
      <c r="CJ9" s="18" t="n"/>
      <c r="CK9" s="18" t="n"/>
      <c r="CL9" s="18" t="n"/>
      <c r="CM9" s="18" t="n"/>
      <c r="CN9" s="18" t="n"/>
      <c r="CO9" s="18" t="n"/>
      <c r="CP9" s="18" t="n"/>
      <c r="CQ9" s="18" t="n"/>
      <c r="CR9" s="18" t="n"/>
      <c r="CS9" s="18" t="n"/>
      <c r="CT9" s="18" t="n"/>
      <c r="CU9" s="18" t="n"/>
      <c r="CV9" s="18" t="n"/>
      <c r="CW9" s="18" t="n"/>
      <c r="CX9" s="18" t="n"/>
      <c r="CY9" s="18" t="n"/>
      <c r="CZ9" s="18" t="n"/>
      <c r="DA9" s="18" t="n"/>
      <c r="DB9" s="18" t="n"/>
      <c r="DC9" s="18" t="n"/>
      <c r="DD9" s="18" t="n"/>
      <c r="DE9" s="18" t="n"/>
      <c r="DF9" s="18" t="n"/>
      <c r="DG9" s="18" t="n"/>
      <c r="DH9" s="18" t="n"/>
      <c r="DI9" s="18" t="n"/>
      <c r="DJ9" s="18" t="n"/>
      <c r="DK9" s="18" t="n"/>
      <c r="DL9" s="18" t="n"/>
      <c r="DM9" s="18" t="n"/>
      <c r="DN9" s="18" t="n"/>
      <c r="DO9" s="18" t="n"/>
      <c r="DP9" s="18" t="n"/>
      <c r="DQ9" s="18" t="n"/>
      <c r="DR9" s="18" t="n"/>
      <c r="DS9" s="18" t="n"/>
      <c r="DT9" s="18" t="n"/>
    </row>
    <row r="10">
      <c r="A10" s="18">
        <f>'Schedule_Data_Option_A'!A11</f>
        <v/>
      </c>
      <c r="B10" s="18">
        <f>'Schedule_Data_Option_A'!B11</f>
        <v/>
      </c>
      <c r="C10" s="18">
        <f>'Schedule_Data_Option_A'!C11</f>
        <v/>
      </c>
      <c r="D10" s="19">
        <f>'Schedule_Data_Option_A'!D11</f>
        <v/>
      </c>
      <c r="E10" s="19" t="n"/>
      <c r="F10" s="18" t="n"/>
      <c r="G10" s="18" t="n"/>
      <c r="H10" s="18" t="n"/>
      <c r="I10" s="18" t="n"/>
      <c r="J10" s="18" t="n"/>
      <c r="K10" s="18" t="n"/>
      <c r="L10" s="18" t="n"/>
      <c r="M10" s="18" t="n"/>
      <c r="N10" s="18" t="n"/>
      <c r="O10" s="18" t="n"/>
      <c r="P10" s="18" t="n"/>
      <c r="Q10" s="18" t="n"/>
      <c r="R10" s="18" t="n"/>
      <c r="S10" s="18" t="n"/>
      <c r="T10" s="18" t="n"/>
      <c r="U10" s="18" t="n"/>
      <c r="V10" s="18" t="n"/>
      <c r="W10" s="18" t="n"/>
      <c r="X10" s="18" t="n"/>
      <c r="Y10" s="18" t="n"/>
      <c r="Z10" s="18" t="n"/>
      <c r="AA10" s="18" t="n"/>
      <c r="AB10" s="18" t="n"/>
      <c r="AC10" s="18" t="n"/>
      <c r="AD10" s="18" t="n"/>
      <c r="AE10" s="18" t="n"/>
      <c r="AF10" s="18" t="n"/>
      <c r="AG10" s="18" t="n"/>
      <c r="AH10" s="18" t="n"/>
      <c r="AI10" s="18" t="n"/>
      <c r="AJ10" s="18" t="n"/>
      <c r="AK10" s="18" t="n"/>
      <c r="AL10" s="18" t="n"/>
      <c r="AM10" s="18" t="n"/>
      <c r="AN10" s="18" t="n"/>
      <c r="AO10" s="18" t="n"/>
      <c r="AP10" s="18" t="n"/>
      <c r="AQ10" s="18" t="n"/>
      <c r="AR10" s="18" t="n"/>
      <c r="AS10" s="18" t="n"/>
      <c r="AT10" s="18" t="n"/>
      <c r="AU10" s="18" t="n"/>
      <c r="AV10" s="18" t="n"/>
      <c r="AW10" s="18" t="n"/>
      <c r="AX10" s="18" t="n"/>
      <c r="AY10" s="18" t="n"/>
      <c r="AZ10" s="18" t="n"/>
      <c r="BA10" s="18" t="n"/>
      <c r="BB10" s="18" t="n"/>
      <c r="BC10" s="18" t="n"/>
      <c r="BD10" s="18" t="n"/>
      <c r="BE10" s="18" t="n"/>
      <c r="BF10" s="18" t="n"/>
      <c r="BG10" s="18" t="n"/>
      <c r="BH10" s="18" t="n"/>
      <c r="BI10" s="18" t="n"/>
      <c r="BJ10" s="18" t="n"/>
      <c r="BK10" s="18" t="n"/>
      <c r="BL10" s="18" t="n"/>
      <c r="BM10" s="18" t="n"/>
      <c r="BN10" s="18" t="n"/>
      <c r="BO10" s="18" t="n"/>
      <c r="BP10" s="18" t="n"/>
      <c r="BQ10" s="18" t="n"/>
      <c r="BR10" s="18" t="n"/>
      <c r="BS10" s="18" t="n"/>
      <c r="BT10" s="18" t="n"/>
      <c r="BU10" s="18" t="n"/>
      <c r="BV10" s="18" t="n"/>
      <c r="BW10" s="18" t="n"/>
      <c r="BX10" s="18" t="n"/>
      <c r="BY10" s="18" t="n"/>
      <c r="BZ10" s="18" t="n"/>
      <c r="CA10" s="18" t="n"/>
      <c r="CB10" s="18" t="n"/>
      <c r="CC10" s="18" t="n"/>
      <c r="CD10" s="18" t="n"/>
      <c r="CE10" s="18" t="n"/>
      <c r="CF10" s="18" t="n"/>
      <c r="CG10" s="18" t="n"/>
      <c r="CH10" s="18" t="n"/>
      <c r="CI10" s="18" t="n"/>
      <c r="CJ10" s="18" t="n"/>
      <c r="CK10" s="18" t="n"/>
      <c r="CL10" s="18" t="n"/>
      <c r="CM10" s="18" t="n"/>
      <c r="CN10" s="18" t="n"/>
      <c r="CO10" s="18" t="n"/>
      <c r="CP10" s="18" t="n"/>
      <c r="CQ10" s="18" t="n"/>
      <c r="CR10" s="18" t="n"/>
      <c r="CS10" s="18" t="n"/>
      <c r="CT10" s="18" t="n"/>
      <c r="CU10" s="18" t="n"/>
      <c r="CV10" s="18" t="n"/>
      <c r="CW10" s="18" t="n"/>
      <c r="CX10" s="18" t="n"/>
      <c r="CY10" s="18" t="n"/>
      <c r="CZ10" s="18" t="n"/>
      <c r="DA10" s="18" t="n"/>
      <c r="DB10" s="18" t="n"/>
      <c r="DC10" s="18" t="n"/>
      <c r="DD10" s="18" t="n"/>
      <c r="DE10" s="18" t="n"/>
      <c r="DF10" s="18" t="n"/>
      <c r="DG10" s="18" t="n"/>
      <c r="DH10" s="18" t="n"/>
      <c r="DI10" s="18" t="n"/>
      <c r="DJ10" s="18" t="n"/>
      <c r="DK10" s="18" t="n"/>
      <c r="DL10" s="18" t="n"/>
      <c r="DM10" s="18" t="n"/>
      <c r="DN10" s="18" t="n"/>
      <c r="DO10" s="18" t="n"/>
      <c r="DP10" s="18" t="n"/>
      <c r="DQ10" s="18" t="n"/>
      <c r="DR10" s="18" t="n"/>
      <c r="DS10" s="18" t="n"/>
      <c r="DT10" s="18" t="n"/>
    </row>
    <row r="11">
      <c r="A11" s="18">
        <f>'Schedule_Data_Option_A'!A12</f>
        <v/>
      </c>
      <c r="B11" s="18">
        <f>'Schedule_Data_Option_A'!B12</f>
        <v/>
      </c>
      <c r="C11" s="18">
        <f>'Schedule_Data_Option_A'!C12</f>
        <v/>
      </c>
      <c r="D11" s="21">
        <f>'Schedule_Data_Option_A'!D12</f>
        <v/>
      </c>
      <c r="E11" s="18" t="n"/>
      <c r="F11" s="18" t="n"/>
      <c r="G11" s="18" t="n"/>
      <c r="H11" s="36" t="inlineStr">
        <is>
          <t>*</t>
        </is>
      </c>
      <c r="I11" s="18" t="n"/>
      <c r="J11" s="18" t="n"/>
      <c r="K11" s="18" t="n"/>
      <c r="L11" s="18" t="n"/>
      <c r="M11" s="18" t="n"/>
      <c r="N11" s="18" t="n"/>
      <c r="O11" s="18" t="n"/>
      <c r="P11" s="18" t="n"/>
      <c r="Q11" s="18" t="n"/>
      <c r="R11" s="18" t="n"/>
      <c r="S11" s="18" t="n"/>
      <c r="T11" s="18" t="n"/>
      <c r="U11" s="18" t="n"/>
      <c r="V11" s="18" t="n"/>
      <c r="W11" s="18" t="n"/>
      <c r="X11" s="18" t="n"/>
      <c r="Y11" s="18" t="n"/>
      <c r="Z11" s="18" t="n"/>
      <c r="AA11" s="18" t="n"/>
      <c r="AB11" s="18" t="n"/>
      <c r="AC11" s="18" t="n"/>
      <c r="AD11" s="18" t="n"/>
      <c r="AE11" s="18" t="n"/>
      <c r="AF11" s="18" t="n"/>
      <c r="AG11" s="18" t="n"/>
      <c r="AH11" s="18" t="n"/>
      <c r="AI11" s="18" t="n"/>
      <c r="AJ11" s="18" t="n"/>
      <c r="AK11" s="18" t="n"/>
      <c r="AL11" s="18" t="n"/>
      <c r="AM11" s="18" t="n"/>
      <c r="AN11" s="18" t="n"/>
      <c r="AO11" s="18" t="n"/>
      <c r="AP11" s="18" t="n"/>
      <c r="AQ11" s="18" t="n"/>
      <c r="AR11" s="18" t="n"/>
      <c r="AS11" s="18" t="n"/>
      <c r="AT11" s="18" t="n"/>
      <c r="AU11" s="18" t="n"/>
      <c r="AV11" s="18" t="n"/>
      <c r="AW11" s="18" t="n"/>
      <c r="AX11" s="18" t="n"/>
      <c r="AY11" s="18" t="n"/>
      <c r="AZ11" s="18" t="n"/>
      <c r="BA11" s="18" t="n"/>
      <c r="BB11" s="18" t="n"/>
      <c r="BC11" s="18" t="n"/>
      <c r="BD11" s="18" t="n"/>
      <c r="BE11" s="18" t="n"/>
      <c r="BF11" s="18" t="n"/>
      <c r="BG11" s="18" t="n"/>
      <c r="BH11" s="18" t="n"/>
      <c r="BI11" s="18" t="n"/>
      <c r="BJ11" s="18" t="n"/>
      <c r="BK11" s="18" t="n"/>
      <c r="BL11" s="18" t="n"/>
      <c r="BM11" s="18" t="n"/>
      <c r="BN11" s="18" t="n"/>
      <c r="BO11" s="18" t="n"/>
      <c r="BP11" s="18" t="n"/>
      <c r="BQ11" s="18" t="n"/>
      <c r="BR11" s="18" t="n"/>
      <c r="BS11" s="18" t="n"/>
      <c r="BT11" s="18" t="n"/>
      <c r="BU11" s="18" t="n"/>
      <c r="BV11" s="18" t="n"/>
      <c r="BW11" s="18" t="n"/>
      <c r="BX11" s="18" t="n"/>
      <c r="BY11" s="18" t="n"/>
      <c r="BZ11" s="18" t="n"/>
      <c r="CA11" s="18" t="n"/>
      <c r="CB11" s="18" t="n"/>
      <c r="CC11" s="18" t="n"/>
      <c r="CD11" s="18" t="n"/>
      <c r="CE11" s="18" t="n"/>
      <c r="CF11" s="18" t="n"/>
      <c r="CG11" s="18" t="n"/>
      <c r="CH11" s="18" t="n"/>
      <c r="CI11" s="18" t="n"/>
      <c r="CJ11" s="18" t="n"/>
      <c r="CK11" s="18" t="n"/>
      <c r="CL11" s="18" t="n"/>
      <c r="CM11" s="18" t="n"/>
      <c r="CN11" s="18" t="n"/>
      <c r="CO11" s="18" t="n"/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/>
      <c r="DD11" s="18" t="n"/>
      <c r="DE11" s="18" t="n"/>
      <c r="DF11" s="18" t="n"/>
      <c r="DG11" s="18" t="n"/>
      <c r="DH11" s="18" t="n"/>
      <c r="DI11" s="18" t="n"/>
      <c r="DJ11" s="18" t="n"/>
      <c r="DK11" s="18" t="n"/>
      <c r="DL11" s="18" t="n"/>
      <c r="DM11" s="18" t="n"/>
      <c r="DN11" s="18" t="n"/>
      <c r="DO11" s="18" t="n"/>
      <c r="DP11" s="18" t="n"/>
      <c r="DQ11" s="18" t="n"/>
      <c r="DR11" s="18" t="n"/>
      <c r="DS11" s="18" t="n"/>
      <c r="DT11" s="18" t="n"/>
    </row>
    <row r="12">
      <c r="A12" s="18">
        <f>'Schedule_Data_Option_A'!A13</f>
        <v/>
      </c>
      <c r="B12" s="18">
        <f>'Schedule_Data_Option_A'!B13</f>
        <v/>
      </c>
      <c r="C12" s="18">
        <f>'Schedule_Data_Option_A'!C13</f>
        <v/>
      </c>
      <c r="D12" s="19">
        <f>'Schedule_Data_Option_A'!D13</f>
        <v/>
      </c>
      <c r="E12" s="18" t="n"/>
      <c r="F12" s="18" t="n"/>
      <c r="G12" s="18" t="n"/>
      <c r="H12" s="19" t="n"/>
      <c r="I12" s="18" t="n"/>
      <c r="J12" s="18" t="n"/>
      <c r="K12" s="18" t="n"/>
      <c r="L12" s="18" t="n"/>
      <c r="M12" s="18" t="n"/>
      <c r="N12" s="18" t="n"/>
      <c r="O12" s="18" t="n"/>
      <c r="P12" s="18" t="n"/>
      <c r="Q12" s="18" t="n"/>
      <c r="R12" s="18" t="n"/>
      <c r="S12" s="18" t="n"/>
      <c r="T12" s="18" t="n"/>
      <c r="U12" s="18" t="n"/>
      <c r="V12" s="18" t="n"/>
      <c r="W12" s="18" t="n"/>
      <c r="X12" s="18" t="n"/>
      <c r="Y12" s="18" t="n"/>
      <c r="Z12" s="18" t="n"/>
      <c r="AA12" s="18" t="n"/>
      <c r="AB12" s="18" t="n"/>
      <c r="AC12" s="18" t="n"/>
      <c r="AD12" s="18" t="n"/>
      <c r="AE12" s="18" t="n"/>
      <c r="AF12" s="18" t="n"/>
      <c r="AG12" s="18" t="n"/>
      <c r="AH12" s="18" t="n"/>
      <c r="AI12" s="18" t="n"/>
      <c r="AJ12" s="18" t="n"/>
      <c r="AK12" s="18" t="n"/>
      <c r="AL12" s="18" t="n"/>
      <c r="AM12" s="18" t="n"/>
      <c r="AN12" s="18" t="n"/>
      <c r="AO12" s="18" t="n"/>
      <c r="AP12" s="18" t="n"/>
      <c r="AQ12" s="18" t="n"/>
      <c r="AR12" s="18" t="n"/>
      <c r="AS12" s="18" t="n"/>
      <c r="AT12" s="18" t="n"/>
      <c r="AU12" s="18" t="n"/>
      <c r="AV12" s="18" t="n"/>
      <c r="AW12" s="18" t="n"/>
      <c r="AX12" s="18" t="n"/>
      <c r="AY12" s="18" t="n"/>
      <c r="AZ12" s="18" t="n"/>
      <c r="BA12" s="18" t="n"/>
      <c r="BB12" s="18" t="n"/>
      <c r="BC12" s="18" t="n"/>
      <c r="BD12" s="18" t="n"/>
      <c r="BE12" s="18" t="n"/>
      <c r="BF12" s="18" t="n"/>
      <c r="BG12" s="18" t="n"/>
      <c r="BH12" s="18" t="n"/>
      <c r="BI12" s="18" t="n"/>
      <c r="BJ12" s="18" t="n"/>
      <c r="BK12" s="18" t="n"/>
      <c r="BL12" s="18" t="n"/>
      <c r="BM12" s="18" t="n"/>
      <c r="BN12" s="18" t="n"/>
      <c r="BO12" s="18" t="n"/>
      <c r="BP12" s="18" t="n"/>
      <c r="BQ12" s="18" t="n"/>
      <c r="BR12" s="18" t="n"/>
      <c r="BS12" s="18" t="n"/>
      <c r="BT12" s="18" t="n"/>
      <c r="BU12" s="18" t="n"/>
      <c r="BV12" s="18" t="n"/>
      <c r="BW12" s="18" t="n"/>
      <c r="BX12" s="18" t="n"/>
      <c r="BY12" s="18" t="n"/>
      <c r="BZ12" s="18" t="n"/>
      <c r="CA12" s="18" t="n"/>
      <c r="CB12" s="18" t="n"/>
      <c r="CC12" s="18" t="n"/>
      <c r="CD12" s="18" t="n"/>
      <c r="CE12" s="18" t="n"/>
      <c r="CF12" s="18" t="n"/>
      <c r="CG12" s="18" t="n"/>
      <c r="CH12" s="18" t="n"/>
      <c r="CI12" s="18" t="n"/>
      <c r="CJ12" s="18" t="n"/>
      <c r="CK12" s="18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18" t="n"/>
      <c r="DP12" s="18" t="n"/>
      <c r="DQ12" s="18" t="n"/>
      <c r="DR12" s="18" t="n"/>
      <c r="DS12" s="18" t="n"/>
      <c r="DT12" s="18" t="n"/>
    </row>
    <row r="13">
      <c r="A13" s="18">
        <f>'Schedule_Data_Option_A'!A14</f>
        <v/>
      </c>
      <c r="B13" s="18">
        <f>'Schedule_Data_Option_A'!B14</f>
        <v/>
      </c>
      <c r="C13" s="18">
        <f>'Schedule_Data_Option_A'!C14</f>
        <v/>
      </c>
      <c r="D13" s="19">
        <f>'Schedule_Data_Option_A'!D14</f>
        <v/>
      </c>
      <c r="E13" s="18" t="n"/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18" t="n"/>
      <c r="Q13" s="18" t="n"/>
      <c r="R13" s="18" t="n"/>
      <c r="S13" s="18" t="n"/>
      <c r="T13" s="18" t="n"/>
      <c r="U13" s="18" t="n"/>
      <c r="V13" s="18" t="n"/>
      <c r="W13" s="18" t="n"/>
      <c r="X13" s="18" t="n"/>
      <c r="Y13" s="18" t="n"/>
      <c r="Z13" s="18" t="n"/>
      <c r="AA13" s="18" t="n"/>
      <c r="AB13" s="18" t="n"/>
      <c r="AC13" s="18" t="n"/>
      <c r="AD13" s="18" t="n"/>
      <c r="AE13" s="18" t="n"/>
      <c r="AF13" s="18" t="n"/>
      <c r="AG13" s="18" t="n"/>
      <c r="AH13" s="18" t="n"/>
      <c r="AI13" s="18" t="n"/>
      <c r="AJ13" s="18" t="n"/>
      <c r="AK13" s="35" t="inlineStr">
        <is>
          <t>*</t>
        </is>
      </c>
      <c r="AL13" s="18" t="n"/>
      <c r="AM13" s="18" t="n"/>
      <c r="AN13" s="18" t="n"/>
      <c r="AO13" s="18" t="n"/>
      <c r="AP13" s="18" t="n"/>
      <c r="AQ13" s="18" t="n"/>
      <c r="AR13" s="18" t="n"/>
      <c r="AS13" s="18" t="n"/>
      <c r="AT13" s="18" t="n"/>
      <c r="AU13" s="18" t="n"/>
      <c r="AV13" s="18" t="n"/>
      <c r="AW13" s="18" t="n"/>
      <c r="AX13" s="18" t="n"/>
      <c r="AY13" s="18" t="n"/>
      <c r="AZ13" s="18" t="n"/>
      <c r="BA13" s="18" t="n"/>
      <c r="BB13" s="18" t="n"/>
      <c r="BC13" s="18" t="n"/>
      <c r="BD13" s="18" t="n"/>
      <c r="BE13" s="18" t="n"/>
      <c r="BF13" s="18" t="n"/>
      <c r="BG13" s="18" t="n"/>
      <c r="BH13" s="18" t="n"/>
      <c r="BI13" s="18" t="n"/>
      <c r="BJ13" s="18" t="n"/>
      <c r="BK13" s="18" t="n"/>
      <c r="BL13" s="18" t="n"/>
      <c r="BM13" s="18" t="n"/>
      <c r="BN13" s="18" t="n"/>
      <c r="BO13" s="18" t="n"/>
      <c r="BP13" s="18" t="n"/>
      <c r="BQ13" s="18" t="n"/>
      <c r="BR13" s="18" t="n"/>
      <c r="BS13" s="18" t="n"/>
      <c r="BT13" s="18" t="n"/>
      <c r="BU13" s="18" t="n"/>
      <c r="BV13" s="18" t="n"/>
      <c r="BW13" s="18" t="n"/>
      <c r="BX13" s="18" t="n"/>
      <c r="BY13" s="18" t="n"/>
      <c r="BZ13" s="18" t="n"/>
      <c r="CA13" s="18" t="n"/>
      <c r="CB13" s="18" t="n"/>
      <c r="CC13" s="18" t="n"/>
      <c r="CD13" s="18" t="n"/>
      <c r="CE13" s="18" t="n"/>
      <c r="CF13" s="18" t="n"/>
      <c r="CG13" s="18" t="n"/>
      <c r="CH13" s="18" t="n"/>
      <c r="CI13" s="18" t="n"/>
      <c r="CJ13" s="18" t="n"/>
      <c r="CK13" s="18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18" t="n"/>
      <c r="DP13" s="18" t="n"/>
      <c r="DQ13" s="18" t="n"/>
      <c r="DR13" s="18" t="n"/>
      <c r="DS13" s="18" t="n"/>
      <c r="DT13" s="18" t="n"/>
    </row>
    <row r="14">
      <c r="A14" s="18">
        <f>'Schedule_Data_Option_A'!A15</f>
        <v/>
      </c>
      <c r="B14" s="18">
        <f>'Schedule_Data_Option_A'!B15</f>
        <v/>
      </c>
      <c r="C14" s="18">
        <f>'Schedule_Data_Option_A'!C15</f>
        <v/>
      </c>
      <c r="D14" s="21">
        <f>'Schedule_Data_Option_A'!D15</f>
        <v/>
      </c>
      <c r="E14" s="18" t="n"/>
      <c r="F14" s="18" t="n"/>
      <c r="G14" s="18" t="n"/>
      <c r="H14" s="18" t="n"/>
      <c r="I14" s="18" t="n"/>
      <c r="J14" s="18" t="n"/>
      <c r="K14" s="18" t="n"/>
      <c r="L14" s="18" t="n"/>
      <c r="M14" s="18" t="n"/>
      <c r="N14" s="18" t="n"/>
      <c r="O14" s="18" t="n"/>
      <c r="P14" s="18" t="n"/>
      <c r="Q14" s="18" t="n"/>
      <c r="R14" s="18" t="n"/>
      <c r="S14" s="18" t="n"/>
      <c r="T14" s="18" t="n"/>
      <c r="U14" s="18" t="n"/>
      <c r="V14" s="18" t="n"/>
      <c r="W14" s="18" t="n"/>
      <c r="X14" s="18" t="n"/>
      <c r="Y14" s="18" t="n"/>
      <c r="Z14" s="18" t="n"/>
      <c r="AA14" s="18" t="n"/>
      <c r="AB14" s="18" t="n"/>
      <c r="AC14" s="18" t="n"/>
      <c r="AD14" s="18" t="n"/>
      <c r="AE14" s="18" t="n"/>
      <c r="AF14" s="18" t="n"/>
      <c r="AG14" s="18" t="n"/>
      <c r="AH14" s="18" t="n"/>
      <c r="AI14" s="18" t="n"/>
      <c r="AJ14" s="18" t="n"/>
      <c r="AK14" s="36" t="inlineStr">
        <is>
          <t>*</t>
        </is>
      </c>
      <c r="AL14" s="18" t="n"/>
      <c r="AM14" s="18" t="n"/>
      <c r="AN14" s="18" t="n"/>
      <c r="AO14" s="18" t="n"/>
      <c r="AP14" s="18" t="n"/>
      <c r="AQ14" s="18" t="n"/>
      <c r="AR14" s="18" t="n"/>
      <c r="AS14" s="18" t="n"/>
      <c r="AT14" s="18" t="n"/>
      <c r="AU14" s="18" t="n"/>
      <c r="AV14" s="18" t="n"/>
      <c r="AW14" s="18" t="n"/>
      <c r="AX14" s="18" t="n"/>
      <c r="AY14" s="18" t="n"/>
      <c r="AZ14" s="18" t="n"/>
      <c r="BA14" s="18" t="n"/>
      <c r="BB14" s="18" t="n"/>
      <c r="BC14" s="18" t="n"/>
      <c r="BD14" s="18" t="n"/>
      <c r="BE14" s="18" t="n"/>
      <c r="BF14" s="18" t="n"/>
      <c r="BG14" s="18" t="n"/>
      <c r="BH14" s="18" t="n"/>
      <c r="BI14" s="18" t="n"/>
      <c r="BJ14" s="18" t="n"/>
      <c r="BK14" s="18" t="n"/>
      <c r="BL14" s="18" t="n"/>
      <c r="BM14" s="18" t="n"/>
      <c r="BN14" s="18" t="n"/>
      <c r="BO14" s="18" t="n"/>
      <c r="BP14" s="18" t="n"/>
      <c r="BQ14" s="18" t="n"/>
      <c r="BR14" s="18" t="n"/>
      <c r="BS14" s="18" t="n"/>
      <c r="BT14" s="18" t="n"/>
      <c r="BU14" s="18" t="n"/>
      <c r="BV14" s="18" t="n"/>
      <c r="BW14" s="18" t="n"/>
      <c r="BX14" s="18" t="n"/>
      <c r="BY14" s="18" t="n"/>
      <c r="BZ14" s="18" t="n"/>
      <c r="CA14" s="18" t="n"/>
      <c r="CB14" s="18" t="n"/>
      <c r="CC14" s="18" t="n"/>
      <c r="CD14" s="18" t="n"/>
      <c r="CE14" s="18" t="n"/>
      <c r="CF14" s="18" t="n"/>
      <c r="CG14" s="18" t="n"/>
      <c r="CH14" s="18" t="n"/>
      <c r="CI14" s="18" t="n"/>
      <c r="CJ14" s="18" t="n"/>
      <c r="CK14" s="18" t="n"/>
      <c r="CL14" s="18" t="n"/>
      <c r="CM14" s="18" t="n"/>
      <c r="CN14" s="18" t="n"/>
      <c r="CO14" s="18" t="n"/>
      <c r="CP14" s="18" t="n"/>
      <c r="CQ14" s="18" t="n"/>
      <c r="CR14" s="18" t="n"/>
      <c r="CS14" s="18" t="n"/>
      <c r="CT14" s="18" t="n"/>
      <c r="CU14" s="18" t="n"/>
      <c r="CV14" s="18" t="n"/>
      <c r="CW14" s="18" t="n"/>
      <c r="CX14" s="18" t="n"/>
      <c r="CY14" s="18" t="n"/>
      <c r="CZ14" s="18" t="n"/>
      <c r="DA14" s="18" t="n"/>
      <c r="DB14" s="18" t="n"/>
      <c r="DC14" s="18" t="n"/>
      <c r="DD14" s="18" t="n"/>
      <c r="DE14" s="18" t="n"/>
      <c r="DF14" s="18" t="n"/>
      <c r="DG14" s="18" t="n"/>
      <c r="DH14" s="18" t="n"/>
      <c r="DI14" s="18" t="n"/>
      <c r="DJ14" s="18" t="n"/>
      <c r="DK14" s="18" t="n"/>
      <c r="DL14" s="18" t="n"/>
      <c r="DM14" s="18" t="n"/>
      <c r="DN14" s="18" t="n"/>
      <c r="DO14" s="18" t="n"/>
      <c r="DP14" s="18" t="n"/>
      <c r="DQ14" s="18" t="n"/>
      <c r="DR14" s="18" t="n"/>
      <c r="DS14" s="18" t="n"/>
      <c r="DT14" s="18" t="n"/>
    </row>
    <row r="15">
      <c r="A15" s="18">
        <f>'Schedule_Data_Option_A'!A16</f>
        <v/>
      </c>
      <c r="B15" s="18">
        <f>'Schedule_Data_Option_A'!B16</f>
        <v/>
      </c>
      <c r="C15" s="18">
        <f>'Schedule_Data_Option_A'!C16</f>
        <v/>
      </c>
      <c r="D15" s="19">
        <f>'Schedule_Data_Option_A'!D16</f>
        <v/>
      </c>
      <c r="E15" s="18" t="n"/>
      <c r="F15" s="18" t="n"/>
      <c r="G15" s="18" t="n"/>
      <c r="H15" s="18" t="n"/>
      <c r="I15" s="18" t="n"/>
      <c r="J15" s="18" t="n"/>
      <c r="K15" s="18" t="n"/>
      <c r="L15" s="18" t="n"/>
      <c r="M15" s="18" t="n"/>
      <c r="N15" s="18" t="n"/>
      <c r="O15" s="18" t="n"/>
      <c r="P15" s="18" t="n"/>
      <c r="Q15" s="18" t="n"/>
      <c r="R15" s="18" t="n"/>
      <c r="S15" s="18" t="n"/>
      <c r="T15" s="18" t="n"/>
      <c r="U15" s="18" t="n"/>
      <c r="V15" s="18" t="n"/>
      <c r="W15" s="18" t="n"/>
      <c r="X15" s="18" t="n"/>
      <c r="Y15" s="18" t="n"/>
      <c r="Z15" s="18" t="n"/>
      <c r="AA15" s="18" t="n"/>
      <c r="AB15" s="18" t="n"/>
      <c r="AC15" s="18" t="n"/>
      <c r="AD15" s="18" t="n"/>
      <c r="AE15" s="18" t="n"/>
      <c r="AF15" s="18" t="n"/>
      <c r="AG15" s="18" t="n"/>
      <c r="AH15" s="18" t="n"/>
      <c r="AI15" s="18" t="n"/>
      <c r="AJ15" s="18" t="n"/>
      <c r="AK15" s="19" t="n"/>
      <c r="AL15" s="18" t="n"/>
      <c r="AM15" s="18" t="n"/>
      <c r="AN15" s="18" t="n"/>
      <c r="AO15" s="18" t="n"/>
      <c r="AP15" s="18" t="n"/>
      <c r="AQ15" s="18" t="n"/>
      <c r="AR15" s="18" t="n"/>
      <c r="AS15" s="18" t="n"/>
      <c r="AT15" s="18" t="n"/>
      <c r="AU15" s="18" t="n"/>
      <c r="AV15" s="18" t="n"/>
      <c r="AW15" s="18" t="n"/>
      <c r="AX15" s="18" t="n"/>
      <c r="AY15" s="18" t="n"/>
      <c r="AZ15" s="18" t="n"/>
      <c r="BA15" s="18" t="n"/>
      <c r="BB15" s="18" t="n"/>
      <c r="BC15" s="18" t="n"/>
      <c r="BD15" s="18" t="n"/>
      <c r="BE15" s="18" t="n"/>
      <c r="BF15" s="18" t="n"/>
      <c r="BG15" s="18" t="n"/>
      <c r="BH15" s="18" t="n"/>
      <c r="BI15" s="18" t="n"/>
      <c r="BJ15" s="18" t="n"/>
      <c r="BK15" s="18" t="n"/>
      <c r="BL15" s="18" t="n"/>
      <c r="BM15" s="18" t="n"/>
      <c r="BN15" s="18" t="n"/>
      <c r="BO15" s="18" t="n"/>
      <c r="BP15" s="18" t="n"/>
      <c r="BQ15" s="18" t="n"/>
      <c r="BR15" s="18" t="n"/>
      <c r="BS15" s="18" t="n"/>
      <c r="BT15" s="18" t="n"/>
      <c r="BU15" s="18" t="n"/>
      <c r="BV15" s="18" t="n"/>
      <c r="BW15" s="18" t="n"/>
      <c r="BX15" s="18" t="n"/>
      <c r="BY15" s="18" t="n"/>
      <c r="BZ15" s="18" t="n"/>
      <c r="CA15" s="18" t="n"/>
      <c r="CB15" s="18" t="n"/>
      <c r="CC15" s="18" t="n"/>
      <c r="CD15" s="18" t="n"/>
      <c r="CE15" s="18" t="n"/>
      <c r="CF15" s="18" t="n"/>
      <c r="CG15" s="18" t="n"/>
      <c r="CH15" s="18" t="n"/>
      <c r="CI15" s="18" t="n"/>
      <c r="CJ15" s="18" t="n"/>
      <c r="CK15" s="18" t="n"/>
      <c r="CL15" s="18" t="n"/>
      <c r="CM15" s="18" t="n"/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/>
      <c r="DD15" s="18" t="n"/>
      <c r="DE15" s="18" t="n"/>
      <c r="DF15" s="18" t="n"/>
      <c r="DG15" s="18" t="n"/>
      <c r="DH15" s="18" t="n"/>
      <c r="DI15" s="18" t="n"/>
      <c r="DJ15" s="18" t="n"/>
      <c r="DK15" s="18" t="n"/>
      <c r="DL15" s="18" t="n"/>
      <c r="DM15" s="18" t="n"/>
      <c r="DN15" s="18" t="n"/>
      <c r="DO15" s="18" t="n"/>
      <c r="DP15" s="18" t="n"/>
      <c r="DQ15" s="18" t="n"/>
      <c r="DR15" s="18" t="n"/>
      <c r="DS15" s="18" t="n"/>
      <c r="DT15" s="18" t="n"/>
    </row>
    <row r="16">
      <c r="A16" s="18">
        <f>'Schedule_Data_Option_A'!A17</f>
        <v/>
      </c>
      <c r="B16" s="18">
        <f>'Schedule_Data_Option_A'!B17</f>
        <v/>
      </c>
      <c r="C16" s="18">
        <f>'Schedule_Data_Option_A'!C17</f>
        <v/>
      </c>
      <c r="D16" s="19">
        <f>'Schedule_Data_Option_A'!D17</f>
        <v/>
      </c>
      <c r="E16" s="18" t="n"/>
      <c r="F16" s="18" t="n"/>
      <c r="G16" s="18" t="n"/>
      <c r="H16" s="18" t="n"/>
      <c r="I16" s="18" t="n"/>
      <c r="J16" s="18" t="n"/>
      <c r="K16" s="18" t="n"/>
      <c r="L16" s="18" t="n"/>
      <c r="M16" s="18" t="n"/>
      <c r="N16" s="18" t="n"/>
      <c r="O16" s="18" t="n"/>
      <c r="P16" s="18" t="n"/>
      <c r="Q16" s="18" t="n"/>
      <c r="R16" s="18" t="n"/>
      <c r="S16" s="18" t="n"/>
      <c r="T16" s="18" t="n"/>
      <c r="U16" s="18" t="n"/>
      <c r="V16" s="18" t="n"/>
      <c r="W16" s="18" t="n"/>
      <c r="X16" s="18" t="n"/>
      <c r="Y16" s="18" t="n"/>
      <c r="Z16" s="18" t="n"/>
      <c r="AA16" s="18" t="n"/>
      <c r="AB16" s="18" t="n"/>
      <c r="AC16" s="18" t="n"/>
      <c r="AD16" s="18" t="n"/>
      <c r="AE16" s="18" t="n"/>
      <c r="AF16" s="18" t="n"/>
      <c r="AG16" s="18" t="n"/>
      <c r="AH16" s="18" t="n"/>
      <c r="AI16" s="18" t="n"/>
      <c r="AJ16" s="18" t="n"/>
      <c r="AK16" s="18" t="n"/>
      <c r="AL16" s="18" t="n"/>
      <c r="AM16" s="18" t="n"/>
      <c r="AN16" s="18" t="n"/>
      <c r="AO16" s="18" t="n"/>
      <c r="AP16" s="18" t="n"/>
      <c r="AQ16" s="18" t="n"/>
      <c r="AR16" s="19" t="n"/>
      <c r="AS16" s="18" t="n"/>
      <c r="AT16" s="18" t="n"/>
      <c r="AU16" s="18" t="n"/>
      <c r="AV16" s="18" t="n"/>
      <c r="AW16" s="18" t="n"/>
      <c r="AX16" s="18" t="n"/>
      <c r="AY16" s="18" t="n"/>
      <c r="AZ16" s="18" t="n"/>
      <c r="BA16" s="18" t="n"/>
      <c r="BB16" s="18" t="n"/>
      <c r="BC16" s="18" t="n"/>
      <c r="BD16" s="18" t="n"/>
      <c r="BE16" s="18" t="n"/>
      <c r="BF16" s="18" t="n"/>
      <c r="BG16" s="18" t="n"/>
      <c r="BH16" s="18" t="n"/>
      <c r="BI16" s="18" t="n"/>
      <c r="BJ16" s="18" t="n"/>
      <c r="BK16" s="18" t="n"/>
      <c r="BL16" s="18" t="n"/>
      <c r="BM16" s="18" t="n"/>
      <c r="BN16" s="18" t="n"/>
      <c r="BO16" s="18" t="n"/>
      <c r="BP16" s="18" t="n"/>
      <c r="BQ16" s="18" t="n"/>
      <c r="BR16" s="18" t="n"/>
      <c r="BS16" s="18" t="n"/>
      <c r="BT16" s="18" t="n"/>
      <c r="BU16" s="18" t="n"/>
      <c r="BV16" s="18" t="n"/>
      <c r="BW16" s="18" t="n"/>
      <c r="BX16" s="18" t="n"/>
      <c r="BY16" s="18" t="n"/>
      <c r="BZ16" s="18" t="n"/>
      <c r="CA16" s="18" t="n"/>
      <c r="CB16" s="18" t="n"/>
      <c r="CC16" s="18" t="n"/>
      <c r="CD16" s="18" t="n"/>
      <c r="CE16" s="18" t="n"/>
      <c r="CF16" s="18" t="n"/>
      <c r="CG16" s="18" t="n"/>
      <c r="CH16" s="18" t="n"/>
      <c r="CI16" s="18" t="n"/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18" t="n"/>
      <c r="DP16" s="18" t="n"/>
      <c r="DQ16" s="18" t="n"/>
      <c r="DR16" s="18" t="n"/>
      <c r="DS16" s="18" t="n"/>
      <c r="DT16" s="18" t="n"/>
    </row>
    <row r="17">
      <c r="A17" s="18">
        <f>'Schedule_Data_Option_A'!A18</f>
        <v/>
      </c>
      <c r="B17" s="18">
        <f>'Schedule_Data_Option_A'!B18</f>
        <v/>
      </c>
      <c r="C17" s="18">
        <f>'Schedule_Data_Option_A'!C18</f>
        <v/>
      </c>
      <c r="D17" s="21">
        <f>'Schedule_Data_Option_A'!D18</f>
        <v/>
      </c>
      <c r="E17" s="18" t="n"/>
      <c r="F17" s="18" t="n"/>
      <c r="G17" s="18" t="n"/>
      <c r="H17" s="18" t="n"/>
      <c r="I17" s="18" t="n"/>
      <c r="J17" s="18" t="n"/>
      <c r="K17" s="18" t="n"/>
      <c r="L17" s="18" t="n"/>
      <c r="M17" s="18" t="n"/>
      <c r="N17" s="18" t="n"/>
      <c r="O17" s="18" t="n"/>
      <c r="P17" s="18" t="n"/>
      <c r="Q17" s="18" t="n"/>
      <c r="R17" s="18" t="n"/>
      <c r="S17" s="18" t="n"/>
      <c r="T17" s="18" t="n"/>
      <c r="U17" s="18" t="n"/>
      <c r="V17" s="18" t="n"/>
      <c r="W17" s="18" t="n"/>
      <c r="X17" s="18" t="n"/>
      <c r="Y17" s="18" t="n"/>
      <c r="Z17" s="18" t="n"/>
      <c r="AA17" s="18" t="n"/>
      <c r="AB17" s="18" t="n"/>
      <c r="AC17" s="18" t="n"/>
      <c r="AD17" s="18" t="n"/>
      <c r="AE17" s="18" t="n"/>
      <c r="AF17" s="18" t="n"/>
      <c r="AG17" s="18" t="n"/>
      <c r="AH17" s="18" t="n"/>
      <c r="AI17" s="18" t="n"/>
      <c r="AJ17" s="18" t="n"/>
      <c r="AK17" s="18" t="n"/>
      <c r="AL17" s="18" t="n"/>
      <c r="AM17" s="18" t="n"/>
      <c r="AN17" s="18" t="n"/>
      <c r="AO17" s="18" t="n"/>
      <c r="AP17" s="18" t="n"/>
      <c r="AQ17" s="18" t="n"/>
      <c r="AR17" s="18" t="n"/>
      <c r="AS17" s="18" t="n"/>
      <c r="AT17" s="36" t="inlineStr">
        <is>
          <t>*</t>
        </is>
      </c>
      <c r="AU17" s="18" t="n"/>
      <c r="AV17" s="18" t="n"/>
      <c r="AW17" s="18" t="n"/>
      <c r="AX17" s="18" t="n"/>
      <c r="AY17" s="18" t="n"/>
      <c r="AZ17" s="18" t="n"/>
      <c r="BA17" s="18" t="n"/>
      <c r="BB17" s="18" t="n"/>
      <c r="BC17" s="18" t="n"/>
      <c r="BD17" s="18" t="n"/>
      <c r="BE17" s="18" t="n"/>
      <c r="BF17" s="18" t="n"/>
      <c r="BG17" s="18" t="n"/>
      <c r="BH17" s="18" t="n"/>
      <c r="BI17" s="18" t="n"/>
      <c r="BJ17" s="18" t="n"/>
      <c r="BK17" s="18" t="n"/>
      <c r="BL17" s="18" t="n"/>
      <c r="BM17" s="18" t="n"/>
      <c r="BN17" s="18" t="n"/>
      <c r="BO17" s="18" t="n"/>
      <c r="BP17" s="18" t="n"/>
      <c r="BQ17" s="18" t="n"/>
      <c r="BR17" s="18" t="n"/>
      <c r="BS17" s="18" t="n"/>
      <c r="BT17" s="18" t="n"/>
      <c r="BU17" s="18" t="n"/>
      <c r="BV17" s="18" t="n"/>
      <c r="BW17" s="18" t="n"/>
      <c r="BX17" s="18" t="n"/>
      <c r="BY17" s="18" t="n"/>
      <c r="BZ17" s="18" t="n"/>
      <c r="CA17" s="18" t="n"/>
      <c r="CB17" s="18" t="n"/>
      <c r="CC17" s="18" t="n"/>
      <c r="CD17" s="18" t="n"/>
      <c r="CE17" s="18" t="n"/>
      <c r="CF17" s="18" t="n"/>
      <c r="CG17" s="18" t="n"/>
      <c r="CH17" s="18" t="n"/>
      <c r="CI17" s="18" t="n"/>
      <c r="CJ17" s="18" t="n"/>
      <c r="CK17" s="18" t="n"/>
      <c r="CL17" s="18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/>
    </row>
    <row r="18">
      <c r="A18" s="18">
        <f>'Schedule_Data_Option_A'!A19</f>
        <v/>
      </c>
      <c r="B18" s="18">
        <f>'Schedule_Data_Option_A'!B19</f>
        <v/>
      </c>
      <c r="C18" s="18">
        <f>'Schedule_Data_Option_A'!C19</f>
        <v/>
      </c>
      <c r="D18" s="19">
        <f>'Schedule_Data_Option_A'!D19</f>
        <v/>
      </c>
      <c r="E18" s="18" t="n"/>
      <c r="F18" s="18" t="n"/>
      <c r="G18" s="18" t="n"/>
      <c r="H18" s="18" t="n"/>
      <c r="I18" s="18" t="n"/>
      <c r="J18" s="18" t="n"/>
      <c r="K18" s="18" t="n"/>
      <c r="L18" s="18" t="n"/>
      <c r="M18" s="18" t="n"/>
      <c r="N18" s="18" t="n"/>
      <c r="O18" s="18" t="n"/>
      <c r="P18" s="18" t="n"/>
      <c r="Q18" s="18" t="n"/>
      <c r="R18" s="18" t="n"/>
      <c r="S18" s="18" t="n"/>
      <c r="T18" s="18" t="n"/>
      <c r="U18" s="18" t="n"/>
      <c r="V18" s="18" t="n"/>
      <c r="W18" s="18" t="n"/>
      <c r="X18" s="18" t="n"/>
      <c r="Y18" s="18" t="n"/>
      <c r="Z18" s="18" t="n"/>
      <c r="AA18" s="18" t="n"/>
      <c r="AB18" s="18" t="n"/>
      <c r="AC18" s="18" t="n"/>
      <c r="AD18" s="18" t="n"/>
      <c r="AE18" s="18" t="n"/>
      <c r="AF18" s="18" t="n"/>
      <c r="AG18" s="18" t="n"/>
      <c r="AH18" s="18" t="n"/>
      <c r="AI18" s="18" t="n"/>
      <c r="AJ18" s="18" t="n"/>
      <c r="AK18" s="18" t="n"/>
      <c r="AL18" s="18" t="n"/>
      <c r="AM18" s="18" t="n"/>
      <c r="AN18" s="18" t="n"/>
      <c r="AO18" s="18" t="n"/>
      <c r="AP18" s="18" t="n"/>
      <c r="AQ18" s="18" t="n"/>
      <c r="AR18" s="18" t="n"/>
      <c r="AS18" s="18" t="n"/>
      <c r="AT18" s="19" t="n"/>
      <c r="AU18" s="18" t="n"/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8" t="n"/>
      <c r="BQ18" s="18" t="n"/>
      <c r="BR18" s="18" t="n"/>
      <c r="BS18" s="18" t="n"/>
      <c r="BT18" s="18" t="n"/>
      <c r="BU18" s="18" t="n"/>
      <c r="BV18" s="18" t="n"/>
      <c r="BW18" s="18" t="n"/>
      <c r="BX18" s="18" t="n"/>
      <c r="BY18" s="18" t="n"/>
      <c r="BZ18" s="18" t="n"/>
      <c r="CA18" s="18" t="n"/>
      <c r="CB18" s="18" t="n"/>
      <c r="CC18" s="18" t="n"/>
      <c r="CD18" s="18" t="n"/>
      <c r="CE18" s="18" t="n"/>
      <c r="CF18" s="18" t="n"/>
      <c r="CG18" s="18" t="n"/>
      <c r="CH18" s="18" t="n"/>
      <c r="CI18" s="18" t="n"/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</row>
    <row r="19">
      <c r="A19" s="18">
        <f>'Schedule_Data_Option_A'!A20</f>
        <v/>
      </c>
      <c r="B19" s="18">
        <f>'Schedule_Data_Option_A'!B20</f>
        <v/>
      </c>
      <c r="C19" s="18">
        <f>'Schedule_Data_Option_A'!C20</f>
        <v/>
      </c>
      <c r="D19" s="21">
        <f>'Schedule_Data_Option_A'!D20</f>
        <v/>
      </c>
      <c r="E19" s="18" t="n"/>
      <c r="F19" s="18" t="n"/>
      <c r="G19" s="18" t="n"/>
      <c r="H19" s="18" t="n"/>
      <c r="I19" s="18" t="n"/>
      <c r="J19" s="18" t="n"/>
      <c r="K19" s="18" t="n"/>
      <c r="L19" s="18" t="n"/>
      <c r="M19" s="18" t="n"/>
      <c r="N19" s="18" t="n"/>
      <c r="O19" s="18" t="n"/>
      <c r="P19" s="18" t="n"/>
      <c r="Q19" s="18" t="n"/>
      <c r="R19" s="18" t="n"/>
      <c r="S19" s="18" t="n"/>
      <c r="T19" s="18" t="n"/>
      <c r="U19" s="18" t="n"/>
      <c r="V19" s="18" t="n"/>
      <c r="W19" s="18" t="n"/>
      <c r="X19" s="18" t="n"/>
      <c r="Y19" s="18" t="n"/>
      <c r="Z19" s="18" t="n"/>
      <c r="AA19" s="18" t="n"/>
      <c r="AB19" s="18" t="n"/>
      <c r="AC19" s="18" t="n"/>
      <c r="AD19" s="18" t="n"/>
      <c r="AE19" s="18" t="n"/>
      <c r="AF19" s="18" t="n"/>
      <c r="AG19" s="18" t="n"/>
      <c r="AH19" s="18" t="n"/>
      <c r="AI19" s="18" t="n"/>
      <c r="AJ19" s="18" t="n"/>
      <c r="AK19" s="18" t="n"/>
      <c r="AL19" s="18" t="n"/>
      <c r="AM19" s="18" t="n"/>
      <c r="AN19" s="18" t="n"/>
      <c r="AO19" s="18" t="n"/>
      <c r="AP19" s="18" t="n"/>
      <c r="AQ19" s="18" t="n"/>
      <c r="AR19" s="18" t="n"/>
      <c r="AS19" s="18" t="n"/>
      <c r="AT19" s="36" t="inlineStr">
        <is>
          <t>*</t>
        </is>
      </c>
      <c r="AU19" s="18" t="n"/>
      <c r="AV19" s="18" t="n"/>
      <c r="AW19" s="18" t="n"/>
      <c r="AX19" s="18" t="n"/>
      <c r="AY19" s="18" t="n"/>
      <c r="AZ19" s="18" t="n"/>
      <c r="BA19" s="18" t="n"/>
      <c r="BB19" s="18" t="n"/>
      <c r="BC19" s="18" t="n"/>
      <c r="BD19" s="18" t="n"/>
      <c r="BE19" s="18" t="n"/>
      <c r="BF19" s="18" t="n"/>
      <c r="BG19" s="18" t="n"/>
      <c r="BH19" s="18" t="n"/>
      <c r="BI19" s="18" t="n"/>
      <c r="BJ19" s="18" t="n"/>
      <c r="BK19" s="18" t="n"/>
      <c r="BL19" s="18" t="n"/>
      <c r="BM19" s="18" t="n"/>
      <c r="BN19" s="18" t="n"/>
      <c r="BO19" s="18" t="n"/>
      <c r="BP19" s="18" t="n"/>
      <c r="BQ19" s="18" t="n"/>
      <c r="BR19" s="18" t="n"/>
      <c r="BS19" s="18" t="n"/>
      <c r="BT19" s="18" t="n"/>
      <c r="BU19" s="18" t="n"/>
      <c r="BV19" s="18" t="n"/>
      <c r="BW19" s="18" t="n"/>
      <c r="BX19" s="18" t="n"/>
      <c r="BY19" s="18" t="n"/>
      <c r="BZ19" s="18" t="n"/>
      <c r="CA19" s="18" t="n"/>
      <c r="CB19" s="18" t="n"/>
      <c r="CC19" s="18" t="n"/>
      <c r="CD19" s="18" t="n"/>
      <c r="CE19" s="18" t="n"/>
      <c r="CF19" s="18" t="n"/>
      <c r="CG19" s="18" t="n"/>
      <c r="CH19" s="18" t="n"/>
      <c r="CI19" s="18" t="n"/>
      <c r="CJ19" s="18" t="n"/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/>
      <c r="DL19" s="18" t="n"/>
      <c r="DM19" s="18" t="n"/>
      <c r="DN19" s="18" t="n"/>
      <c r="DO19" s="18" t="n"/>
      <c r="DP19" s="18" t="n"/>
      <c r="DQ19" s="18" t="n"/>
      <c r="DR19" s="18" t="n"/>
      <c r="DS19" s="18" t="n"/>
      <c r="DT19" s="18" t="n"/>
    </row>
    <row r="20">
      <c r="A20" s="18">
        <f>'Schedule_Data_Option_A'!A21</f>
        <v/>
      </c>
      <c r="B20" s="18">
        <f>'Schedule_Data_Option_A'!B21</f>
        <v/>
      </c>
      <c r="C20" s="18">
        <f>'Schedule_Data_Option_A'!C21</f>
        <v/>
      </c>
      <c r="D20" s="19">
        <f>'Schedule_Data_Option_A'!D21</f>
        <v/>
      </c>
      <c r="E20" s="18" t="n"/>
      <c r="F20" s="18" t="n"/>
      <c r="G20" s="18" t="n"/>
      <c r="H20" s="18" t="n"/>
      <c r="I20" s="18" t="n"/>
      <c r="J20" s="18" t="n"/>
      <c r="K20" s="18" t="n"/>
      <c r="L20" s="18" t="n"/>
      <c r="M20" s="18" t="n"/>
      <c r="N20" s="18" t="n"/>
      <c r="O20" s="18" t="n"/>
      <c r="P20" s="18" t="n"/>
      <c r="Q20" s="18" t="n"/>
      <c r="R20" s="18" t="n"/>
      <c r="S20" s="18" t="n"/>
      <c r="T20" s="18" t="n"/>
      <c r="U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  <c r="AD20" s="18" t="n"/>
      <c r="AE20" s="18" t="n"/>
      <c r="AF20" s="18" t="n"/>
      <c r="AG20" s="18" t="n"/>
      <c r="AH20" s="18" t="n"/>
      <c r="AI20" s="18" t="n"/>
      <c r="AJ20" s="18" t="n"/>
      <c r="AK20" s="18" t="n"/>
      <c r="AL20" s="18" t="n"/>
      <c r="AM20" s="18" t="n"/>
      <c r="AN20" s="18" t="n"/>
      <c r="AO20" s="18" t="n"/>
      <c r="AP20" s="18" t="n"/>
      <c r="AQ20" s="18" t="n"/>
      <c r="AR20" s="18" t="n"/>
      <c r="AS20" s="18" t="n"/>
      <c r="AT20" s="19" t="n"/>
      <c r="AU20" s="18" t="n"/>
      <c r="AV20" s="18" t="n"/>
      <c r="AW20" s="18" t="n"/>
      <c r="AX20" s="18" t="n"/>
      <c r="AY20" s="18" t="n"/>
      <c r="AZ20" s="18" t="n"/>
      <c r="BA20" s="18" t="n"/>
      <c r="BB20" s="18" t="n"/>
      <c r="BC20" s="18" t="n"/>
      <c r="BD20" s="18" t="n"/>
      <c r="BE20" s="18" t="n"/>
      <c r="BF20" s="18" t="n"/>
      <c r="BG20" s="18" t="n"/>
      <c r="BH20" s="18" t="n"/>
      <c r="BI20" s="18" t="n"/>
      <c r="BJ20" s="18" t="n"/>
      <c r="BK20" s="18" t="n"/>
      <c r="BL20" s="18" t="n"/>
      <c r="BM20" s="18" t="n"/>
      <c r="BN20" s="18" t="n"/>
      <c r="BO20" s="18" t="n"/>
      <c r="BP20" s="18" t="n"/>
      <c r="BQ20" s="18" t="n"/>
      <c r="BR20" s="18" t="n"/>
      <c r="BS20" s="18" t="n"/>
      <c r="BT20" s="18" t="n"/>
      <c r="BU20" s="18" t="n"/>
      <c r="BV20" s="18" t="n"/>
      <c r="BW20" s="18" t="n"/>
      <c r="BX20" s="18" t="n"/>
      <c r="BY20" s="18" t="n"/>
      <c r="BZ20" s="18" t="n"/>
      <c r="CA20" s="18" t="n"/>
      <c r="CB20" s="18" t="n"/>
      <c r="CC20" s="18" t="n"/>
      <c r="CD20" s="18" t="n"/>
      <c r="CE20" s="18" t="n"/>
      <c r="CF20" s="18" t="n"/>
      <c r="CG20" s="18" t="n"/>
      <c r="CH20" s="18" t="n"/>
      <c r="CI20" s="18" t="n"/>
      <c r="CJ20" s="18" t="n"/>
      <c r="CK20" s="18" t="n"/>
      <c r="CL20" s="18" t="n"/>
      <c r="CM20" s="18" t="n"/>
      <c r="CN20" s="18" t="n"/>
      <c r="CO20" s="18" t="n"/>
      <c r="CP20" s="18" t="n"/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/>
      <c r="CZ20" s="18" t="n"/>
      <c r="DA20" s="18" t="n"/>
      <c r="DB20" s="18" t="n"/>
      <c r="DC20" s="18" t="n"/>
      <c r="DD20" s="18" t="n"/>
      <c r="DE20" s="18" t="n"/>
      <c r="DF20" s="18" t="n"/>
      <c r="DG20" s="18" t="n"/>
      <c r="DH20" s="18" t="n"/>
      <c r="DI20" s="18" t="n"/>
      <c r="DJ20" s="18" t="n"/>
      <c r="DK20" s="18" t="n"/>
      <c r="DL20" s="18" t="n"/>
      <c r="DM20" s="18" t="n"/>
      <c r="DN20" s="18" t="n"/>
      <c r="DO20" s="18" t="n"/>
      <c r="DP20" s="18" t="n"/>
      <c r="DQ20" s="18" t="n"/>
      <c r="DR20" s="18" t="n"/>
      <c r="DS20" s="18" t="n"/>
      <c r="DT20" s="18" t="n"/>
    </row>
    <row r="21">
      <c r="A21" s="18">
        <f>'Schedule_Data_Option_A'!A22</f>
        <v/>
      </c>
      <c r="B21" s="18">
        <f>'Schedule_Data_Option_A'!B22</f>
        <v/>
      </c>
      <c r="C21" s="18">
        <f>'Schedule_Data_Option_A'!C22</f>
        <v/>
      </c>
      <c r="D21" s="21">
        <f>'Schedule_Data_Option_A'!D22</f>
        <v/>
      </c>
      <c r="E21" s="18" t="n"/>
      <c r="F21" s="36" t="inlineStr">
        <is>
          <t>*</t>
        </is>
      </c>
      <c r="G21" s="18" t="n"/>
      <c r="H21" s="18" t="n"/>
      <c r="I21" s="18" t="n"/>
      <c r="J21" s="18" t="n"/>
      <c r="K21" s="18" t="n"/>
      <c r="L21" s="18" t="n"/>
      <c r="M21" s="18" t="n"/>
      <c r="N21" s="18" t="n"/>
      <c r="O21" s="18" t="n"/>
      <c r="P21" s="18" t="n"/>
      <c r="Q21" s="18" t="n"/>
      <c r="R21" s="18" t="n"/>
      <c r="S21" s="18" t="n"/>
      <c r="T21" s="18" t="n"/>
      <c r="U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  <c r="AD21" s="18" t="n"/>
      <c r="AE21" s="18" t="n"/>
      <c r="AF21" s="18" t="n"/>
      <c r="AG21" s="18" t="n"/>
      <c r="AH21" s="18" t="n"/>
      <c r="AI21" s="18" t="n"/>
      <c r="AJ21" s="18" t="n"/>
      <c r="AK21" s="18" t="n"/>
      <c r="AL21" s="18" t="n"/>
      <c r="AM21" s="18" t="n"/>
      <c r="AN21" s="18" t="n"/>
      <c r="AO21" s="18" t="n"/>
      <c r="AP21" s="18" t="n"/>
      <c r="AQ21" s="18" t="n"/>
      <c r="AR21" s="18" t="n"/>
      <c r="AS21" s="18" t="n"/>
      <c r="AT21" s="18" t="n"/>
      <c r="AU21" s="18" t="n"/>
      <c r="AV21" s="18" t="n"/>
      <c r="AW21" s="18" t="n"/>
      <c r="AX21" s="18" t="n"/>
      <c r="AY21" s="18" t="n"/>
      <c r="AZ21" s="18" t="n"/>
      <c r="BA21" s="18" t="n"/>
      <c r="BB21" s="18" t="n"/>
      <c r="BC21" s="18" t="n"/>
      <c r="BD21" s="18" t="n"/>
      <c r="BE21" s="18" t="n"/>
      <c r="BF21" s="18" t="n"/>
      <c r="BG21" s="18" t="n"/>
      <c r="BH21" s="18" t="n"/>
      <c r="BI21" s="18" t="n"/>
      <c r="BJ21" s="18" t="n"/>
      <c r="BK21" s="18" t="n"/>
      <c r="BL21" s="18" t="n"/>
      <c r="BM21" s="18" t="n"/>
      <c r="BN21" s="18" t="n"/>
      <c r="BO21" s="18" t="n"/>
      <c r="BP21" s="18" t="n"/>
      <c r="BQ21" s="18" t="n"/>
      <c r="BR21" s="18" t="n"/>
      <c r="BS21" s="18" t="n"/>
      <c r="BT21" s="18" t="n"/>
      <c r="BU21" s="18" t="n"/>
      <c r="BV21" s="18" t="n"/>
      <c r="BW21" s="18" t="n"/>
      <c r="BX21" s="18" t="n"/>
      <c r="BY21" s="18" t="n"/>
      <c r="BZ21" s="18" t="n"/>
      <c r="CA21" s="18" t="n"/>
      <c r="CB21" s="18" t="n"/>
      <c r="CC21" s="18" t="n"/>
      <c r="CD21" s="18" t="n"/>
      <c r="CE21" s="18" t="n"/>
      <c r="CF21" s="18" t="n"/>
      <c r="CG21" s="18" t="n"/>
      <c r="CH21" s="18" t="n"/>
      <c r="CI21" s="18" t="n"/>
      <c r="CJ21" s="18" t="n"/>
      <c r="CK21" s="18" t="n"/>
      <c r="CL21" s="18" t="n"/>
      <c r="CM21" s="18" t="n"/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/>
      <c r="CX21" s="18" t="n"/>
      <c r="CY21" s="18" t="n"/>
      <c r="CZ21" s="18" t="n"/>
      <c r="DA21" s="18" t="n"/>
      <c r="DB21" s="18" t="n"/>
      <c r="DC21" s="18" t="n"/>
      <c r="DD21" s="18" t="n"/>
      <c r="DE21" s="18" t="n"/>
      <c r="DF21" s="18" t="n"/>
      <c r="DG21" s="18" t="n"/>
      <c r="DH21" s="18" t="n"/>
      <c r="DI21" s="18" t="n"/>
      <c r="DJ21" s="18" t="n"/>
      <c r="DK21" s="18" t="n"/>
      <c r="DL21" s="18" t="n"/>
      <c r="DM21" s="18" t="n"/>
      <c r="DN21" s="18" t="n"/>
      <c r="DO21" s="18" t="n"/>
      <c r="DP21" s="18" t="n"/>
      <c r="DQ21" s="18" t="n"/>
      <c r="DR21" s="18" t="n"/>
      <c r="DS21" s="18" t="n"/>
      <c r="DT21" s="18" t="n"/>
    </row>
    <row r="22">
      <c r="A22" s="18">
        <f>'Schedule_Data_Option_A'!A23</f>
        <v/>
      </c>
      <c r="B22" s="18">
        <f>'Schedule_Data_Option_A'!B23</f>
        <v/>
      </c>
      <c r="C22" s="18">
        <f>'Schedule_Data_Option_A'!C23</f>
        <v/>
      </c>
      <c r="D22" s="21">
        <f>'Schedule_Data_Option_A'!D23</f>
        <v/>
      </c>
      <c r="E22" s="18" t="n"/>
      <c r="F22" s="36" t="inlineStr">
        <is>
          <t>*</t>
        </is>
      </c>
      <c r="G22" s="18" t="n"/>
      <c r="H22" s="18" t="n"/>
      <c r="I22" s="18" t="n"/>
      <c r="J22" s="18" t="n"/>
      <c r="K22" s="18" t="n"/>
      <c r="L22" s="18" t="n"/>
      <c r="M22" s="18" t="n"/>
      <c r="N22" s="18" t="n"/>
      <c r="O22" s="18" t="n"/>
      <c r="P22" s="18" t="n"/>
      <c r="Q22" s="18" t="n"/>
      <c r="R22" s="18" t="n"/>
      <c r="S22" s="18" t="n"/>
      <c r="T22" s="18" t="n"/>
      <c r="U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  <c r="AD22" s="18" t="n"/>
      <c r="AE22" s="18" t="n"/>
      <c r="AF22" s="18" t="n"/>
      <c r="AG22" s="18" t="n"/>
      <c r="AH22" s="18" t="n"/>
      <c r="AI22" s="18" t="n"/>
      <c r="AJ22" s="18" t="n"/>
      <c r="AK22" s="18" t="n"/>
      <c r="AL22" s="18" t="n"/>
      <c r="AM22" s="18" t="n"/>
      <c r="AN22" s="18" t="n"/>
      <c r="AO22" s="18" t="n"/>
      <c r="AP22" s="18" t="n"/>
      <c r="AQ22" s="18" t="n"/>
      <c r="AR22" s="18" t="n"/>
      <c r="AS22" s="18" t="n"/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18" t="n"/>
      <c r="BU22" s="18" t="n"/>
      <c r="BV22" s="18" t="n"/>
      <c r="BW22" s="18" t="n"/>
      <c r="BX22" s="18" t="n"/>
      <c r="BY22" s="18" t="n"/>
      <c r="BZ22" s="18" t="n"/>
      <c r="CA22" s="18" t="n"/>
      <c r="CB22" s="18" t="n"/>
      <c r="CC22" s="18" t="n"/>
      <c r="CD22" s="18" t="n"/>
      <c r="CE22" s="18" t="n"/>
      <c r="CF22" s="18" t="n"/>
      <c r="CG22" s="18" t="n"/>
      <c r="CH22" s="18" t="n"/>
      <c r="CI22" s="18" t="n"/>
      <c r="CJ22" s="18" t="n"/>
      <c r="CK22" s="18" t="n"/>
      <c r="CL22" s="18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18" t="n"/>
      <c r="DL22" s="18" t="n"/>
      <c r="DM22" s="18" t="n"/>
      <c r="DN22" s="18" t="n"/>
      <c r="DO22" s="18" t="n"/>
      <c r="DP22" s="18" t="n"/>
      <c r="DQ22" s="18" t="n"/>
      <c r="DR22" s="18" t="n"/>
      <c r="DS22" s="18" t="n"/>
      <c r="DT22" s="18" t="n"/>
    </row>
    <row r="23">
      <c r="A23" s="18">
        <f>'Schedule_Data_Option_A'!A24</f>
        <v/>
      </c>
      <c r="B23" s="18">
        <f>'Schedule_Data_Option_A'!B24</f>
        <v/>
      </c>
      <c r="C23" s="18">
        <f>'Schedule_Data_Option_A'!C24</f>
        <v/>
      </c>
      <c r="D23" s="21">
        <f>'Schedule_Data_Option_A'!D24</f>
        <v/>
      </c>
      <c r="E23" s="18" t="n"/>
      <c r="F23" s="21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18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  <c r="AE23" s="18" t="n"/>
      <c r="AF23" s="18" t="n"/>
      <c r="AG23" s="18" t="n"/>
      <c r="AH23" s="18" t="n"/>
      <c r="AI23" s="18" t="n"/>
      <c r="AJ23" s="18" t="n"/>
      <c r="AK23" s="18" t="n"/>
      <c r="AL23" s="18" t="n"/>
      <c r="AM23" s="18" t="n"/>
      <c r="AN23" s="18" t="n"/>
      <c r="AO23" s="18" t="n"/>
      <c r="AP23" s="18" t="n"/>
      <c r="AQ23" s="18" t="n"/>
      <c r="AR23" s="18" t="n"/>
      <c r="AS23" s="18" t="n"/>
      <c r="AT23" s="18" t="n"/>
      <c r="AU23" s="18" t="n"/>
      <c r="AV23" s="18" t="n"/>
      <c r="AW23" s="18" t="n"/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18" t="n"/>
      <c r="BU23" s="18" t="n"/>
      <c r="BV23" s="18" t="n"/>
      <c r="BW23" s="18" t="n"/>
      <c r="BX23" s="18" t="n"/>
      <c r="BY23" s="18" t="n"/>
      <c r="BZ23" s="18" t="n"/>
      <c r="CA23" s="18" t="n"/>
      <c r="CB23" s="18" t="n"/>
      <c r="CC23" s="18" t="n"/>
      <c r="CD23" s="18" t="n"/>
      <c r="CE23" s="18" t="n"/>
      <c r="CF23" s="18" t="n"/>
      <c r="CG23" s="18" t="n"/>
      <c r="CH23" s="18" t="n"/>
      <c r="CI23" s="18" t="n"/>
      <c r="CJ23" s="18" t="n"/>
      <c r="CK23" s="18" t="n"/>
      <c r="CL23" s="18" t="n"/>
      <c r="CM23" s="18" t="n"/>
      <c r="CN23" s="18" t="n"/>
      <c r="CO23" s="18" t="n"/>
      <c r="CP23" s="18" t="n"/>
      <c r="CQ23" s="18" t="n"/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/>
      <c r="DD23" s="18" t="n"/>
      <c r="DE23" s="18" t="n"/>
      <c r="DF23" s="18" t="n"/>
      <c r="DG23" s="18" t="n"/>
      <c r="DH23" s="18" t="n"/>
      <c r="DI23" s="18" t="n"/>
      <c r="DJ23" s="18" t="n"/>
      <c r="DK23" s="18" t="n"/>
      <c r="DL23" s="18" t="n"/>
      <c r="DM23" s="18" t="n"/>
      <c r="DN23" s="18" t="n"/>
      <c r="DO23" s="18" t="n"/>
      <c r="DP23" s="18" t="n"/>
      <c r="DQ23" s="18" t="n"/>
      <c r="DR23" s="18" t="n"/>
      <c r="DS23" s="18" t="n"/>
      <c r="DT23" s="18" t="n"/>
    </row>
    <row r="24">
      <c r="A24" s="18">
        <f>'Schedule_Data_Option_A'!A25</f>
        <v/>
      </c>
      <c r="B24" s="18">
        <f>'Schedule_Data_Option_A'!B25</f>
        <v/>
      </c>
      <c r="C24" s="18">
        <f>'Schedule_Data_Option_A'!C25</f>
        <v/>
      </c>
      <c r="D24" s="21">
        <f>'Schedule_Data_Option_A'!D25</f>
        <v/>
      </c>
      <c r="E24" s="18" t="n"/>
      <c r="F24" s="18" t="n"/>
      <c r="G24" s="21" t="n"/>
      <c r="H24" s="18" t="n"/>
      <c r="I24" s="18" t="n"/>
      <c r="J24" s="18" t="n"/>
      <c r="K24" s="18" t="n"/>
      <c r="L24" s="18" t="n"/>
      <c r="M24" s="18" t="n"/>
      <c r="N24" s="18" t="n"/>
      <c r="O24" s="18" t="n"/>
      <c r="P24" s="18" t="n"/>
      <c r="Q24" s="18" t="n"/>
      <c r="R24" s="18" t="n"/>
      <c r="S24" s="18" t="n"/>
      <c r="T24" s="18" t="n"/>
      <c r="U24" s="18" t="n"/>
      <c r="V24" s="18" t="n"/>
      <c r="W24" s="18" t="n"/>
      <c r="X24" s="18" t="n"/>
      <c r="Y24" s="18" t="n"/>
      <c r="Z24" s="18" t="n"/>
      <c r="AA24" s="18" t="n"/>
      <c r="AB24" s="18" t="n"/>
      <c r="AC24" s="18" t="n"/>
      <c r="AD24" s="18" t="n"/>
      <c r="AE24" s="18" t="n"/>
      <c r="AF24" s="18" t="n"/>
      <c r="AG24" s="18" t="n"/>
      <c r="AH24" s="18" t="n"/>
      <c r="AI24" s="18" t="n"/>
      <c r="AJ24" s="18" t="n"/>
      <c r="AK24" s="18" t="n"/>
      <c r="AL24" s="18" t="n"/>
      <c r="AM24" s="18" t="n"/>
      <c r="AN24" s="18" t="n"/>
      <c r="AO24" s="18" t="n"/>
      <c r="AP24" s="18" t="n"/>
      <c r="AQ24" s="18" t="n"/>
      <c r="AR24" s="18" t="n"/>
      <c r="AS24" s="18" t="n"/>
      <c r="AT24" s="18" t="n"/>
      <c r="AU24" s="18" t="n"/>
      <c r="AV24" s="18" t="n"/>
      <c r="AW24" s="18" t="n"/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18" t="n"/>
      <c r="BU24" s="18" t="n"/>
      <c r="BV24" s="18" t="n"/>
      <c r="BW24" s="18" t="n"/>
      <c r="BX24" s="18" t="n"/>
      <c r="BY24" s="18" t="n"/>
      <c r="BZ24" s="18" t="n"/>
      <c r="CA24" s="18" t="n"/>
      <c r="CB24" s="18" t="n"/>
      <c r="CC24" s="18" t="n"/>
      <c r="CD24" s="18" t="n"/>
      <c r="CE24" s="18" t="n"/>
      <c r="CF24" s="18" t="n"/>
      <c r="CG24" s="18" t="n"/>
      <c r="CH24" s="18" t="n"/>
      <c r="CI24" s="18" t="n"/>
      <c r="CJ24" s="18" t="n"/>
      <c r="CK24" s="18" t="n"/>
      <c r="CL24" s="18" t="n"/>
      <c r="CM24" s="18" t="n"/>
      <c r="CN24" s="18" t="n"/>
      <c r="CO24" s="18" t="n"/>
      <c r="CP24" s="18" t="n"/>
      <c r="CQ24" s="18" t="n"/>
      <c r="CR24" s="18" t="n"/>
      <c r="CS24" s="18" t="n"/>
      <c r="CT24" s="18" t="n"/>
      <c r="CU24" s="18" t="n"/>
      <c r="CV24" s="18" t="n"/>
      <c r="CW24" s="18" t="n"/>
      <c r="CX24" s="18" t="n"/>
      <c r="CY24" s="18" t="n"/>
      <c r="CZ24" s="18" t="n"/>
      <c r="DA24" s="18" t="n"/>
      <c r="DB24" s="18" t="n"/>
      <c r="DC24" s="18" t="n"/>
      <c r="DD24" s="18" t="n"/>
      <c r="DE24" s="18" t="n"/>
      <c r="DF24" s="18" t="n"/>
      <c r="DG24" s="18" t="n"/>
      <c r="DH24" s="18" t="n"/>
      <c r="DI24" s="18" t="n"/>
      <c r="DJ24" s="18" t="n"/>
      <c r="DK24" s="18" t="n"/>
      <c r="DL24" s="18" t="n"/>
      <c r="DM24" s="18" t="n"/>
      <c r="DN24" s="18" t="n"/>
      <c r="DO24" s="18" t="n"/>
      <c r="DP24" s="18" t="n"/>
      <c r="DQ24" s="18" t="n"/>
      <c r="DR24" s="18" t="n"/>
      <c r="DS24" s="18" t="n"/>
      <c r="DT24" s="18" t="n"/>
    </row>
    <row r="25">
      <c r="A25" s="18">
        <f>'Schedule_Data_Option_A'!A26</f>
        <v/>
      </c>
      <c r="B25" s="18">
        <f>'Schedule_Data_Option_A'!B26</f>
        <v/>
      </c>
      <c r="C25" s="18">
        <f>'Schedule_Data_Option_A'!C26</f>
        <v/>
      </c>
      <c r="D25" s="21">
        <f>'Schedule_Data_Option_A'!D26</f>
        <v/>
      </c>
      <c r="E25" s="18" t="n"/>
      <c r="F25" s="18" t="n"/>
      <c r="G25" s="18" t="n"/>
      <c r="H25" s="18" t="n"/>
      <c r="I25" s="18" t="n"/>
      <c r="J25" s="18" t="n"/>
      <c r="K25" s="18" t="n"/>
      <c r="L25" s="18" t="n"/>
      <c r="M25" s="18" t="n"/>
      <c r="N25" s="18" t="n"/>
      <c r="O25" s="21" t="n"/>
      <c r="P25" s="18" t="n"/>
      <c r="Q25" s="18" t="n"/>
      <c r="R25" s="18" t="n"/>
      <c r="S25" s="18" t="n"/>
      <c r="T25" s="18" t="n"/>
      <c r="U25" s="18" t="n"/>
      <c r="V25" s="18" t="n"/>
      <c r="W25" s="18" t="n"/>
      <c r="X25" s="18" t="n"/>
      <c r="Y25" s="18" t="n"/>
      <c r="Z25" s="18" t="n"/>
      <c r="AA25" s="18" t="n"/>
      <c r="AB25" s="18" t="n"/>
      <c r="AC25" s="18" t="n"/>
      <c r="AD25" s="18" t="n"/>
      <c r="AE25" s="18" t="n"/>
      <c r="AF25" s="18" t="n"/>
      <c r="AG25" s="18" t="n"/>
      <c r="AH25" s="18" t="n"/>
      <c r="AI25" s="18" t="n"/>
      <c r="AJ25" s="18" t="n"/>
      <c r="AK25" s="18" t="n"/>
      <c r="AL25" s="18" t="n"/>
      <c r="AM25" s="18" t="n"/>
      <c r="AN25" s="18" t="n"/>
      <c r="AO25" s="18" t="n"/>
      <c r="AP25" s="18" t="n"/>
      <c r="AQ25" s="18" t="n"/>
      <c r="AR25" s="18" t="n"/>
      <c r="AS25" s="18" t="n"/>
      <c r="AT25" s="18" t="n"/>
      <c r="AU25" s="18" t="n"/>
      <c r="AV25" s="18" t="n"/>
      <c r="AW25" s="18" t="n"/>
      <c r="AX25" s="18" t="n"/>
      <c r="AY25" s="18" t="n"/>
      <c r="AZ25" s="18" t="n"/>
      <c r="BA25" s="18" t="n"/>
      <c r="BB25" s="18" t="n"/>
      <c r="BC25" s="18" t="n"/>
      <c r="BD25" s="18" t="n"/>
      <c r="BE25" s="18" t="n"/>
      <c r="BF25" s="18" t="n"/>
      <c r="BG25" s="18" t="n"/>
      <c r="BH25" s="18" t="n"/>
      <c r="BI25" s="18" t="n"/>
      <c r="BJ25" s="18" t="n"/>
      <c r="BK25" s="18" t="n"/>
      <c r="BL25" s="18" t="n"/>
      <c r="BM25" s="18" t="n"/>
      <c r="BN25" s="18" t="n"/>
      <c r="BO25" s="18" t="n"/>
      <c r="BP25" s="18" t="n"/>
      <c r="BQ25" s="18" t="n"/>
      <c r="BR25" s="18" t="n"/>
      <c r="BS25" s="18" t="n"/>
      <c r="BT25" s="18" t="n"/>
      <c r="BU25" s="18" t="n"/>
      <c r="BV25" s="18" t="n"/>
      <c r="BW25" s="18" t="n"/>
      <c r="BX25" s="18" t="n"/>
      <c r="BY25" s="18" t="n"/>
      <c r="BZ25" s="18" t="n"/>
      <c r="CA25" s="18" t="n"/>
      <c r="CB25" s="18" t="n"/>
      <c r="CC25" s="18" t="n"/>
      <c r="CD25" s="18" t="n"/>
      <c r="CE25" s="18" t="n"/>
      <c r="CF25" s="18" t="n"/>
      <c r="CG25" s="18" t="n"/>
      <c r="CH25" s="18" t="n"/>
      <c r="CI25" s="18" t="n"/>
      <c r="CJ25" s="18" t="n"/>
      <c r="CK25" s="18" t="n"/>
      <c r="CL25" s="18" t="n"/>
      <c r="CM25" s="18" t="n"/>
      <c r="CN25" s="18" t="n"/>
      <c r="CO25" s="18" t="n"/>
      <c r="CP25" s="18" t="n"/>
      <c r="CQ25" s="18" t="n"/>
      <c r="CR25" s="18" t="n"/>
      <c r="CS25" s="18" t="n"/>
      <c r="CT25" s="18" t="n"/>
      <c r="CU25" s="18" t="n"/>
      <c r="CV25" s="18" t="n"/>
      <c r="CW25" s="18" t="n"/>
      <c r="CX25" s="18" t="n"/>
      <c r="CY25" s="18" t="n"/>
      <c r="CZ25" s="18" t="n"/>
      <c r="DA25" s="18" t="n"/>
      <c r="DB25" s="18" t="n"/>
      <c r="DC25" s="18" t="n"/>
      <c r="DD25" s="18" t="n"/>
      <c r="DE25" s="18" t="n"/>
      <c r="DF25" s="18" t="n"/>
      <c r="DG25" s="18" t="n"/>
      <c r="DH25" s="18" t="n"/>
      <c r="DI25" s="18" t="n"/>
      <c r="DJ25" s="18" t="n"/>
      <c r="DK25" s="18" t="n"/>
      <c r="DL25" s="18" t="n"/>
      <c r="DM25" s="18" t="n"/>
      <c r="DN25" s="18" t="n"/>
      <c r="DO25" s="18" t="n"/>
      <c r="DP25" s="18" t="n"/>
      <c r="DQ25" s="18" t="n"/>
      <c r="DR25" s="18" t="n"/>
      <c r="DS25" s="18" t="n"/>
      <c r="DT25" s="18" t="n"/>
    </row>
    <row r="26">
      <c r="A26" s="18">
        <f>'Schedule_Data_Option_A'!A27</f>
        <v/>
      </c>
      <c r="B26" s="18">
        <f>'Schedule_Data_Option_A'!B27</f>
        <v/>
      </c>
      <c r="C26" s="18">
        <f>'Schedule_Data_Option_A'!C27</f>
        <v/>
      </c>
      <c r="D26" s="21">
        <f>'Schedule_Data_Option_A'!D27</f>
        <v/>
      </c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  <c r="O26" s="18" t="n"/>
      <c r="P26" s="21" t="n"/>
      <c r="Q26" s="18" t="n"/>
      <c r="R26" s="18" t="n"/>
      <c r="S26" s="18" t="n"/>
      <c r="T26" s="18" t="n"/>
      <c r="U26" s="18" t="n"/>
      <c r="V26" s="18" t="n"/>
      <c r="W26" s="18" t="n"/>
      <c r="X26" s="18" t="n"/>
      <c r="Y26" s="18" t="n"/>
      <c r="Z26" s="18" t="n"/>
      <c r="AA26" s="18" t="n"/>
      <c r="AB26" s="18" t="n"/>
      <c r="AC26" s="18" t="n"/>
      <c r="AD26" s="18" t="n"/>
      <c r="AE26" s="18" t="n"/>
      <c r="AF26" s="18" t="n"/>
      <c r="AG26" s="18" t="n"/>
      <c r="AH26" s="18" t="n"/>
      <c r="AI26" s="18" t="n"/>
      <c r="AJ26" s="18" t="n"/>
      <c r="AK26" s="18" t="n"/>
      <c r="AL26" s="18" t="n"/>
      <c r="AM26" s="18" t="n"/>
      <c r="AN26" s="18" t="n"/>
      <c r="AO26" s="18" t="n"/>
      <c r="AP26" s="18" t="n"/>
      <c r="AQ26" s="18" t="n"/>
      <c r="AR26" s="18" t="n"/>
      <c r="AS26" s="18" t="n"/>
      <c r="AT26" s="18" t="n"/>
      <c r="AU26" s="18" t="n"/>
      <c r="AV26" s="18" t="n"/>
      <c r="AW26" s="18" t="n"/>
      <c r="AX26" s="18" t="n"/>
      <c r="AY26" s="18" t="n"/>
      <c r="AZ26" s="18" t="n"/>
      <c r="BA26" s="18" t="n"/>
      <c r="BB26" s="18" t="n"/>
      <c r="BC26" s="18" t="n"/>
      <c r="BD26" s="18" t="n"/>
      <c r="BE26" s="18" t="n"/>
      <c r="BF26" s="18" t="n"/>
      <c r="BG26" s="18" t="n"/>
      <c r="BH26" s="18" t="n"/>
      <c r="BI26" s="18" t="n"/>
      <c r="BJ26" s="18" t="n"/>
      <c r="BK26" s="18" t="n"/>
      <c r="BL26" s="18" t="n"/>
      <c r="BM26" s="18" t="n"/>
      <c r="BN26" s="18" t="n"/>
      <c r="BO26" s="18" t="n"/>
      <c r="BP26" s="18" t="n"/>
      <c r="BQ26" s="18" t="n"/>
      <c r="BR26" s="18" t="n"/>
      <c r="BS26" s="18" t="n"/>
      <c r="BT26" s="18" t="n"/>
      <c r="BU26" s="18" t="n"/>
      <c r="BV26" s="18" t="n"/>
      <c r="BW26" s="18" t="n"/>
      <c r="BX26" s="18" t="n"/>
      <c r="BY26" s="18" t="n"/>
      <c r="BZ26" s="18" t="n"/>
      <c r="CA26" s="18" t="n"/>
      <c r="CB26" s="18" t="n"/>
      <c r="CC26" s="18" t="n"/>
      <c r="CD26" s="18" t="n"/>
      <c r="CE26" s="18" t="n"/>
      <c r="CF26" s="18" t="n"/>
      <c r="CG26" s="18" t="n"/>
      <c r="CH26" s="18" t="n"/>
      <c r="CI26" s="18" t="n"/>
      <c r="CJ26" s="18" t="n"/>
      <c r="CK26" s="18" t="n"/>
      <c r="CL26" s="18" t="n"/>
      <c r="CM26" s="18" t="n"/>
      <c r="CN26" s="18" t="n"/>
      <c r="CO26" s="18" t="n"/>
      <c r="CP26" s="18" t="n"/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18" t="n"/>
      <c r="DP26" s="18" t="n"/>
      <c r="DQ26" s="18" t="n"/>
      <c r="DR26" s="18" t="n"/>
      <c r="DS26" s="18" t="n"/>
      <c r="DT26" s="18" t="n"/>
    </row>
    <row r="27">
      <c r="A27" s="18">
        <f>'Schedule_Data_Option_A'!A28</f>
        <v/>
      </c>
      <c r="B27" s="18">
        <f>'Schedule_Data_Option_A'!B28</f>
        <v/>
      </c>
      <c r="C27" s="18">
        <f>'Schedule_Data_Option_A'!C28</f>
        <v/>
      </c>
      <c r="D27" s="21">
        <f>'Schedule_Data_Option_A'!D28</f>
        <v/>
      </c>
      <c r="E27" s="18" t="n"/>
      <c r="F27" s="18" t="n"/>
      <c r="G27" s="18" t="n"/>
      <c r="H27" s="18" t="n"/>
      <c r="I27" s="18" t="n"/>
      <c r="J27" s="18" t="n"/>
      <c r="K27" s="18" t="n"/>
      <c r="L27" s="18" t="n"/>
      <c r="M27" s="18" t="n"/>
      <c r="N27" s="18" t="n"/>
      <c r="O27" s="18" t="n"/>
      <c r="P27" s="18" t="n"/>
      <c r="Q27" s="18" t="n"/>
      <c r="R27" s="18" t="n"/>
      <c r="S27" s="18" t="n"/>
      <c r="T27" s="18" t="n"/>
      <c r="U27" s="18" t="n"/>
      <c r="V27" s="18" t="n"/>
      <c r="W27" s="18" t="n"/>
      <c r="X27" s="18" t="n"/>
      <c r="Y27" s="21" t="n"/>
      <c r="Z27" s="18" t="n"/>
      <c r="AA27" s="18" t="n"/>
      <c r="AB27" s="18" t="n"/>
      <c r="AC27" s="18" t="n"/>
      <c r="AD27" s="18" t="n"/>
      <c r="AE27" s="18" t="n"/>
      <c r="AF27" s="18" t="n"/>
      <c r="AG27" s="18" t="n"/>
      <c r="AH27" s="18" t="n"/>
      <c r="AI27" s="18" t="n"/>
      <c r="AJ27" s="18" t="n"/>
      <c r="AK27" s="18" t="n"/>
      <c r="AL27" s="18" t="n"/>
      <c r="AM27" s="18" t="n"/>
      <c r="AN27" s="18" t="n"/>
      <c r="AO27" s="18" t="n"/>
      <c r="AP27" s="18" t="n"/>
      <c r="AQ27" s="18" t="n"/>
      <c r="AR27" s="18" t="n"/>
      <c r="AS27" s="18" t="n"/>
      <c r="AT27" s="18" t="n"/>
      <c r="AU27" s="18" t="n"/>
      <c r="AV27" s="18" t="n"/>
      <c r="AW27" s="18" t="n"/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18" t="n"/>
      <c r="BU27" s="18" t="n"/>
      <c r="BV27" s="18" t="n"/>
      <c r="BW27" s="18" t="n"/>
      <c r="BX27" s="18" t="n"/>
      <c r="BY27" s="18" t="n"/>
      <c r="BZ27" s="18" t="n"/>
      <c r="CA27" s="18" t="n"/>
      <c r="CB27" s="18" t="n"/>
      <c r="CC27" s="18" t="n"/>
      <c r="CD27" s="18" t="n"/>
      <c r="CE27" s="18" t="n"/>
      <c r="CF27" s="18" t="n"/>
      <c r="CG27" s="18" t="n"/>
      <c r="CH27" s="18" t="n"/>
      <c r="CI27" s="18" t="n"/>
      <c r="CJ27" s="18" t="n"/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</row>
    <row r="28">
      <c r="A28" s="18">
        <f>'Schedule_Data_Option_A'!A29</f>
        <v/>
      </c>
      <c r="B28" s="18">
        <f>'Schedule_Data_Option_A'!B29</f>
        <v/>
      </c>
      <c r="C28" s="18">
        <f>'Schedule_Data_Option_A'!C29</f>
        <v/>
      </c>
      <c r="D28" s="21">
        <f>'Schedule_Data_Option_A'!D29</f>
        <v/>
      </c>
      <c r="E28" s="18" t="n"/>
      <c r="F28" s="18" t="n"/>
      <c r="G28" s="18" t="n"/>
      <c r="H28" s="18" t="n"/>
      <c r="I28" s="18" t="n"/>
      <c r="J28" s="18" t="n"/>
      <c r="K28" s="18" t="n"/>
      <c r="L28" s="18" t="n"/>
      <c r="M28" s="18" t="n"/>
      <c r="N28" s="18" t="n"/>
      <c r="O28" s="18" t="n"/>
      <c r="P28" s="18" t="n"/>
      <c r="Q28" s="18" t="n"/>
      <c r="R28" s="18" t="n"/>
      <c r="S28" s="18" t="n"/>
      <c r="T28" s="18" t="n"/>
      <c r="U28" s="18" t="n"/>
      <c r="V28" s="18" t="n"/>
      <c r="W28" s="18" t="n"/>
      <c r="X28" s="18" t="n"/>
      <c r="Y28" s="18" t="n"/>
      <c r="Z28" s="21" t="n"/>
      <c r="AA28" s="18" t="n"/>
      <c r="AB28" s="18" t="n"/>
      <c r="AC28" s="18" t="n"/>
      <c r="AD28" s="18" t="n"/>
      <c r="AE28" s="18" t="n"/>
      <c r="AF28" s="18" t="n"/>
      <c r="AG28" s="18" t="n"/>
      <c r="AH28" s="18" t="n"/>
      <c r="AI28" s="18" t="n"/>
      <c r="AJ28" s="18" t="n"/>
      <c r="AK28" s="18" t="n"/>
      <c r="AL28" s="18" t="n"/>
      <c r="AM28" s="18" t="n"/>
      <c r="AN28" s="18" t="n"/>
      <c r="AO28" s="18" t="n"/>
      <c r="AP28" s="18" t="n"/>
      <c r="AQ28" s="18" t="n"/>
      <c r="AR28" s="18" t="n"/>
      <c r="AS28" s="18" t="n"/>
      <c r="AT28" s="18" t="n"/>
      <c r="AU28" s="18" t="n"/>
      <c r="AV28" s="18" t="n"/>
      <c r="AW28" s="18" t="n"/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18" t="n"/>
      <c r="BU28" s="18" t="n"/>
      <c r="BV28" s="18" t="n"/>
      <c r="BW28" s="18" t="n"/>
      <c r="BX28" s="18" t="n"/>
      <c r="BY28" s="18" t="n"/>
      <c r="BZ28" s="18" t="n"/>
      <c r="CA28" s="18" t="n"/>
      <c r="CB28" s="18" t="n"/>
      <c r="CC28" s="18" t="n"/>
      <c r="CD28" s="18" t="n"/>
      <c r="CE28" s="18" t="n"/>
      <c r="CF28" s="18" t="n"/>
      <c r="CG28" s="18" t="n"/>
      <c r="CH28" s="18" t="n"/>
      <c r="CI28" s="18" t="n"/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</row>
    <row r="29">
      <c r="A29" s="18">
        <f>'Schedule_Data_Option_A'!A30</f>
        <v/>
      </c>
      <c r="B29" s="18">
        <f>'Schedule_Data_Option_A'!B30</f>
        <v/>
      </c>
      <c r="C29" s="18">
        <f>'Schedule_Data_Option_A'!C30</f>
        <v/>
      </c>
      <c r="D29" s="21">
        <f>'Schedule_Data_Option_A'!D30</f>
        <v/>
      </c>
      <c r="E29" s="18" t="n"/>
      <c r="F29" s="18" t="n"/>
      <c r="G29" s="18" t="n"/>
      <c r="H29" s="18" t="n"/>
      <c r="I29" s="18" t="n"/>
      <c r="J29" s="18" t="n"/>
      <c r="K29" s="18" t="n"/>
      <c r="L29" s="18" t="n"/>
      <c r="M29" s="18" t="n"/>
      <c r="N29" s="18" t="n"/>
      <c r="O29" s="18" t="n"/>
      <c r="P29" s="18" t="n"/>
      <c r="Q29" s="18" t="n"/>
      <c r="R29" s="18" t="n"/>
      <c r="S29" s="18" t="n"/>
      <c r="T29" s="18" t="n"/>
      <c r="U29" s="18" t="n"/>
      <c r="V29" s="18" t="n"/>
      <c r="W29" s="18" t="n"/>
      <c r="X29" s="18" t="n"/>
      <c r="Y29" s="18" t="n"/>
      <c r="Z29" s="18" t="n"/>
      <c r="AA29" s="18" t="n"/>
      <c r="AB29" s="18" t="n"/>
      <c r="AC29" s="18" t="n"/>
      <c r="AD29" s="18" t="n"/>
      <c r="AE29" s="18" t="n"/>
      <c r="AF29" s="18" t="n"/>
      <c r="AG29" s="18" t="n"/>
      <c r="AH29" s="21" t="n"/>
      <c r="AI29" s="18" t="n"/>
      <c r="AJ29" s="18" t="n"/>
      <c r="AK29" s="18" t="n"/>
      <c r="AL29" s="18" t="n"/>
      <c r="AM29" s="18" t="n"/>
      <c r="AN29" s="18" t="n"/>
      <c r="AO29" s="18" t="n"/>
      <c r="AP29" s="18" t="n"/>
      <c r="AQ29" s="18" t="n"/>
      <c r="AR29" s="18" t="n"/>
      <c r="AS29" s="18" t="n"/>
      <c r="AT29" s="18" t="n"/>
      <c r="AU29" s="18" t="n"/>
      <c r="AV29" s="18" t="n"/>
      <c r="AW29" s="18" t="n"/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18" t="n"/>
      <c r="BU29" s="18" t="n"/>
      <c r="BV29" s="18" t="n"/>
      <c r="BW29" s="18" t="n"/>
      <c r="BX29" s="18" t="n"/>
      <c r="BY29" s="18" t="n"/>
      <c r="BZ29" s="18" t="n"/>
      <c r="CA29" s="18" t="n"/>
      <c r="CB29" s="18" t="n"/>
      <c r="CC29" s="18" t="n"/>
      <c r="CD29" s="18" t="n"/>
      <c r="CE29" s="18" t="n"/>
      <c r="CF29" s="18" t="n"/>
      <c r="CG29" s="18" t="n"/>
      <c r="CH29" s="18" t="n"/>
      <c r="CI29" s="18" t="n"/>
      <c r="CJ29" s="18" t="n"/>
      <c r="CK29" s="18" t="n"/>
      <c r="CL29" s="18" t="n"/>
      <c r="CM29" s="18" t="n"/>
      <c r="CN29" s="18" t="n"/>
      <c r="CO29" s="18" t="n"/>
      <c r="CP29" s="18" t="n"/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</row>
    <row r="30">
      <c r="A30" s="18">
        <f>'Schedule_Data_Option_A'!A31</f>
        <v/>
      </c>
      <c r="B30" s="18">
        <f>'Schedule_Data_Option_A'!B31</f>
        <v/>
      </c>
      <c r="C30" s="18">
        <f>'Schedule_Data_Option_A'!C31</f>
        <v/>
      </c>
      <c r="D30" s="22">
        <f>'Schedule_Data_Option_A'!D31</f>
        <v/>
      </c>
      <c r="E30" s="18" t="n"/>
      <c r="F30" s="37" t="inlineStr">
        <is>
          <t>*</t>
        </is>
      </c>
      <c r="G30" s="18" t="n"/>
      <c r="H30" s="18" t="n"/>
      <c r="I30" s="18" t="n"/>
      <c r="J30" s="18" t="n"/>
      <c r="K30" s="18" t="n"/>
      <c r="L30" s="18" t="n"/>
      <c r="M30" s="18" t="n"/>
      <c r="N30" s="18" t="n"/>
      <c r="O30" s="18" t="n"/>
      <c r="P30" s="18" t="n"/>
      <c r="Q30" s="18" t="n"/>
      <c r="R30" s="18" t="n"/>
      <c r="S30" s="18" t="n"/>
      <c r="T30" s="18" t="n"/>
      <c r="U30" s="18" t="n"/>
      <c r="V30" s="18" t="n"/>
      <c r="W30" s="18" t="n"/>
      <c r="X30" s="18" t="n"/>
      <c r="Y30" s="18" t="n"/>
      <c r="Z30" s="18" t="n"/>
      <c r="AA30" s="18" t="n"/>
      <c r="AB30" s="18" t="n"/>
      <c r="AC30" s="18" t="n"/>
      <c r="AD30" s="18" t="n"/>
      <c r="AE30" s="18" t="n"/>
      <c r="AF30" s="18" t="n"/>
      <c r="AG30" s="18" t="n"/>
      <c r="AH30" s="18" t="n"/>
      <c r="AI30" s="18" t="n"/>
      <c r="AJ30" s="18" t="n"/>
      <c r="AK30" s="18" t="n"/>
      <c r="AL30" s="18" t="n"/>
      <c r="AM30" s="18" t="n"/>
      <c r="AN30" s="18" t="n"/>
      <c r="AO30" s="18" t="n"/>
      <c r="AP30" s="18" t="n"/>
      <c r="AQ30" s="18" t="n"/>
      <c r="AR30" s="18" t="n"/>
      <c r="AS30" s="18" t="n"/>
      <c r="AT30" s="18" t="n"/>
      <c r="AU30" s="18" t="n"/>
      <c r="AV30" s="18" t="n"/>
      <c r="AW30" s="18" t="n"/>
      <c r="AX30" s="18" t="n"/>
      <c r="AY30" s="18" t="n"/>
      <c r="AZ30" s="18" t="n"/>
      <c r="BA30" s="18" t="n"/>
      <c r="BB30" s="18" t="n"/>
      <c r="BC30" s="18" t="n"/>
      <c r="BD30" s="18" t="n"/>
      <c r="BE30" s="18" t="n"/>
      <c r="BF30" s="18" t="n"/>
      <c r="BG30" s="18" t="n"/>
      <c r="BH30" s="18" t="n"/>
      <c r="BI30" s="18" t="n"/>
      <c r="BJ30" s="18" t="n"/>
      <c r="BK30" s="18" t="n"/>
      <c r="BL30" s="18" t="n"/>
      <c r="BM30" s="18" t="n"/>
      <c r="BN30" s="18" t="n"/>
      <c r="BO30" s="18" t="n"/>
      <c r="BP30" s="18" t="n"/>
      <c r="BQ30" s="18" t="n"/>
      <c r="BR30" s="18" t="n"/>
      <c r="BS30" s="18" t="n"/>
      <c r="BT30" s="18" t="n"/>
      <c r="BU30" s="18" t="n"/>
      <c r="BV30" s="18" t="n"/>
      <c r="BW30" s="18" t="n"/>
      <c r="BX30" s="18" t="n"/>
      <c r="BY30" s="18" t="n"/>
      <c r="BZ30" s="18" t="n"/>
      <c r="CA30" s="18" t="n"/>
      <c r="CB30" s="18" t="n"/>
      <c r="CC30" s="18" t="n"/>
      <c r="CD30" s="18" t="n"/>
      <c r="CE30" s="18" t="n"/>
      <c r="CF30" s="18" t="n"/>
      <c r="CG30" s="18" t="n"/>
      <c r="CH30" s="18" t="n"/>
      <c r="CI30" s="18" t="n"/>
      <c r="CJ30" s="18" t="n"/>
      <c r="CK30" s="18" t="n"/>
      <c r="CL30" s="18" t="n"/>
      <c r="CM30" s="18" t="n"/>
      <c r="CN30" s="18" t="n"/>
      <c r="CO30" s="18" t="n"/>
      <c r="CP30" s="18" t="n"/>
      <c r="CQ30" s="18" t="n"/>
      <c r="CR30" s="18" t="n"/>
      <c r="CS30" s="18" t="n"/>
      <c r="CT30" s="18" t="n"/>
      <c r="CU30" s="18" t="n"/>
      <c r="CV30" s="18" t="n"/>
      <c r="CW30" s="18" t="n"/>
      <c r="CX30" s="18" t="n"/>
      <c r="CY30" s="18" t="n"/>
      <c r="CZ30" s="18" t="n"/>
      <c r="DA30" s="18" t="n"/>
      <c r="DB30" s="18" t="n"/>
      <c r="DC30" s="18" t="n"/>
      <c r="DD30" s="18" t="n"/>
      <c r="DE30" s="18" t="n"/>
      <c r="DF30" s="18" t="n"/>
      <c r="DG30" s="18" t="n"/>
      <c r="DH30" s="18" t="n"/>
      <c r="DI30" s="18" t="n"/>
      <c r="DJ30" s="18" t="n"/>
      <c r="DK30" s="18" t="n"/>
      <c r="DL30" s="18" t="n"/>
      <c r="DM30" s="18" t="n"/>
      <c r="DN30" s="18" t="n"/>
      <c r="DO30" s="18" t="n"/>
      <c r="DP30" s="18" t="n"/>
      <c r="DQ30" s="18" t="n"/>
      <c r="DR30" s="18" t="n"/>
      <c r="DS30" s="18" t="n"/>
      <c r="DT30" s="18" t="n"/>
    </row>
    <row r="31">
      <c r="A31" s="18">
        <f>'Schedule_Data_Option_A'!A32</f>
        <v/>
      </c>
      <c r="B31" s="18">
        <f>'Schedule_Data_Option_A'!B32</f>
        <v/>
      </c>
      <c r="C31" s="18">
        <f>'Schedule_Data_Option_A'!C32</f>
        <v/>
      </c>
      <c r="D31" s="22">
        <f>'Schedule_Data_Option_A'!D32</f>
        <v/>
      </c>
      <c r="E31" s="18" t="n"/>
      <c r="F31" s="22" t="n"/>
      <c r="G31" s="18" t="n"/>
      <c r="H31" s="18" t="n"/>
      <c r="I31" s="18" t="n"/>
      <c r="J31" s="18" t="n"/>
      <c r="K31" s="18" t="n"/>
      <c r="L31" s="18" t="n"/>
      <c r="M31" s="18" t="n"/>
      <c r="N31" s="18" t="n"/>
      <c r="O31" s="18" t="n"/>
      <c r="P31" s="18" t="n"/>
      <c r="Q31" s="18" t="n"/>
      <c r="R31" s="18" t="n"/>
      <c r="S31" s="18" t="n"/>
      <c r="T31" s="18" t="n"/>
      <c r="U31" s="18" t="n"/>
      <c r="V31" s="18" t="n"/>
      <c r="W31" s="18" t="n"/>
      <c r="X31" s="18" t="n"/>
      <c r="Y31" s="18" t="n"/>
      <c r="Z31" s="18" t="n"/>
      <c r="AA31" s="18" t="n"/>
      <c r="AB31" s="18" t="n"/>
      <c r="AC31" s="18" t="n"/>
      <c r="AD31" s="18" t="n"/>
      <c r="AE31" s="18" t="n"/>
      <c r="AF31" s="18" t="n"/>
      <c r="AG31" s="18" t="n"/>
      <c r="AH31" s="18" t="n"/>
      <c r="AI31" s="18" t="n"/>
      <c r="AJ31" s="18" t="n"/>
      <c r="AK31" s="18" t="n"/>
      <c r="AL31" s="18" t="n"/>
      <c r="AM31" s="18" t="n"/>
      <c r="AN31" s="18" t="n"/>
      <c r="AO31" s="18" t="n"/>
      <c r="AP31" s="18" t="n"/>
      <c r="AQ31" s="18" t="n"/>
      <c r="AR31" s="18" t="n"/>
      <c r="AS31" s="18" t="n"/>
      <c r="AT31" s="18" t="n"/>
      <c r="AU31" s="18" t="n"/>
      <c r="AV31" s="18" t="n"/>
      <c r="AW31" s="18" t="n"/>
      <c r="AX31" s="18" t="n"/>
      <c r="AY31" s="18" t="n"/>
      <c r="AZ31" s="18" t="n"/>
      <c r="BA31" s="18" t="n"/>
      <c r="BB31" s="18" t="n"/>
      <c r="BC31" s="18" t="n"/>
      <c r="BD31" s="18" t="n"/>
      <c r="BE31" s="18" t="n"/>
      <c r="BF31" s="18" t="n"/>
      <c r="BG31" s="18" t="n"/>
      <c r="BH31" s="18" t="n"/>
      <c r="BI31" s="18" t="n"/>
      <c r="BJ31" s="18" t="n"/>
      <c r="BK31" s="18" t="n"/>
      <c r="BL31" s="18" t="n"/>
      <c r="BM31" s="18" t="n"/>
      <c r="BN31" s="18" t="n"/>
      <c r="BO31" s="18" t="n"/>
      <c r="BP31" s="18" t="n"/>
      <c r="BQ31" s="18" t="n"/>
      <c r="BR31" s="18" t="n"/>
      <c r="BS31" s="18" t="n"/>
      <c r="BT31" s="18" t="n"/>
      <c r="BU31" s="18" t="n"/>
      <c r="BV31" s="18" t="n"/>
      <c r="BW31" s="18" t="n"/>
      <c r="BX31" s="18" t="n"/>
      <c r="BY31" s="18" t="n"/>
      <c r="BZ31" s="18" t="n"/>
      <c r="CA31" s="18" t="n"/>
      <c r="CB31" s="18" t="n"/>
      <c r="CC31" s="18" t="n"/>
      <c r="CD31" s="18" t="n"/>
      <c r="CE31" s="18" t="n"/>
      <c r="CF31" s="18" t="n"/>
      <c r="CG31" s="18" t="n"/>
      <c r="CH31" s="18" t="n"/>
      <c r="CI31" s="18" t="n"/>
      <c r="CJ31" s="18" t="n"/>
      <c r="CK31" s="18" t="n"/>
      <c r="CL31" s="18" t="n"/>
      <c r="CM31" s="18" t="n"/>
      <c r="CN31" s="18" t="n"/>
      <c r="CO31" s="18" t="n"/>
      <c r="CP31" s="18" t="n"/>
      <c r="CQ31" s="18" t="n"/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/>
      <c r="DI31" s="18" t="n"/>
      <c r="DJ31" s="18" t="n"/>
      <c r="DK31" s="18" t="n"/>
      <c r="DL31" s="18" t="n"/>
      <c r="DM31" s="18" t="n"/>
      <c r="DN31" s="18" t="n"/>
      <c r="DO31" s="18" t="n"/>
      <c r="DP31" s="18" t="n"/>
      <c r="DQ31" s="18" t="n"/>
      <c r="DR31" s="18" t="n"/>
      <c r="DS31" s="18" t="n"/>
      <c r="DT31" s="18" t="n"/>
    </row>
    <row r="32">
      <c r="A32" s="18">
        <f>'Schedule_Data_Option_A'!A33</f>
        <v/>
      </c>
      <c r="B32" s="18">
        <f>'Schedule_Data_Option_A'!B33</f>
        <v/>
      </c>
      <c r="C32" s="18">
        <f>'Schedule_Data_Option_A'!C33</f>
        <v/>
      </c>
      <c r="D32" s="22">
        <f>'Schedule_Data_Option_A'!D33</f>
        <v/>
      </c>
      <c r="E32" s="18" t="n"/>
      <c r="F32" s="18" t="n"/>
      <c r="G32" s="22" t="n"/>
      <c r="H32" s="18" t="n"/>
      <c r="I32" s="18" t="n"/>
      <c r="J32" s="18" t="n"/>
      <c r="K32" s="18" t="n"/>
      <c r="L32" s="18" t="n"/>
      <c r="M32" s="18" t="n"/>
      <c r="N32" s="18" t="n"/>
      <c r="O32" s="18" t="n"/>
      <c r="P32" s="18" t="n"/>
      <c r="Q32" s="18" t="n"/>
      <c r="R32" s="18" t="n"/>
      <c r="S32" s="18" t="n"/>
      <c r="T32" s="18" t="n"/>
      <c r="U32" s="18" t="n"/>
      <c r="V32" s="18" t="n"/>
      <c r="W32" s="18" t="n"/>
      <c r="X32" s="18" t="n"/>
      <c r="Y32" s="18" t="n"/>
      <c r="Z32" s="18" t="n"/>
      <c r="AA32" s="18" t="n"/>
      <c r="AB32" s="18" t="n"/>
      <c r="AC32" s="18" t="n"/>
      <c r="AD32" s="18" t="n"/>
      <c r="AE32" s="18" t="n"/>
      <c r="AF32" s="18" t="n"/>
      <c r="AG32" s="18" t="n"/>
      <c r="AH32" s="18" t="n"/>
      <c r="AI32" s="18" t="n"/>
      <c r="AJ32" s="18" t="n"/>
      <c r="AK32" s="18" t="n"/>
      <c r="AL32" s="18" t="n"/>
      <c r="AM32" s="18" t="n"/>
      <c r="AN32" s="18" t="n"/>
      <c r="AO32" s="18" t="n"/>
      <c r="AP32" s="18" t="n"/>
      <c r="AQ32" s="18" t="n"/>
      <c r="AR32" s="18" t="n"/>
      <c r="AS32" s="18" t="n"/>
      <c r="AT32" s="18" t="n"/>
      <c r="AU32" s="18" t="n"/>
      <c r="AV32" s="18" t="n"/>
      <c r="AW32" s="18" t="n"/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18" t="n"/>
      <c r="BU32" s="18" t="n"/>
      <c r="BV32" s="18" t="n"/>
      <c r="BW32" s="18" t="n"/>
      <c r="BX32" s="18" t="n"/>
      <c r="BY32" s="18" t="n"/>
      <c r="BZ32" s="18" t="n"/>
      <c r="CA32" s="18" t="n"/>
      <c r="CB32" s="18" t="n"/>
      <c r="CC32" s="18" t="n"/>
      <c r="CD32" s="18" t="n"/>
      <c r="CE32" s="18" t="n"/>
      <c r="CF32" s="18" t="n"/>
      <c r="CG32" s="18" t="n"/>
      <c r="CH32" s="18" t="n"/>
      <c r="CI32" s="18" t="n"/>
      <c r="CJ32" s="18" t="n"/>
      <c r="CK32" s="18" t="n"/>
      <c r="CL32" s="18" t="n"/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</row>
    <row r="33">
      <c r="A33" s="18">
        <f>'Schedule_Data_Option_A'!A34</f>
        <v/>
      </c>
      <c r="B33" s="18">
        <f>'Schedule_Data_Option_A'!B34</f>
        <v/>
      </c>
      <c r="C33" s="18">
        <f>'Schedule_Data_Option_A'!C34</f>
        <v/>
      </c>
      <c r="D33" s="21">
        <f>'Schedule_Data_Option_A'!D34</f>
        <v/>
      </c>
      <c r="E33" s="18" t="n"/>
      <c r="F33" s="18" t="n"/>
      <c r="G33" s="18" t="n"/>
      <c r="H33" s="36" t="inlineStr">
        <is>
          <t>*</t>
        </is>
      </c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  <c r="AD33" s="18" t="n"/>
      <c r="AE33" s="18" t="n"/>
      <c r="AF33" s="18" t="n"/>
      <c r="AG33" s="18" t="n"/>
      <c r="AH33" s="18" t="n"/>
      <c r="AI33" s="18" t="n"/>
      <c r="AJ33" s="18" t="n"/>
      <c r="AK33" s="18" t="n"/>
      <c r="AL33" s="18" t="n"/>
      <c r="AM33" s="18" t="n"/>
      <c r="AN33" s="18" t="n"/>
      <c r="AO33" s="18" t="n"/>
      <c r="AP33" s="18" t="n"/>
      <c r="AQ33" s="18" t="n"/>
      <c r="AR33" s="18" t="n"/>
      <c r="AS33" s="18" t="n"/>
      <c r="AT33" s="18" t="n"/>
      <c r="AU33" s="18" t="n"/>
      <c r="AV33" s="18" t="n"/>
      <c r="AW33" s="18" t="n"/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18" t="n"/>
      <c r="BU33" s="18" t="n"/>
      <c r="BV33" s="18" t="n"/>
      <c r="BW33" s="18" t="n"/>
      <c r="BX33" s="18" t="n"/>
      <c r="BY33" s="18" t="n"/>
      <c r="BZ33" s="18" t="n"/>
      <c r="CA33" s="18" t="n"/>
      <c r="CB33" s="18" t="n"/>
      <c r="CC33" s="18" t="n"/>
      <c r="CD33" s="18" t="n"/>
      <c r="CE33" s="18" t="n"/>
      <c r="CF33" s="18" t="n"/>
      <c r="CG33" s="18" t="n"/>
      <c r="CH33" s="18" t="n"/>
      <c r="CI33" s="18" t="n"/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</row>
    <row r="34">
      <c r="A34" s="18">
        <f>'Schedule_Data_Option_A'!A35</f>
        <v/>
      </c>
      <c r="B34" s="18">
        <f>'Schedule_Data_Option_A'!B35</f>
        <v/>
      </c>
      <c r="C34" s="18">
        <f>'Schedule_Data_Option_A'!C35</f>
        <v/>
      </c>
      <c r="D34" s="21">
        <f>'Schedule_Data_Option_A'!D35</f>
        <v/>
      </c>
      <c r="E34" s="18" t="n"/>
      <c r="F34" s="18" t="n"/>
      <c r="G34" s="18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18" t="n"/>
      <c r="X34" s="18" t="n"/>
      <c r="Y34" s="18" t="n"/>
      <c r="Z34" s="18" t="n"/>
      <c r="AA34" s="18" t="n"/>
      <c r="AB34" s="18" t="n"/>
      <c r="AC34" s="18" t="n"/>
      <c r="AD34" s="18" t="n"/>
      <c r="AE34" s="18" t="n"/>
      <c r="AF34" s="18" t="n"/>
      <c r="AG34" s="18" t="n"/>
      <c r="AH34" s="18" t="n"/>
      <c r="AI34" s="18" t="n"/>
      <c r="AJ34" s="18" t="n"/>
      <c r="AK34" s="18" t="n"/>
      <c r="AL34" s="18" t="n"/>
      <c r="AM34" s="18" t="n"/>
      <c r="AN34" s="18" t="n"/>
      <c r="AO34" s="18" t="n"/>
      <c r="AP34" s="18" t="n"/>
      <c r="AQ34" s="18" t="n"/>
      <c r="AR34" s="18" t="n"/>
      <c r="AS34" s="18" t="n"/>
      <c r="AT34" s="18" t="n"/>
      <c r="AU34" s="18" t="n"/>
      <c r="AV34" s="18" t="n"/>
      <c r="AW34" s="18" t="n"/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18" t="n"/>
      <c r="BU34" s="18" t="n"/>
      <c r="BV34" s="18" t="n"/>
      <c r="BW34" s="18" t="n"/>
      <c r="BX34" s="18" t="n"/>
      <c r="BY34" s="18" t="n"/>
      <c r="BZ34" s="18" t="n"/>
      <c r="CA34" s="18" t="n"/>
      <c r="CB34" s="18" t="n"/>
      <c r="CC34" s="18" t="n"/>
      <c r="CD34" s="18" t="n"/>
      <c r="CE34" s="18" t="n"/>
      <c r="CF34" s="18" t="n"/>
      <c r="CG34" s="18" t="n"/>
      <c r="CH34" s="18" t="n"/>
      <c r="CI34" s="18" t="n"/>
      <c r="CJ34" s="18" t="n"/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</row>
    <row r="35">
      <c r="A35" s="18">
        <f>'Schedule_Data_Option_A'!A36</f>
        <v/>
      </c>
      <c r="B35" s="18">
        <f>'Schedule_Data_Option_A'!B36</f>
        <v/>
      </c>
      <c r="C35" s="18">
        <f>'Schedule_Data_Option_A'!C36</f>
        <v/>
      </c>
      <c r="D35" s="21">
        <f>'Schedule_Data_Option_A'!D36</f>
        <v/>
      </c>
      <c r="E35" s="18" t="n"/>
      <c r="F35" s="18" t="n"/>
      <c r="G35" s="18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18" t="n"/>
      <c r="X35" s="18" t="n"/>
      <c r="Y35" s="18" t="n"/>
      <c r="Z35" s="18" t="n"/>
      <c r="AA35" s="18" t="n"/>
      <c r="AB35" s="18" t="n"/>
      <c r="AC35" s="18" t="n"/>
      <c r="AD35" s="18" t="n"/>
      <c r="AE35" s="18" t="n"/>
      <c r="AF35" s="18" t="n"/>
      <c r="AG35" s="18" t="n"/>
      <c r="AH35" s="18" t="n"/>
      <c r="AI35" s="18" t="n"/>
      <c r="AJ35" s="18" t="n"/>
      <c r="AK35" s="18" t="n"/>
      <c r="AL35" s="18" t="n"/>
      <c r="AM35" s="18" t="n"/>
      <c r="AN35" s="18" t="n"/>
      <c r="AO35" s="18" t="n"/>
      <c r="AP35" s="18" t="n"/>
      <c r="AQ35" s="18" t="n"/>
      <c r="AR35" s="18" t="n"/>
      <c r="AS35" s="18" t="n"/>
      <c r="AT35" s="18" t="n"/>
      <c r="AU35" s="18" t="n"/>
      <c r="AV35" s="18" t="n"/>
      <c r="AW35" s="18" t="n"/>
      <c r="AX35" s="18" t="n"/>
      <c r="AY35" s="18" t="n"/>
      <c r="AZ35" s="18" t="n"/>
      <c r="BA35" s="18" t="n"/>
      <c r="BB35" s="18" t="n"/>
      <c r="BC35" s="18" t="n"/>
      <c r="BD35" s="18" t="n"/>
      <c r="BE35" s="18" t="n"/>
      <c r="BF35" s="18" t="n"/>
      <c r="BG35" s="18" t="n"/>
      <c r="BH35" s="18" t="n"/>
      <c r="BI35" s="18" t="n"/>
      <c r="BJ35" s="18" t="n"/>
      <c r="BK35" s="18" t="n"/>
      <c r="BL35" s="18" t="n"/>
      <c r="BM35" s="18" t="n"/>
      <c r="BN35" s="18" t="n"/>
      <c r="BO35" s="18" t="n"/>
      <c r="BP35" s="18" t="n"/>
      <c r="BQ35" s="18" t="n"/>
      <c r="BR35" s="18" t="n"/>
      <c r="BS35" s="18" t="n"/>
      <c r="BT35" s="18" t="n"/>
      <c r="BU35" s="18" t="n"/>
      <c r="BV35" s="18" t="n"/>
      <c r="BW35" s="18" t="n"/>
      <c r="BX35" s="18" t="n"/>
      <c r="BY35" s="18" t="n"/>
      <c r="BZ35" s="18" t="n"/>
      <c r="CA35" s="18" t="n"/>
      <c r="CB35" s="18" t="n"/>
      <c r="CC35" s="18" t="n"/>
      <c r="CD35" s="18" t="n"/>
      <c r="CE35" s="18" t="n"/>
      <c r="CF35" s="18" t="n"/>
      <c r="CG35" s="18" t="n"/>
      <c r="CH35" s="18" t="n"/>
      <c r="CI35" s="18" t="n"/>
      <c r="CJ35" s="18" t="n"/>
      <c r="CK35" s="18" t="n"/>
      <c r="CL35" s="18" t="n"/>
      <c r="CM35" s="18" t="n"/>
      <c r="CN35" s="18" t="n"/>
      <c r="CO35" s="18" t="n"/>
      <c r="CP35" s="18" t="n"/>
      <c r="CQ35" s="18" t="n"/>
      <c r="CR35" s="18" t="n"/>
      <c r="CS35" s="18" t="n"/>
      <c r="CT35" s="18" t="n"/>
      <c r="CU35" s="18" t="n"/>
      <c r="CV35" s="18" t="n"/>
      <c r="CW35" s="18" t="n"/>
      <c r="CX35" s="18" t="n"/>
      <c r="CY35" s="18" t="n"/>
      <c r="CZ35" s="18" t="n"/>
      <c r="DA35" s="18" t="n"/>
      <c r="DB35" s="18" t="n"/>
      <c r="DC35" s="18" t="n"/>
      <c r="DD35" s="18" t="n"/>
      <c r="DE35" s="18" t="n"/>
      <c r="DF35" s="18" t="n"/>
      <c r="DG35" s="18" t="n"/>
      <c r="DH35" s="18" t="n"/>
      <c r="DI35" s="18" t="n"/>
      <c r="DJ35" s="18" t="n"/>
      <c r="DK35" s="18" t="n"/>
      <c r="DL35" s="18" t="n"/>
      <c r="DM35" s="18" t="n"/>
      <c r="DN35" s="18" t="n"/>
      <c r="DO35" s="18" t="n"/>
      <c r="DP35" s="18" t="n"/>
      <c r="DQ35" s="18" t="n"/>
      <c r="DR35" s="18" t="n"/>
      <c r="DS35" s="18" t="n"/>
      <c r="DT35" s="18" t="n"/>
    </row>
    <row r="36">
      <c r="A36" s="18">
        <f>'Schedule_Data_Option_A'!A37</f>
        <v/>
      </c>
      <c r="B36" s="18">
        <f>'Schedule_Data_Option_A'!B37</f>
        <v/>
      </c>
      <c r="C36" s="18">
        <f>'Schedule_Data_Option_A'!C37</f>
        <v/>
      </c>
      <c r="D36" s="23">
        <f>'Schedule_Data_Option_A'!D37</f>
        <v/>
      </c>
      <c r="E36" s="18" t="n"/>
      <c r="F36" s="18" t="n"/>
      <c r="G36" s="18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18" t="n"/>
      <c r="X36" s="18" t="n"/>
      <c r="Y36" s="18" t="n"/>
      <c r="Z36" s="18" t="n"/>
      <c r="AA36" s="18" t="n"/>
      <c r="AB36" s="18" t="n"/>
      <c r="AC36" s="18" t="n"/>
      <c r="AD36" s="18" t="n"/>
      <c r="AE36" s="18" t="n"/>
      <c r="AF36" s="18" t="n"/>
      <c r="AG36" s="18" t="n"/>
      <c r="AH36" s="18" t="n"/>
      <c r="AI36" s="18" t="n"/>
      <c r="AJ36" s="18" t="n"/>
      <c r="AK36" s="18" t="n"/>
      <c r="AL36" s="18" t="n"/>
      <c r="AM36" s="18" t="n"/>
      <c r="AN36" s="18" t="n"/>
      <c r="AO36" s="18" t="n"/>
      <c r="AP36" s="18" t="n"/>
      <c r="AQ36" s="18" t="n"/>
      <c r="AR36" s="18" t="n"/>
      <c r="AS36" s="18" t="n"/>
      <c r="AT36" s="18" t="n"/>
      <c r="AU36" s="18" t="n"/>
      <c r="AV36" s="18" t="n"/>
      <c r="AW36" s="18" t="n"/>
      <c r="AX36" s="18" t="n"/>
      <c r="AY36" s="18" t="n"/>
      <c r="AZ36" s="18" t="n"/>
      <c r="BA36" s="18" t="n"/>
      <c r="BB36" s="18" t="n"/>
      <c r="BC36" s="18" t="n"/>
      <c r="BD36" s="18" t="n"/>
      <c r="BE36" s="18" t="n"/>
      <c r="BF36" s="18" t="n"/>
      <c r="BG36" s="18" t="n"/>
      <c r="BH36" s="18" t="n"/>
      <c r="BI36" s="18" t="n"/>
      <c r="BJ36" s="18" t="n"/>
      <c r="BK36" s="18" t="n"/>
      <c r="BL36" s="18" t="n"/>
      <c r="BM36" s="18" t="n"/>
      <c r="BN36" s="18" t="n"/>
      <c r="BO36" s="18" t="n"/>
      <c r="BP36" s="18" t="n"/>
      <c r="BQ36" s="18" t="n"/>
      <c r="BR36" s="18" t="n"/>
      <c r="BS36" s="18" t="n"/>
      <c r="BT36" s="18" t="n"/>
      <c r="BU36" s="18" t="n"/>
      <c r="BV36" s="18" t="n"/>
      <c r="BW36" s="18" t="n"/>
      <c r="BX36" s="18" t="n"/>
      <c r="BY36" s="18" t="n"/>
      <c r="BZ36" s="18" t="n"/>
      <c r="CA36" s="18" t="n"/>
      <c r="CB36" s="18" t="n"/>
      <c r="CC36" s="18" t="n"/>
      <c r="CD36" s="18" t="n"/>
      <c r="CE36" s="18" t="n"/>
      <c r="CF36" s="18" t="n"/>
      <c r="CG36" s="18" t="n"/>
      <c r="CH36" s="18" t="n"/>
      <c r="CI36" s="18" t="n"/>
      <c r="CJ36" s="18" t="n"/>
      <c r="CK36" s="18" t="n"/>
      <c r="CL36" s="18" t="n"/>
      <c r="CM36" s="18" t="n"/>
      <c r="CN36" s="18" t="n"/>
      <c r="CO36" s="18" t="n"/>
      <c r="CP36" s="18" t="n"/>
      <c r="CQ36" s="18" t="n"/>
      <c r="CR36" s="18" t="n"/>
      <c r="CS36" s="18" t="n"/>
      <c r="CT36" s="18" t="n"/>
      <c r="CU36" s="18" t="n"/>
      <c r="CV36" s="18" t="n"/>
      <c r="CW36" s="18" t="n"/>
      <c r="CX36" s="18" t="n"/>
      <c r="CY36" s="18" t="n"/>
      <c r="CZ36" s="18" t="n"/>
      <c r="DA36" s="18" t="n"/>
      <c r="DB36" s="18" t="n"/>
      <c r="DC36" s="18" t="n"/>
      <c r="DD36" s="18" t="n"/>
      <c r="DE36" s="18" t="n"/>
      <c r="DF36" s="18" t="n"/>
      <c r="DG36" s="18" t="n"/>
      <c r="DH36" s="18" t="n"/>
      <c r="DI36" s="18" t="n"/>
      <c r="DJ36" s="18" t="n"/>
      <c r="DK36" s="18" t="n"/>
      <c r="DL36" s="18" t="n"/>
      <c r="DM36" s="18" t="n"/>
      <c r="DN36" s="18" t="n"/>
      <c r="DO36" s="18" t="n"/>
      <c r="DP36" s="18" t="n"/>
      <c r="DQ36" s="18" t="n"/>
      <c r="DR36" s="18" t="n"/>
      <c r="DS36" s="18" t="n"/>
      <c r="DT36" s="18" t="n"/>
    </row>
    <row r="37">
      <c r="A37" s="18">
        <f>'Schedule_Data_Option_A'!A38</f>
        <v/>
      </c>
      <c r="B37" s="18">
        <f>'Schedule_Data_Option_A'!B38</f>
        <v/>
      </c>
      <c r="C37" s="18">
        <f>'Schedule_Data_Option_A'!C38</f>
        <v/>
      </c>
      <c r="D37" s="24">
        <f>'Schedule_Data_Option_A'!D38</f>
        <v/>
      </c>
      <c r="E37" s="18" t="n"/>
      <c r="F37" s="18" t="n"/>
      <c r="G37" s="18" t="n"/>
      <c r="H37" s="24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18" t="n"/>
      <c r="X37" s="18" t="n"/>
      <c r="Y37" s="18" t="n"/>
      <c r="Z37" s="18" t="n"/>
      <c r="AA37" s="18" t="n"/>
      <c r="AB37" s="18" t="n"/>
      <c r="AC37" s="18" t="n"/>
      <c r="AD37" s="18" t="n"/>
      <c r="AE37" s="18" t="n"/>
      <c r="AF37" s="18" t="n"/>
      <c r="AG37" s="18" t="n"/>
      <c r="AH37" s="18" t="n"/>
      <c r="AI37" s="18" t="n"/>
      <c r="AJ37" s="18" t="n"/>
      <c r="AK37" s="18" t="n"/>
      <c r="AL37" s="18" t="n"/>
      <c r="AM37" s="18" t="n"/>
      <c r="AN37" s="18" t="n"/>
      <c r="AO37" s="18" t="n"/>
      <c r="AP37" s="18" t="n"/>
      <c r="AQ37" s="18" t="n"/>
      <c r="AR37" s="18" t="n"/>
      <c r="AS37" s="18" t="n"/>
      <c r="AT37" s="18" t="n"/>
      <c r="AU37" s="18" t="n"/>
      <c r="AV37" s="18" t="n"/>
      <c r="AW37" s="18" t="n"/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18" t="n"/>
      <c r="BU37" s="18" t="n"/>
      <c r="BV37" s="18" t="n"/>
      <c r="BW37" s="18" t="n"/>
      <c r="BX37" s="18" t="n"/>
      <c r="BY37" s="18" t="n"/>
      <c r="BZ37" s="18" t="n"/>
      <c r="CA37" s="18" t="n"/>
      <c r="CB37" s="18" t="n"/>
      <c r="CC37" s="18" t="n"/>
      <c r="CD37" s="18" t="n"/>
      <c r="CE37" s="18" t="n"/>
      <c r="CF37" s="18" t="n"/>
      <c r="CG37" s="18" t="n"/>
      <c r="CH37" s="18" t="n"/>
      <c r="CI37" s="18" t="n"/>
      <c r="CJ37" s="18" t="n"/>
      <c r="CK37" s="18" t="n"/>
      <c r="CL37" s="18" t="n"/>
      <c r="CM37" s="18" t="n"/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</row>
    <row r="38">
      <c r="A38" s="18">
        <f>'Schedule_Data_Option_A'!A39</f>
        <v/>
      </c>
      <c r="B38" s="18">
        <f>'Schedule_Data_Option_A'!B39</f>
        <v/>
      </c>
      <c r="C38" s="18">
        <f>'Schedule_Data_Option_A'!C39</f>
        <v/>
      </c>
      <c r="D38" s="21">
        <f>'Schedule_Data_Option_A'!D39</f>
        <v/>
      </c>
      <c r="E38" s="18" t="n"/>
      <c r="F38" s="18" t="n"/>
      <c r="G38" s="18" t="n"/>
      <c r="H38" s="21" t="n"/>
      <c r="I38" s="18" t="n"/>
      <c r="J38" s="18" t="n"/>
      <c r="K38" s="18" t="n"/>
      <c r="L38" s="18" t="n"/>
      <c r="M38" s="18" t="n"/>
      <c r="N38" s="18" t="n"/>
      <c r="O38" s="18" t="n"/>
      <c r="P38" s="18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  <c r="AD38" s="18" t="n"/>
      <c r="AE38" s="18" t="n"/>
      <c r="AF38" s="18" t="n"/>
      <c r="AG38" s="18" t="n"/>
      <c r="AH38" s="18" t="n"/>
      <c r="AI38" s="18" t="n"/>
      <c r="AJ38" s="18" t="n"/>
      <c r="AK38" s="18" t="n"/>
      <c r="AL38" s="18" t="n"/>
      <c r="AM38" s="18" t="n"/>
      <c r="AN38" s="18" t="n"/>
      <c r="AO38" s="18" t="n"/>
      <c r="AP38" s="18" t="n"/>
      <c r="AQ38" s="18" t="n"/>
      <c r="AR38" s="18" t="n"/>
      <c r="AS38" s="18" t="n"/>
      <c r="AT38" s="18" t="n"/>
      <c r="AU38" s="18" t="n"/>
      <c r="AV38" s="18" t="n"/>
      <c r="AW38" s="18" t="n"/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18" t="n"/>
      <c r="BU38" s="18" t="n"/>
      <c r="BV38" s="18" t="n"/>
      <c r="BW38" s="18" t="n"/>
      <c r="BX38" s="18" t="n"/>
      <c r="BY38" s="18" t="n"/>
      <c r="BZ38" s="18" t="n"/>
      <c r="CA38" s="18" t="n"/>
      <c r="CB38" s="18" t="n"/>
      <c r="CC38" s="18" t="n"/>
      <c r="CD38" s="18" t="n"/>
      <c r="CE38" s="18" t="n"/>
      <c r="CF38" s="18" t="n"/>
      <c r="CG38" s="18" t="n"/>
      <c r="CH38" s="18" t="n"/>
      <c r="CI38" s="18" t="n"/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</row>
    <row r="39">
      <c r="A39" s="18">
        <f>'Schedule_Data_Option_A'!A40</f>
        <v/>
      </c>
      <c r="B39" s="18">
        <f>'Schedule_Data_Option_A'!B40</f>
        <v/>
      </c>
      <c r="C39" s="18">
        <f>'Schedule_Data_Option_A'!C40</f>
        <v/>
      </c>
      <c r="D39" s="21">
        <f>'Schedule_Data_Option_A'!D40</f>
        <v/>
      </c>
      <c r="E39" s="18" t="n"/>
      <c r="F39" s="18" t="n"/>
      <c r="G39" s="18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18" t="n"/>
      <c r="Q39" s="18" t="n"/>
      <c r="R39" s="18" t="n"/>
      <c r="S39" s="18" t="n"/>
      <c r="T39" s="18" t="n"/>
      <c r="U39" s="18" t="n"/>
      <c r="V39" s="18" t="n"/>
      <c r="W39" s="18" t="n"/>
      <c r="X39" s="18" t="n"/>
      <c r="Y39" s="18" t="n"/>
      <c r="Z39" s="18" t="n"/>
      <c r="AA39" s="18" t="n"/>
      <c r="AB39" s="18" t="n"/>
      <c r="AC39" s="18" t="n"/>
      <c r="AD39" s="18" t="n"/>
      <c r="AE39" s="18" t="n"/>
      <c r="AF39" s="18" t="n"/>
      <c r="AG39" s="18" t="n"/>
      <c r="AH39" s="18" t="n"/>
      <c r="AI39" s="18" t="n"/>
      <c r="AJ39" s="18" t="n"/>
      <c r="AK39" s="18" t="n"/>
      <c r="AL39" s="18" t="n"/>
      <c r="AM39" s="18" t="n"/>
      <c r="AN39" s="18" t="n"/>
      <c r="AO39" s="18" t="n"/>
      <c r="AP39" s="18" t="n"/>
      <c r="AQ39" s="18" t="n"/>
      <c r="AR39" s="18" t="n"/>
      <c r="AS39" s="18" t="n"/>
      <c r="AT39" s="18" t="n"/>
      <c r="AU39" s="18" t="n"/>
      <c r="AV39" s="18" t="n"/>
      <c r="AW39" s="18" t="n"/>
      <c r="AX39" s="18" t="n"/>
      <c r="AY39" s="18" t="n"/>
      <c r="AZ39" s="18" t="n"/>
      <c r="BA39" s="18" t="n"/>
      <c r="BB39" s="18" t="n"/>
      <c r="BC39" s="18" t="n"/>
      <c r="BD39" s="18" t="n"/>
      <c r="BE39" s="18" t="n"/>
      <c r="BF39" s="18" t="n"/>
      <c r="BG39" s="18" t="n"/>
      <c r="BH39" s="18" t="n"/>
      <c r="BI39" s="18" t="n"/>
      <c r="BJ39" s="18" t="n"/>
      <c r="BK39" s="18" t="n"/>
      <c r="BL39" s="18" t="n"/>
      <c r="BM39" s="18" t="n"/>
      <c r="BN39" s="18" t="n"/>
      <c r="BO39" s="18" t="n"/>
      <c r="BP39" s="18" t="n"/>
      <c r="BQ39" s="18" t="n"/>
      <c r="BR39" s="18" t="n"/>
      <c r="BS39" s="18" t="n"/>
      <c r="BT39" s="18" t="n"/>
      <c r="BU39" s="18" t="n"/>
      <c r="BV39" s="18" t="n"/>
      <c r="BW39" s="18" t="n"/>
      <c r="BX39" s="18" t="n"/>
      <c r="BY39" s="18" t="n"/>
      <c r="BZ39" s="18" t="n"/>
      <c r="CA39" s="18" t="n"/>
      <c r="CB39" s="18" t="n"/>
      <c r="CC39" s="18" t="n"/>
      <c r="CD39" s="18" t="n"/>
      <c r="CE39" s="18" t="n"/>
      <c r="CF39" s="18" t="n"/>
      <c r="CG39" s="18" t="n"/>
      <c r="CH39" s="18" t="n"/>
      <c r="CI39" s="18" t="n"/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</row>
    <row r="40">
      <c r="A40" s="18">
        <f>'Schedule_Data_Option_A'!A41</f>
        <v/>
      </c>
      <c r="B40" s="18">
        <f>'Schedule_Data_Option_A'!B41</f>
        <v/>
      </c>
      <c r="C40" s="18">
        <f>'Schedule_Data_Option_A'!C41</f>
        <v/>
      </c>
      <c r="D40" s="21">
        <f>'Schedule_Data_Option_A'!D41</f>
        <v/>
      </c>
      <c r="E40" s="18" t="n"/>
      <c r="F40" s="18" t="n"/>
      <c r="G40" s="18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18" t="n"/>
      <c r="Q40" s="18" t="n"/>
      <c r="R40" s="18" t="n"/>
      <c r="S40" s="18" t="n"/>
      <c r="T40" s="18" t="n"/>
      <c r="U40" s="18" t="n"/>
      <c r="V40" s="18" t="n"/>
      <c r="W40" s="18" t="n"/>
      <c r="X40" s="18" t="n"/>
      <c r="Y40" s="18" t="n"/>
      <c r="Z40" s="18" t="n"/>
      <c r="AA40" s="18" t="n"/>
      <c r="AB40" s="18" t="n"/>
      <c r="AC40" s="18" t="n"/>
      <c r="AD40" s="18" t="n"/>
      <c r="AE40" s="18" t="n"/>
      <c r="AF40" s="18" t="n"/>
      <c r="AG40" s="18" t="n"/>
      <c r="AH40" s="18" t="n"/>
      <c r="AI40" s="18" t="n"/>
      <c r="AJ40" s="18" t="n"/>
      <c r="AK40" s="18" t="n"/>
      <c r="AL40" s="18" t="n"/>
      <c r="AM40" s="18" t="n"/>
      <c r="AN40" s="18" t="n"/>
      <c r="AO40" s="18" t="n"/>
      <c r="AP40" s="18" t="n"/>
      <c r="AQ40" s="18" t="n"/>
      <c r="AR40" s="18" t="n"/>
      <c r="AS40" s="18" t="n"/>
      <c r="AT40" s="18" t="n"/>
      <c r="AU40" s="18" t="n"/>
      <c r="AV40" s="18" t="n"/>
      <c r="AW40" s="18" t="n"/>
      <c r="AX40" s="18" t="n"/>
      <c r="AY40" s="18" t="n"/>
      <c r="AZ40" s="18" t="n"/>
      <c r="BA40" s="18" t="n"/>
      <c r="BB40" s="18" t="n"/>
      <c r="BC40" s="18" t="n"/>
      <c r="BD40" s="18" t="n"/>
      <c r="BE40" s="18" t="n"/>
      <c r="BF40" s="18" t="n"/>
      <c r="BG40" s="18" t="n"/>
      <c r="BH40" s="18" t="n"/>
      <c r="BI40" s="18" t="n"/>
      <c r="BJ40" s="18" t="n"/>
      <c r="BK40" s="18" t="n"/>
      <c r="BL40" s="18" t="n"/>
      <c r="BM40" s="18" t="n"/>
      <c r="BN40" s="18" t="n"/>
      <c r="BO40" s="18" t="n"/>
      <c r="BP40" s="18" t="n"/>
      <c r="BQ40" s="18" t="n"/>
      <c r="BR40" s="18" t="n"/>
      <c r="BS40" s="18" t="n"/>
      <c r="BT40" s="18" t="n"/>
      <c r="BU40" s="18" t="n"/>
      <c r="BV40" s="18" t="n"/>
      <c r="BW40" s="18" t="n"/>
      <c r="BX40" s="18" t="n"/>
      <c r="BY40" s="18" t="n"/>
      <c r="BZ40" s="18" t="n"/>
      <c r="CA40" s="18" t="n"/>
      <c r="CB40" s="18" t="n"/>
      <c r="CC40" s="18" t="n"/>
      <c r="CD40" s="18" t="n"/>
      <c r="CE40" s="18" t="n"/>
      <c r="CF40" s="18" t="n"/>
      <c r="CG40" s="18" t="n"/>
      <c r="CH40" s="18" t="n"/>
      <c r="CI40" s="18" t="n"/>
      <c r="CJ40" s="18" t="n"/>
      <c r="CK40" s="18" t="n"/>
      <c r="CL40" s="18" t="n"/>
      <c r="CM40" s="18" t="n"/>
      <c r="CN40" s="18" t="n"/>
      <c r="CO40" s="18" t="n"/>
      <c r="CP40" s="18" t="n"/>
      <c r="CQ40" s="18" t="n"/>
      <c r="CR40" s="18" t="n"/>
      <c r="CS40" s="18" t="n"/>
      <c r="CT40" s="18" t="n"/>
      <c r="CU40" s="18" t="n"/>
      <c r="CV40" s="18" t="n"/>
      <c r="CW40" s="18" t="n"/>
      <c r="CX40" s="18" t="n"/>
      <c r="CY40" s="18" t="n"/>
      <c r="CZ40" s="18" t="n"/>
      <c r="DA40" s="18" t="n"/>
      <c r="DB40" s="18" t="n"/>
      <c r="DC40" s="18" t="n"/>
      <c r="DD40" s="18" t="n"/>
      <c r="DE40" s="18" t="n"/>
      <c r="DF40" s="18" t="n"/>
      <c r="DG40" s="18" t="n"/>
      <c r="DH40" s="18" t="n"/>
      <c r="DI40" s="18" t="n"/>
      <c r="DJ40" s="18" t="n"/>
      <c r="DK40" s="18" t="n"/>
      <c r="DL40" s="18" t="n"/>
      <c r="DM40" s="18" t="n"/>
      <c r="DN40" s="18" t="n"/>
      <c r="DO40" s="18" t="n"/>
      <c r="DP40" s="18" t="n"/>
      <c r="DQ40" s="18" t="n"/>
      <c r="DR40" s="18" t="n"/>
      <c r="DS40" s="18" t="n"/>
      <c r="DT40" s="18" t="n"/>
    </row>
    <row r="41">
      <c r="A41" s="18">
        <f>'Schedule_Data_Option_A'!A42</f>
        <v/>
      </c>
      <c r="B41" s="18">
        <f>'Schedule_Data_Option_A'!B42</f>
        <v/>
      </c>
      <c r="C41" s="18">
        <f>'Schedule_Data_Option_A'!C42</f>
        <v/>
      </c>
      <c r="D41" s="23">
        <f>'Schedule_Data_Option_A'!D42</f>
        <v/>
      </c>
      <c r="E41" s="18" t="n"/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  <c r="AA41" s="18" t="n"/>
      <c r="AB41" s="18" t="n"/>
      <c r="AC41" s="18" t="n"/>
      <c r="AD41" s="18" t="n"/>
      <c r="AE41" s="18" t="n"/>
      <c r="AF41" s="18" t="n"/>
      <c r="AG41" s="18" t="n"/>
      <c r="AH41" s="18" t="n"/>
      <c r="AI41" s="18" t="n"/>
      <c r="AJ41" s="18" t="n"/>
      <c r="AK41" s="18" t="n"/>
      <c r="AL41" s="18" t="n"/>
      <c r="AM41" s="18" t="n"/>
      <c r="AN41" s="18" t="n"/>
      <c r="AO41" s="18" t="n"/>
      <c r="AP41" s="18" t="n"/>
      <c r="AQ41" s="18" t="n"/>
      <c r="AR41" s="18" t="n"/>
      <c r="AS41" s="18" t="n"/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18" t="n"/>
      <c r="BU41" s="18" t="n"/>
      <c r="BV41" s="18" t="n"/>
      <c r="BW41" s="18" t="n"/>
      <c r="BX41" s="18" t="n"/>
      <c r="BY41" s="18" t="n"/>
      <c r="BZ41" s="18" t="n"/>
      <c r="CA41" s="18" t="n"/>
      <c r="CB41" s="18" t="n"/>
      <c r="CC41" s="18" t="n"/>
      <c r="CD41" s="18" t="n"/>
      <c r="CE41" s="18" t="n"/>
      <c r="CF41" s="18" t="n"/>
      <c r="CG41" s="18" t="n"/>
      <c r="CH41" s="18" t="n"/>
      <c r="CI41" s="18" t="n"/>
      <c r="CJ41" s="18" t="n"/>
      <c r="CK41" s="18" t="n"/>
      <c r="CL41" s="18" t="n"/>
      <c r="CM41" s="18" t="n"/>
      <c r="CN41" s="18" t="n"/>
      <c r="CO41" s="18" t="n"/>
      <c r="CP41" s="18" t="n"/>
      <c r="CQ41" s="18" t="n"/>
      <c r="CR41" s="18" t="n"/>
      <c r="CS41" s="18" t="n"/>
      <c r="CT41" s="18" t="n"/>
      <c r="CU41" s="18" t="n"/>
      <c r="CV41" s="18" t="n"/>
      <c r="CW41" s="18" t="n"/>
      <c r="CX41" s="18" t="n"/>
      <c r="CY41" s="18" t="n"/>
      <c r="CZ41" s="18" t="n"/>
      <c r="DA41" s="18" t="n"/>
      <c r="DB41" s="18" t="n"/>
      <c r="DC41" s="18" t="n"/>
      <c r="DD41" s="18" t="n"/>
      <c r="DE41" s="18" t="n"/>
      <c r="DF41" s="18" t="n"/>
      <c r="DG41" s="18" t="n"/>
      <c r="DH41" s="18" t="n"/>
      <c r="DI41" s="18" t="n"/>
      <c r="DJ41" s="18" t="n"/>
      <c r="DK41" s="18" t="n"/>
      <c r="DL41" s="18" t="n"/>
      <c r="DM41" s="18" t="n"/>
      <c r="DN41" s="18" t="n"/>
      <c r="DO41" s="18" t="n"/>
      <c r="DP41" s="18" t="n"/>
      <c r="DQ41" s="18" t="n"/>
      <c r="DR41" s="18" t="n"/>
      <c r="DS41" s="18" t="n"/>
      <c r="DT41" s="18" t="n"/>
    </row>
    <row r="42">
      <c r="A42" s="18">
        <f>'Schedule_Data_Option_A'!A43</f>
        <v/>
      </c>
      <c r="B42" s="18">
        <f>'Schedule_Data_Option_A'!B43</f>
        <v/>
      </c>
      <c r="C42" s="18">
        <f>'Schedule_Data_Option_A'!C43</f>
        <v/>
      </c>
      <c r="D42" s="24">
        <f>'Schedule_Data_Option_A'!D43</f>
        <v/>
      </c>
      <c r="E42" s="18" t="n"/>
      <c r="F42" s="18" t="n"/>
      <c r="G42" s="18" t="n"/>
      <c r="H42" s="18" t="n"/>
      <c r="I42" s="24" t="n"/>
      <c r="J42" s="18" t="n"/>
      <c r="K42" s="18" t="n"/>
      <c r="L42" s="18" t="n"/>
      <c r="M42" s="18" t="n"/>
      <c r="N42" s="18" t="n"/>
      <c r="O42" s="18" t="n"/>
      <c r="P42" s="18" t="n"/>
      <c r="Q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  <c r="AA42" s="18" t="n"/>
      <c r="AB42" s="18" t="n"/>
      <c r="AC42" s="18" t="n"/>
      <c r="AD42" s="18" t="n"/>
      <c r="AE42" s="18" t="n"/>
      <c r="AF42" s="18" t="n"/>
      <c r="AG42" s="18" t="n"/>
      <c r="AH42" s="18" t="n"/>
      <c r="AI42" s="18" t="n"/>
      <c r="AJ42" s="18" t="n"/>
      <c r="AK42" s="18" t="n"/>
      <c r="AL42" s="18" t="n"/>
      <c r="AM42" s="18" t="n"/>
      <c r="AN42" s="18" t="n"/>
      <c r="AO42" s="18" t="n"/>
      <c r="AP42" s="18" t="n"/>
      <c r="AQ42" s="18" t="n"/>
      <c r="AR42" s="18" t="n"/>
      <c r="AS42" s="18" t="n"/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18" t="n"/>
      <c r="BU42" s="18" t="n"/>
      <c r="BV42" s="18" t="n"/>
      <c r="BW42" s="18" t="n"/>
      <c r="BX42" s="18" t="n"/>
      <c r="BY42" s="18" t="n"/>
      <c r="BZ42" s="18" t="n"/>
      <c r="CA42" s="18" t="n"/>
      <c r="CB42" s="18" t="n"/>
      <c r="CC42" s="18" t="n"/>
      <c r="CD42" s="18" t="n"/>
      <c r="CE42" s="18" t="n"/>
      <c r="CF42" s="18" t="n"/>
      <c r="CG42" s="18" t="n"/>
      <c r="CH42" s="18" t="n"/>
      <c r="CI42" s="18" t="n"/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</row>
    <row r="43">
      <c r="A43" s="18">
        <f>'Schedule_Data_Option_A'!A44</f>
        <v/>
      </c>
      <c r="B43" s="18">
        <f>'Schedule_Data_Option_A'!B44</f>
        <v/>
      </c>
      <c r="C43" s="18">
        <f>'Schedule_Data_Option_A'!C44</f>
        <v/>
      </c>
      <c r="D43" s="21">
        <f>'Schedule_Data_Option_A'!D44</f>
        <v/>
      </c>
      <c r="E43" s="18" t="n"/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18" t="n"/>
      <c r="Q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  <c r="AA43" s="18" t="n"/>
      <c r="AB43" s="18" t="n"/>
      <c r="AC43" s="18" t="n"/>
      <c r="AD43" s="18" t="n"/>
      <c r="AE43" s="18" t="n"/>
      <c r="AF43" s="18" t="n"/>
      <c r="AG43" s="18" t="n"/>
      <c r="AH43" s="18" t="n"/>
      <c r="AI43" s="18" t="n"/>
      <c r="AJ43" s="18" t="n"/>
      <c r="AK43" s="18" t="n"/>
      <c r="AL43" s="18" t="n"/>
      <c r="AM43" s="18" t="n"/>
      <c r="AN43" s="18" t="n"/>
      <c r="AO43" s="18" t="n"/>
      <c r="AP43" s="18" t="n"/>
      <c r="AQ43" s="18" t="n"/>
      <c r="AR43" s="18" t="n"/>
      <c r="AS43" s="18" t="n"/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18" t="n"/>
      <c r="BU43" s="18" t="n"/>
      <c r="BV43" s="18" t="n"/>
      <c r="BW43" s="18" t="n"/>
      <c r="BX43" s="18" t="n"/>
      <c r="BY43" s="18" t="n"/>
      <c r="BZ43" s="18" t="n"/>
      <c r="CA43" s="18" t="n"/>
      <c r="CB43" s="18" t="n"/>
      <c r="CC43" s="18" t="n"/>
      <c r="CD43" s="18" t="n"/>
      <c r="CE43" s="18" t="n"/>
      <c r="CF43" s="18" t="n"/>
      <c r="CG43" s="18" t="n"/>
      <c r="CH43" s="18" t="n"/>
      <c r="CI43" s="18" t="n"/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</row>
    <row r="44">
      <c r="A44" s="18">
        <f>'Schedule_Data_Option_A'!A45</f>
        <v/>
      </c>
      <c r="B44" s="18">
        <f>'Schedule_Data_Option_A'!B45</f>
        <v/>
      </c>
      <c r="C44" s="18">
        <f>'Schedule_Data_Option_A'!C45</f>
        <v/>
      </c>
      <c r="D44" s="25">
        <f>'Schedule_Data_Option_A'!D45</f>
        <v/>
      </c>
      <c r="E44" s="18" t="n"/>
      <c r="F44" s="18" t="n"/>
      <c r="G44" s="18" t="n"/>
      <c r="H44" s="18" t="n"/>
      <c r="I44" s="18" t="n"/>
      <c r="J44" s="18" t="n"/>
      <c r="K44" s="25" t="n"/>
      <c r="L44" s="18" t="n"/>
      <c r="M44" s="18" t="n"/>
      <c r="N44" s="18" t="n"/>
      <c r="O44" s="18" t="n"/>
      <c r="P44" s="18" t="n"/>
      <c r="Q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  <c r="AA44" s="18" t="n"/>
      <c r="AB44" s="18" t="n"/>
      <c r="AC44" s="18" t="n"/>
      <c r="AD44" s="18" t="n"/>
      <c r="AE44" s="18" t="n"/>
      <c r="AF44" s="18" t="n"/>
      <c r="AG44" s="18" t="n"/>
      <c r="AH44" s="18" t="n"/>
      <c r="AI44" s="18" t="n"/>
      <c r="AJ44" s="18" t="n"/>
      <c r="AK44" s="18" t="n"/>
      <c r="AL44" s="18" t="n"/>
      <c r="AM44" s="18" t="n"/>
      <c r="AN44" s="18" t="n"/>
      <c r="AO44" s="18" t="n"/>
      <c r="AP44" s="18" t="n"/>
      <c r="AQ44" s="18" t="n"/>
      <c r="AR44" s="18" t="n"/>
      <c r="AS44" s="18" t="n"/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/>
      <c r="BQ44" s="18" t="n"/>
      <c r="BR44" s="18" t="n"/>
      <c r="BS44" s="18" t="n"/>
      <c r="BT44" s="18" t="n"/>
      <c r="BU44" s="18" t="n"/>
      <c r="BV44" s="18" t="n"/>
      <c r="BW44" s="18" t="n"/>
      <c r="BX44" s="18" t="n"/>
      <c r="BY44" s="18" t="n"/>
      <c r="BZ44" s="18" t="n"/>
      <c r="CA44" s="18" t="n"/>
      <c r="CB44" s="18" t="n"/>
      <c r="CC44" s="18" t="n"/>
      <c r="CD44" s="18" t="n"/>
      <c r="CE44" s="18" t="n"/>
      <c r="CF44" s="18" t="n"/>
      <c r="CG44" s="18" t="n"/>
      <c r="CH44" s="18" t="n"/>
      <c r="CI44" s="18" t="n"/>
      <c r="CJ44" s="18" t="n"/>
      <c r="CK44" s="18" t="n"/>
      <c r="CL44" s="18" t="n"/>
      <c r="CM44" s="18" t="n"/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</row>
    <row r="45">
      <c r="A45" s="18">
        <f>'Schedule_Data_Option_A'!A46</f>
        <v/>
      </c>
      <c r="B45" s="18">
        <f>'Schedule_Data_Option_A'!B46</f>
        <v/>
      </c>
      <c r="C45" s="18">
        <f>'Schedule_Data_Option_A'!C46</f>
        <v/>
      </c>
      <c r="D45" s="21">
        <f>'Schedule_Data_Option_A'!D46</f>
        <v/>
      </c>
      <c r="E45" s="18" t="n"/>
      <c r="F45" s="18" t="n"/>
      <c r="G45" s="18" t="n"/>
      <c r="H45" s="18" t="n"/>
      <c r="I45" s="18" t="n"/>
      <c r="J45" s="18" t="n"/>
      <c r="K45" s="18" t="n"/>
      <c r="L45" s="21" t="n"/>
      <c r="M45" s="18" t="n"/>
      <c r="N45" s="18" t="n"/>
      <c r="O45" s="18" t="n"/>
      <c r="P45" s="18" t="n"/>
      <c r="Q45" s="18" t="n"/>
      <c r="R45" s="18" t="n"/>
      <c r="S45" s="18" t="n"/>
      <c r="T45" s="18" t="n"/>
      <c r="U45" s="18" t="n"/>
      <c r="V45" s="18" t="n"/>
      <c r="W45" s="18" t="n"/>
      <c r="X45" s="18" t="n"/>
      <c r="Y45" s="18" t="n"/>
      <c r="Z45" s="18" t="n"/>
      <c r="AA45" s="18" t="n"/>
      <c r="AB45" s="18" t="n"/>
      <c r="AC45" s="18" t="n"/>
      <c r="AD45" s="18" t="n"/>
      <c r="AE45" s="18" t="n"/>
      <c r="AF45" s="18" t="n"/>
      <c r="AG45" s="18" t="n"/>
      <c r="AH45" s="18" t="n"/>
      <c r="AI45" s="18" t="n"/>
      <c r="AJ45" s="18" t="n"/>
      <c r="AK45" s="18" t="n"/>
      <c r="AL45" s="18" t="n"/>
      <c r="AM45" s="18" t="n"/>
      <c r="AN45" s="18" t="n"/>
      <c r="AO45" s="18" t="n"/>
      <c r="AP45" s="18" t="n"/>
      <c r="AQ45" s="18" t="n"/>
      <c r="AR45" s="18" t="n"/>
      <c r="AS45" s="18" t="n"/>
      <c r="AT45" s="18" t="n"/>
      <c r="AU45" s="18" t="n"/>
      <c r="AV45" s="18" t="n"/>
      <c r="AW45" s="18" t="n"/>
      <c r="AX45" s="18" t="n"/>
      <c r="AY45" s="18" t="n"/>
      <c r="AZ45" s="18" t="n"/>
      <c r="BA45" s="18" t="n"/>
      <c r="BB45" s="18" t="n"/>
      <c r="BC45" s="18" t="n"/>
      <c r="BD45" s="18" t="n"/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/>
      <c r="BO45" s="18" t="n"/>
      <c r="BP45" s="18" t="n"/>
      <c r="BQ45" s="18" t="n"/>
      <c r="BR45" s="18" t="n"/>
      <c r="BS45" s="18" t="n"/>
      <c r="BT45" s="18" t="n"/>
      <c r="BU45" s="18" t="n"/>
      <c r="BV45" s="18" t="n"/>
      <c r="BW45" s="18" t="n"/>
      <c r="BX45" s="18" t="n"/>
      <c r="BY45" s="18" t="n"/>
      <c r="BZ45" s="18" t="n"/>
      <c r="CA45" s="18" t="n"/>
      <c r="CB45" s="18" t="n"/>
      <c r="CC45" s="18" t="n"/>
      <c r="CD45" s="18" t="n"/>
      <c r="CE45" s="18" t="n"/>
      <c r="CF45" s="18" t="n"/>
      <c r="CG45" s="18" t="n"/>
      <c r="CH45" s="18" t="n"/>
      <c r="CI45" s="18" t="n"/>
      <c r="CJ45" s="18" t="n"/>
      <c r="CK45" s="18" t="n"/>
      <c r="CL45" s="18" t="n"/>
      <c r="CM45" s="18" t="n"/>
      <c r="CN45" s="18" t="n"/>
      <c r="CO45" s="18" t="n"/>
      <c r="CP45" s="18" t="n"/>
      <c r="CQ45" s="18" t="n"/>
      <c r="CR45" s="18" t="n"/>
      <c r="CS45" s="18" t="n"/>
      <c r="CT45" s="18" t="n"/>
      <c r="CU45" s="18" t="n"/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  <c r="DR45" s="18" t="n"/>
      <c r="DS45" s="18" t="n"/>
      <c r="DT45" s="18" t="n"/>
    </row>
    <row r="46">
      <c r="A46" s="18">
        <f>'Schedule_Data_Option_A'!A47</f>
        <v/>
      </c>
      <c r="B46" s="18">
        <f>'Schedule_Data_Option_A'!B47</f>
        <v/>
      </c>
      <c r="C46" s="18">
        <f>'Schedule_Data_Option_A'!C47</f>
        <v/>
      </c>
      <c r="D46" s="26">
        <f>'Schedule_Data_Option_A'!D47</f>
        <v/>
      </c>
      <c r="E46" s="18" t="n"/>
      <c r="F46" s="18" t="n"/>
      <c r="G46" s="18" t="n"/>
      <c r="H46" s="18" t="n"/>
      <c r="I46" s="18" t="n"/>
      <c r="J46" s="18" t="n"/>
      <c r="K46" s="18" t="n"/>
      <c r="L46" s="26" t="n"/>
      <c r="M46" s="18" t="n"/>
      <c r="N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18" t="n"/>
      <c r="X46" s="18" t="n"/>
      <c r="Y46" s="18" t="n"/>
      <c r="Z46" s="18" t="n"/>
      <c r="AA46" s="18" t="n"/>
      <c r="AB46" s="18" t="n"/>
      <c r="AC46" s="18" t="n"/>
      <c r="AD46" s="18" t="n"/>
      <c r="AE46" s="18" t="n"/>
      <c r="AF46" s="18" t="n"/>
      <c r="AG46" s="18" t="n"/>
      <c r="AH46" s="18" t="n"/>
      <c r="AI46" s="18" t="n"/>
      <c r="AJ46" s="18" t="n"/>
      <c r="AK46" s="18" t="n"/>
      <c r="AL46" s="18" t="n"/>
      <c r="AM46" s="18" t="n"/>
      <c r="AN46" s="18" t="n"/>
      <c r="AO46" s="18" t="n"/>
      <c r="AP46" s="18" t="n"/>
      <c r="AQ46" s="18" t="n"/>
      <c r="AR46" s="18" t="n"/>
      <c r="AS46" s="18" t="n"/>
      <c r="AT46" s="18" t="n"/>
      <c r="AU46" s="18" t="n"/>
      <c r="AV46" s="18" t="n"/>
      <c r="AW46" s="18" t="n"/>
      <c r="AX46" s="18" t="n"/>
      <c r="AY46" s="18" t="n"/>
      <c r="AZ46" s="18" t="n"/>
      <c r="BA46" s="18" t="n"/>
      <c r="BB46" s="18" t="n"/>
      <c r="BC46" s="18" t="n"/>
      <c r="BD46" s="18" t="n"/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18" t="n"/>
      <c r="BU46" s="18" t="n"/>
      <c r="BV46" s="18" t="n"/>
      <c r="BW46" s="18" t="n"/>
      <c r="BX46" s="18" t="n"/>
      <c r="BY46" s="18" t="n"/>
      <c r="BZ46" s="18" t="n"/>
      <c r="CA46" s="18" t="n"/>
      <c r="CB46" s="18" t="n"/>
      <c r="CC46" s="18" t="n"/>
      <c r="CD46" s="18" t="n"/>
      <c r="CE46" s="18" t="n"/>
      <c r="CF46" s="18" t="n"/>
      <c r="CG46" s="18" t="n"/>
      <c r="CH46" s="18" t="n"/>
      <c r="CI46" s="18" t="n"/>
      <c r="CJ46" s="18" t="n"/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</row>
    <row r="47">
      <c r="A47" s="18">
        <f>'Schedule_Data_Option_A'!A48</f>
        <v/>
      </c>
      <c r="B47" s="18">
        <f>'Schedule_Data_Option_A'!B48</f>
        <v/>
      </c>
      <c r="C47" s="18">
        <f>'Schedule_Data_Option_A'!C48</f>
        <v/>
      </c>
      <c r="D47" s="21">
        <f>'Schedule_Data_Option_A'!D48</f>
        <v/>
      </c>
      <c r="E47" s="18" t="n"/>
      <c r="F47" s="18" t="n"/>
      <c r="G47" s="18" t="n"/>
      <c r="H47" s="18" t="n"/>
      <c r="I47" s="18" t="n"/>
      <c r="J47" s="18" t="n"/>
      <c r="K47" s="18" t="n"/>
      <c r="L47" s="21" t="n"/>
      <c r="M47" s="18" t="n"/>
      <c r="N47" s="18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18" t="n"/>
      <c r="X47" s="18" t="n"/>
      <c r="Y47" s="18" t="n"/>
      <c r="Z47" s="18" t="n"/>
      <c r="AA47" s="18" t="n"/>
      <c r="AB47" s="18" t="n"/>
      <c r="AC47" s="18" t="n"/>
      <c r="AD47" s="18" t="n"/>
      <c r="AE47" s="18" t="n"/>
      <c r="AF47" s="18" t="n"/>
      <c r="AG47" s="18" t="n"/>
      <c r="AH47" s="18" t="n"/>
      <c r="AI47" s="18" t="n"/>
      <c r="AJ47" s="18" t="n"/>
      <c r="AK47" s="18" t="n"/>
      <c r="AL47" s="18" t="n"/>
      <c r="AM47" s="18" t="n"/>
      <c r="AN47" s="18" t="n"/>
      <c r="AO47" s="18" t="n"/>
      <c r="AP47" s="18" t="n"/>
      <c r="AQ47" s="18" t="n"/>
      <c r="AR47" s="18" t="n"/>
      <c r="AS47" s="18" t="n"/>
      <c r="AT47" s="18" t="n"/>
      <c r="AU47" s="18" t="n"/>
      <c r="AV47" s="18" t="n"/>
      <c r="AW47" s="18" t="n"/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18" t="n"/>
      <c r="BU47" s="18" t="n"/>
      <c r="BV47" s="18" t="n"/>
      <c r="BW47" s="18" t="n"/>
      <c r="BX47" s="18" t="n"/>
      <c r="BY47" s="18" t="n"/>
      <c r="BZ47" s="18" t="n"/>
      <c r="CA47" s="18" t="n"/>
      <c r="CB47" s="18" t="n"/>
      <c r="CC47" s="18" t="n"/>
      <c r="CD47" s="18" t="n"/>
      <c r="CE47" s="18" t="n"/>
      <c r="CF47" s="18" t="n"/>
      <c r="CG47" s="18" t="n"/>
      <c r="CH47" s="18" t="n"/>
      <c r="CI47" s="18" t="n"/>
      <c r="CJ47" s="18" t="n"/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</row>
    <row r="48">
      <c r="A48" s="18">
        <f>'Schedule_Data_Option_A'!A49</f>
        <v/>
      </c>
      <c r="B48" s="18">
        <f>'Schedule_Data_Option_A'!B49</f>
        <v/>
      </c>
      <c r="C48" s="18">
        <f>'Schedule_Data_Option_A'!C49</f>
        <v/>
      </c>
      <c r="D48" s="23">
        <f>'Schedule_Data_Option_A'!D49</f>
        <v/>
      </c>
      <c r="E48" s="18" t="n"/>
      <c r="F48" s="18" t="n"/>
      <c r="G48" s="18" t="n"/>
      <c r="H48" s="18" t="n"/>
      <c r="I48" s="18" t="n"/>
      <c r="J48" s="18" t="n"/>
      <c r="K48" s="18" t="n"/>
      <c r="L48" s="18" t="n"/>
      <c r="M48" s="23" t="n"/>
      <c r="N48" s="18" t="n"/>
      <c r="O48" s="18" t="n"/>
      <c r="P48" s="18" t="n"/>
      <c r="Q48" s="18" t="n"/>
      <c r="R48" s="18" t="n"/>
      <c r="S48" s="18" t="n"/>
      <c r="T48" s="18" t="n"/>
      <c r="U48" s="18" t="n"/>
      <c r="V48" s="18" t="n"/>
      <c r="W48" s="18" t="n"/>
      <c r="X48" s="18" t="n"/>
      <c r="Y48" s="18" t="n"/>
      <c r="Z48" s="18" t="n"/>
      <c r="AA48" s="18" t="n"/>
      <c r="AB48" s="18" t="n"/>
      <c r="AC48" s="18" t="n"/>
      <c r="AD48" s="18" t="n"/>
      <c r="AE48" s="18" t="n"/>
      <c r="AF48" s="18" t="n"/>
      <c r="AG48" s="18" t="n"/>
      <c r="AH48" s="18" t="n"/>
      <c r="AI48" s="18" t="n"/>
      <c r="AJ48" s="18" t="n"/>
      <c r="AK48" s="18" t="n"/>
      <c r="AL48" s="18" t="n"/>
      <c r="AM48" s="18" t="n"/>
      <c r="AN48" s="18" t="n"/>
      <c r="AO48" s="18" t="n"/>
      <c r="AP48" s="18" t="n"/>
      <c r="AQ48" s="18" t="n"/>
      <c r="AR48" s="18" t="n"/>
      <c r="AS48" s="18" t="n"/>
      <c r="AT48" s="18" t="n"/>
      <c r="AU48" s="18" t="n"/>
      <c r="AV48" s="18" t="n"/>
      <c r="AW48" s="18" t="n"/>
      <c r="AX48" s="18" t="n"/>
      <c r="AY48" s="18" t="n"/>
      <c r="AZ48" s="18" t="n"/>
      <c r="BA48" s="18" t="n"/>
      <c r="BB48" s="18" t="n"/>
      <c r="BC48" s="18" t="n"/>
      <c r="BD48" s="18" t="n"/>
      <c r="BE48" s="18" t="n"/>
      <c r="BF48" s="18" t="n"/>
      <c r="BG48" s="18" t="n"/>
      <c r="BH48" s="18" t="n"/>
      <c r="BI48" s="18" t="n"/>
      <c r="BJ48" s="18" t="n"/>
      <c r="BK48" s="18" t="n"/>
      <c r="BL48" s="18" t="n"/>
      <c r="BM48" s="18" t="n"/>
      <c r="BN48" s="18" t="n"/>
      <c r="BO48" s="18" t="n"/>
      <c r="BP48" s="18" t="n"/>
      <c r="BQ48" s="18" t="n"/>
      <c r="BR48" s="18" t="n"/>
      <c r="BS48" s="18" t="n"/>
      <c r="BT48" s="18" t="n"/>
      <c r="BU48" s="18" t="n"/>
      <c r="BV48" s="18" t="n"/>
      <c r="BW48" s="18" t="n"/>
      <c r="BX48" s="18" t="n"/>
      <c r="BY48" s="18" t="n"/>
      <c r="BZ48" s="18" t="n"/>
      <c r="CA48" s="18" t="n"/>
      <c r="CB48" s="18" t="n"/>
      <c r="CC48" s="18" t="n"/>
      <c r="CD48" s="18" t="n"/>
      <c r="CE48" s="18" t="n"/>
      <c r="CF48" s="18" t="n"/>
      <c r="CG48" s="18" t="n"/>
      <c r="CH48" s="18" t="n"/>
      <c r="CI48" s="18" t="n"/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</row>
    <row r="49">
      <c r="A49" s="18">
        <f>'Schedule_Data_Option_A'!A50</f>
        <v/>
      </c>
      <c r="B49" s="18">
        <f>'Schedule_Data_Option_A'!B50</f>
        <v/>
      </c>
      <c r="C49" s="18">
        <f>'Schedule_Data_Option_A'!C50</f>
        <v/>
      </c>
      <c r="D49" s="23">
        <f>'Schedule_Data_Option_A'!D50</f>
        <v/>
      </c>
      <c r="E49" s="18" t="n"/>
      <c r="F49" s="18" t="n"/>
      <c r="G49" s="18" t="n"/>
      <c r="H49" s="18" t="n"/>
      <c r="I49" s="18" t="n"/>
      <c r="J49" s="18" t="n"/>
      <c r="K49" s="18" t="n"/>
      <c r="L49" s="18" t="n"/>
      <c r="M49" s="18" t="n"/>
      <c r="N49" s="23" t="n"/>
      <c r="O49" s="18" t="n"/>
      <c r="P49" s="18" t="n"/>
      <c r="Q49" s="18" t="n"/>
      <c r="R49" s="18" t="n"/>
      <c r="S49" s="18" t="n"/>
      <c r="T49" s="18" t="n"/>
      <c r="U49" s="18" t="n"/>
      <c r="V49" s="18" t="n"/>
      <c r="W49" s="18" t="n"/>
      <c r="X49" s="18" t="n"/>
      <c r="Y49" s="18" t="n"/>
      <c r="Z49" s="18" t="n"/>
      <c r="AA49" s="18" t="n"/>
      <c r="AB49" s="18" t="n"/>
      <c r="AC49" s="18" t="n"/>
      <c r="AD49" s="18" t="n"/>
      <c r="AE49" s="18" t="n"/>
      <c r="AF49" s="18" t="n"/>
      <c r="AG49" s="18" t="n"/>
      <c r="AH49" s="18" t="n"/>
      <c r="AI49" s="18" t="n"/>
      <c r="AJ49" s="18" t="n"/>
      <c r="AK49" s="18" t="n"/>
      <c r="AL49" s="18" t="n"/>
      <c r="AM49" s="18" t="n"/>
      <c r="AN49" s="18" t="n"/>
      <c r="AO49" s="18" t="n"/>
      <c r="AP49" s="18" t="n"/>
      <c r="AQ49" s="18" t="n"/>
      <c r="AR49" s="18" t="n"/>
      <c r="AS49" s="18" t="n"/>
      <c r="AT49" s="18" t="n"/>
      <c r="AU49" s="18" t="n"/>
      <c r="AV49" s="18" t="n"/>
      <c r="AW49" s="18" t="n"/>
      <c r="AX49" s="18" t="n"/>
      <c r="AY49" s="18" t="n"/>
      <c r="AZ49" s="18" t="n"/>
      <c r="BA49" s="18" t="n"/>
      <c r="BB49" s="18" t="n"/>
      <c r="BC49" s="18" t="n"/>
      <c r="BD49" s="18" t="n"/>
      <c r="BE49" s="18" t="n"/>
      <c r="BF49" s="18" t="n"/>
      <c r="BG49" s="18" t="n"/>
      <c r="BH49" s="18" t="n"/>
      <c r="BI49" s="18" t="n"/>
      <c r="BJ49" s="18" t="n"/>
      <c r="BK49" s="18" t="n"/>
      <c r="BL49" s="18" t="n"/>
      <c r="BM49" s="18" t="n"/>
      <c r="BN49" s="18" t="n"/>
      <c r="BO49" s="18" t="n"/>
      <c r="BP49" s="18" t="n"/>
      <c r="BQ49" s="18" t="n"/>
      <c r="BR49" s="18" t="n"/>
      <c r="BS49" s="18" t="n"/>
      <c r="BT49" s="18" t="n"/>
      <c r="BU49" s="18" t="n"/>
      <c r="BV49" s="18" t="n"/>
      <c r="BW49" s="18" t="n"/>
      <c r="BX49" s="18" t="n"/>
      <c r="BY49" s="18" t="n"/>
      <c r="BZ49" s="18" t="n"/>
      <c r="CA49" s="18" t="n"/>
      <c r="CB49" s="18" t="n"/>
      <c r="CC49" s="18" t="n"/>
      <c r="CD49" s="18" t="n"/>
      <c r="CE49" s="18" t="n"/>
      <c r="CF49" s="18" t="n"/>
      <c r="CG49" s="18" t="n"/>
      <c r="CH49" s="18" t="n"/>
      <c r="CI49" s="18" t="n"/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</row>
    <row r="50">
      <c r="A50" s="18">
        <f>'Schedule_Data_Option_A'!A51</f>
        <v/>
      </c>
      <c r="B50" s="18">
        <f>'Schedule_Data_Option_A'!B51</f>
        <v/>
      </c>
      <c r="C50" s="18">
        <f>'Schedule_Data_Option_A'!C51</f>
        <v/>
      </c>
      <c r="D50" s="25">
        <f>'Schedule_Data_Option_A'!D51</f>
        <v/>
      </c>
      <c r="E50" s="18" t="n"/>
      <c r="F50" s="18" t="n"/>
      <c r="G50" s="18" t="n"/>
      <c r="H50" s="18" t="n"/>
      <c r="I50" s="18" t="n"/>
      <c r="J50" s="18" t="n"/>
      <c r="K50" s="18" t="n"/>
      <c r="L50" s="18" t="n"/>
      <c r="M50" s="18" t="n"/>
      <c r="N50" s="18" t="n"/>
      <c r="O50" s="25" t="n"/>
      <c r="P50" s="18" t="n"/>
      <c r="Q50" s="18" t="n"/>
      <c r="R50" s="18" t="n"/>
      <c r="S50" s="18" t="n"/>
      <c r="T50" s="18" t="n"/>
      <c r="U50" s="18" t="n"/>
      <c r="V50" s="18" t="n"/>
      <c r="W50" s="18" t="n"/>
      <c r="X50" s="18" t="n"/>
      <c r="Y50" s="18" t="n"/>
      <c r="Z50" s="18" t="n"/>
      <c r="AA50" s="18" t="n"/>
      <c r="AB50" s="18" t="n"/>
      <c r="AC50" s="18" t="n"/>
      <c r="AD50" s="18" t="n"/>
      <c r="AE50" s="18" t="n"/>
      <c r="AF50" s="18" t="n"/>
      <c r="AG50" s="18" t="n"/>
      <c r="AH50" s="18" t="n"/>
      <c r="AI50" s="18" t="n"/>
      <c r="AJ50" s="18" t="n"/>
      <c r="AK50" s="18" t="n"/>
      <c r="AL50" s="18" t="n"/>
      <c r="AM50" s="18" t="n"/>
      <c r="AN50" s="18" t="n"/>
      <c r="AO50" s="18" t="n"/>
      <c r="AP50" s="18" t="n"/>
      <c r="AQ50" s="18" t="n"/>
      <c r="AR50" s="18" t="n"/>
      <c r="AS50" s="18" t="n"/>
      <c r="AT50" s="18" t="n"/>
      <c r="AU50" s="18" t="n"/>
      <c r="AV50" s="18" t="n"/>
      <c r="AW50" s="18" t="n"/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18" t="n"/>
      <c r="BU50" s="18" t="n"/>
      <c r="BV50" s="18" t="n"/>
      <c r="BW50" s="18" t="n"/>
      <c r="BX50" s="18" t="n"/>
      <c r="BY50" s="18" t="n"/>
      <c r="BZ50" s="18" t="n"/>
      <c r="CA50" s="18" t="n"/>
      <c r="CB50" s="18" t="n"/>
      <c r="CC50" s="18" t="n"/>
      <c r="CD50" s="18" t="n"/>
      <c r="CE50" s="18" t="n"/>
      <c r="CF50" s="18" t="n"/>
      <c r="CG50" s="18" t="n"/>
      <c r="CH50" s="18" t="n"/>
      <c r="CI50" s="18" t="n"/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</row>
    <row r="51">
      <c r="A51" s="18">
        <f>'Schedule_Data_Option_A'!A52</f>
        <v/>
      </c>
      <c r="B51" s="18">
        <f>'Schedule_Data_Option_A'!B52</f>
        <v/>
      </c>
      <c r="C51" s="18">
        <f>'Schedule_Data_Option_A'!C52</f>
        <v/>
      </c>
      <c r="D51" s="21">
        <f>'Schedule_Data_Option_A'!D52</f>
        <v/>
      </c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8" t="n"/>
      <c r="Y51" s="18" t="n"/>
      <c r="Z51" s="18" t="n"/>
      <c r="AA51" s="18" t="n"/>
      <c r="AB51" s="18" t="n"/>
      <c r="AC51" s="18" t="n"/>
      <c r="AD51" s="18" t="n"/>
      <c r="AE51" s="18" t="n"/>
      <c r="AF51" s="18" t="n"/>
      <c r="AG51" s="18" t="n"/>
      <c r="AH51" s="18" t="n"/>
      <c r="AI51" s="18" t="n"/>
      <c r="AJ51" s="18" t="n"/>
      <c r="AK51" s="18" t="n"/>
      <c r="AL51" s="18" t="n"/>
      <c r="AM51" s="18" t="n"/>
      <c r="AN51" s="18" t="n"/>
      <c r="AO51" s="18" t="n"/>
      <c r="AP51" s="18" t="n"/>
      <c r="AQ51" s="18" t="n"/>
      <c r="AR51" s="18" t="n"/>
      <c r="AS51" s="18" t="n"/>
      <c r="AT51" s="18" t="n"/>
      <c r="AU51" s="18" t="n"/>
      <c r="AV51" s="18" t="n"/>
      <c r="AW51" s="18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18" t="n"/>
      <c r="BU51" s="18" t="n"/>
      <c r="BV51" s="18" t="n"/>
      <c r="BW51" s="18" t="n"/>
      <c r="BX51" s="18" t="n"/>
      <c r="BY51" s="18" t="n"/>
      <c r="BZ51" s="18" t="n"/>
      <c r="CA51" s="18" t="n"/>
      <c r="CB51" s="18" t="n"/>
      <c r="CC51" s="18" t="n"/>
      <c r="CD51" s="18" t="n"/>
      <c r="CE51" s="18" t="n"/>
      <c r="CF51" s="18" t="n"/>
      <c r="CG51" s="18" t="n"/>
      <c r="CH51" s="18" t="n"/>
      <c r="CI51" s="18" t="n"/>
      <c r="CJ51" s="18" t="n"/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</row>
    <row r="52">
      <c r="A52" s="18">
        <f>'Schedule_Data_Option_A'!A53</f>
        <v/>
      </c>
      <c r="B52" s="18">
        <f>'Schedule_Data_Option_A'!B53</f>
        <v/>
      </c>
      <c r="C52" s="18">
        <f>'Schedule_Data_Option_A'!C53</f>
        <v/>
      </c>
      <c r="D52" s="21">
        <f>'Schedule_Data_Option_A'!D53</f>
        <v/>
      </c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  <c r="AA52" s="18" t="n"/>
      <c r="AB52" s="18" t="n"/>
      <c r="AC52" s="18" t="n"/>
      <c r="AD52" s="18" t="n"/>
      <c r="AE52" s="18" t="n"/>
      <c r="AF52" s="18" t="n"/>
      <c r="AG52" s="18" t="n"/>
      <c r="AH52" s="18" t="n"/>
      <c r="AI52" s="18" t="n"/>
      <c r="AJ52" s="18" t="n"/>
      <c r="AK52" s="18" t="n"/>
      <c r="AL52" s="18" t="n"/>
      <c r="AM52" s="18" t="n"/>
      <c r="AN52" s="18" t="n"/>
      <c r="AO52" s="18" t="n"/>
      <c r="AP52" s="18" t="n"/>
      <c r="AQ52" s="18" t="n"/>
      <c r="AR52" s="18" t="n"/>
      <c r="AS52" s="18" t="n"/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18" t="n"/>
      <c r="BU52" s="18" t="n"/>
      <c r="BV52" s="18" t="n"/>
      <c r="BW52" s="18" t="n"/>
      <c r="BX52" s="18" t="n"/>
      <c r="BY52" s="18" t="n"/>
      <c r="BZ52" s="18" t="n"/>
      <c r="CA52" s="18" t="n"/>
      <c r="CB52" s="18" t="n"/>
      <c r="CC52" s="18" t="n"/>
      <c r="CD52" s="18" t="n"/>
      <c r="CE52" s="18" t="n"/>
      <c r="CF52" s="18" t="n"/>
      <c r="CG52" s="18" t="n"/>
      <c r="CH52" s="18" t="n"/>
      <c r="CI52" s="18" t="n"/>
      <c r="CJ52" s="18" t="n"/>
      <c r="CK52" s="18" t="n"/>
      <c r="CL52" s="18" t="n"/>
      <c r="CM52" s="18" t="n"/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</row>
    <row r="53">
      <c r="A53" s="18">
        <f>'Schedule_Data_Option_A'!A54</f>
        <v/>
      </c>
      <c r="B53" s="18">
        <f>'Schedule_Data_Option_A'!B54</f>
        <v/>
      </c>
      <c r="C53" s="18">
        <f>'Schedule_Data_Option_A'!C54</f>
        <v/>
      </c>
      <c r="D53" s="27">
        <f>'Schedule_Data_Option_A'!D54</f>
        <v/>
      </c>
      <c r="E53" s="18" t="n"/>
      <c r="F53" s="18" t="n"/>
      <c r="G53" s="18" t="n"/>
      <c r="H53" s="18" t="n"/>
      <c r="I53" s="18" t="n"/>
      <c r="J53" s="18" t="n"/>
      <c r="K53" s="18" t="n"/>
      <c r="L53" s="18" t="n"/>
      <c r="M53" s="18" t="n"/>
      <c r="N53" s="18" t="n"/>
      <c r="O53" s="18" t="n"/>
      <c r="P53" s="27" t="n"/>
      <c r="Q53" s="18" t="n"/>
      <c r="R53" s="18" t="n"/>
      <c r="S53" s="18" t="n"/>
      <c r="T53" s="18" t="n"/>
      <c r="U53" s="18" t="n"/>
      <c r="V53" s="18" t="n"/>
      <c r="W53" s="18" t="n"/>
      <c r="X53" s="18" t="n"/>
      <c r="Y53" s="18" t="n"/>
      <c r="Z53" s="18" t="n"/>
      <c r="AA53" s="18" t="n"/>
      <c r="AB53" s="18" t="n"/>
      <c r="AC53" s="18" t="n"/>
      <c r="AD53" s="18" t="n"/>
      <c r="AE53" s="18" t="n"/>
      <c r="AF53" s="18" t="n"/>
      <c r="AG53" s="18" t="n"/>
      <c r="AH53" s="18" t="n"/>
      <c r="AI53" s="18" t="n"/>
      <c r="AJ53" s="18" t="n"/>
      <c r="AK53" s="18" t="n"/>
      <c r="AL53" s="18" t="n"/>
      <c r="AM53" s="18" t="n"/>
      <c r="AN53" s="18" t="n"/>
      <c r="AO53" s="18" t="n"/>
      <c r="AP53" s="18" t="n"/>
      <c r="AQ53" s="18" t="n"/>
      <c r="AR53" s="18" t="n"/>
      <c r="AS53" s="18" t="n"/>
      <c r="AT53" s="18" t="n"/>
      <c r="AU53" s="18" t="n"/>
      <c r="AV53" s="18" t="n"/>
      <c r="AW53" s="18" t="n"/>
      <c r="AX53" s="18" t="n"/>
      <c r="AY53" s="18" t="n"/>
      <c r="AZ53" s="18" t="n"/>
      <c r="BA53" s="18" t="n"/>
      <c r="BB53" s="18" t="n"/>
      <c r="BC53" s="18" t="n"/>
      <c r="BD53" s="18" t="n"/>
      <c r="BE53" s="18" t="n"/>
      <c r="BF53" s="18" t="n"/>
      <c r="BG53" s="18" t="n"/>
      <c r="BH53" s="18" t="n"/>
      <c r="BI53" s="18" t="n"/>
      <c r="BJ53" s="18" t="n"/>
      <c r="BK53" s="18" t="n"/>
      <c r="BL53" s="18" t="n"/>
      <c r="BM53" s="18" t="n"/>
      <c r="BN53" s="18" t="n"/>
      <c r="BO53" s="18" t="n"/>
      <c r="BP53" s="18" t="n"/>
      <c r="BQ53" s="18" t="n"/>
      <c r="BR53" s="18" t="n"/>
      <c r="BS53" s="18" t="n"/>
      <c r="BT53" s="18" t="n"/>
      <c r="BU53" s="18" t="n"/>
      <c r="BV53" s="18" t="n"/>
      <c r="BW53" s="18" t="n"/>
      <c r="BX53" s="18" t="n"/>
      <c r="BY53" s="18" t="n"/>
      <c r="BZ53" s="18" t="n"/>
      <c r="CA53" s="18" t="n"/>
      <c r="CB53" s="18" t="n"/>
      <c r="CC53" s="18" t="n"/>
      <c r="CD53" s="18" t="n"/>
      <c r="CE53" s="18" t="n"/>
      <c r="CF53" s="18" t="n"/>
      <c r="CG53" s="18" t="n"/>
      <c r="CH53" s="18" t="n"/>
      <c r="CI53" s="18" t="n"/>
      <c r="CJ53" s="18" t="n"/>
      <c r="CK53" s="18" t="n"/>
      <c r="CL53" s="18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18" t="n"/>
      <c r="DP53" s="18" t="n"/>
      <c r="DQ53" s="18" t="n"/>
      <c r="DR53" s="18" t="n"/>
      <c r="DS53" s="18" t="n"/>
      <c r="DT53" s="18" t="n"/>
    </row>
    <row r="54">
      <c r="A54" s="18">
        <f>'Schedule_Data_Option_A'!A55</f>
        <v/>
      </c>
      <c r="B54" s="18">
        <f>'Schedule_Data_Option_A'!B55</f>
        <v/>
      </c>
      <c r="C54" s="18">
        <f>'Schedule_Data_Option_A'!C55</f>
        <v/>
      </c>
      <c r="D54" s="38">
        <f>'Schedule_Data_Option_A'!D55</f>
        <v/>
      </c>
      <c r="E54" s="18" t="n"/>
      <c r="F54" s="18" t="n"/>
      <c r="G54" s="18" t="n"/>
      <c r="H54" s="18" t="n"/>
      <c r="I54" s="18" t="n"/>
      <c r="J54" s="18" t="n"/>
      <c r="K54" s="18" t="n"/>
      <c r="L54" s="18" t="n"/>
      <c r="M54" s="18" t="n"/>
      <c r="N54" s="18" t="n"/>
      <c r="O54" s="18" t="n"/>
      <c r="P54" s="18" t="n"/>
      <c r="Q54" s="18" t="n"/>
      <c r="R54" s="18" t="n"/>
      <c r="S54" s="38" t="n"/>
      <c r="T54" s="18" t="n"/>
      <c r="U54" s="18" t="n"/>
      <c r="V54" s="18" t="n"/>
      <c r="W54" s="18" t="n"/>
      <c r="X54" s="18" t="n"/>
      <c r="Y54" s="18" t="n"/>
      <c r="Z54" s="18" t="n"/>
      <c r="AA54" s="18" t="n"/>
      <c r="AB54" s="18" t="n"/>
      <c r="AC54" s="18" t="n"/>
      <c r="AD54" s="18" t="n"/>
      <c r="AE54" s="18" t="n"/>
      <c r="AF54" s="18" t="n"/>
      <c r="AG54" s="18" t="n"/>
      <c r="AH54" s="18" t="n"/>
      <c r="AI54" s="18" t="n"/>
      <c r="AJ54" s="18" t="n"/>
      <c r="AK54" s="18" t="n"/>
      <c r="AL54" s="18" t="n"/>
      <c r="AM54" s="18" t="n"/>
      <c r="AN54" s="18" t="n"/>
      <c r="AO54" s="18" t="n"/>
      <c r="AP54" s="18" t="n"/>
      <c r="AQ54" s="18" t="n"/>
      <c r="AR54" s="18" t="n"/>
      <c r="AS54" s="18" t="n"/>
      <c r="AT54" s="18" t="n"/>
      <c r="AU54" s="18" t="n"/>
      <c r="AV54" s="18" t="n"/>
      <c r="AW54" s="18" t="n"/>
      <c r="AX54" s="18" t="n"/>
      <c r="AY54" s="18" t="n"/>
      <c r="AZ54" s="18" t="n"/>
      <c r="BA54" s="18" t="n"/>
      <c r="BB54" s="18" t="n"/>
      <c r="BC54" s="18" t="n"/>
      <c r="BD54" s="18" t="n"/>
      <c r="BE54" s="18" t="n"/>
      <c r="BF54" s="18" t="n"/>
      <c r="BG54" s="18" t="n"/>
      <c r="BH54" s="18" t="n"/>
      <c r="BI54" s="18" t="n"/>
      <c r="BJ54" s="18" t="n"/>
      <c r="BK54" s="18" t="n"/>
      <c r="BL54" s="18" t="n"/>
      <c r="BM54" s="18" t="n"/>
      <c r="BN54" s="18" t="n"/>
      <c r="BO54" s="18" t="n"/>
      <c r="BP54" s="18" t="n"/>
      <c r="BQ54" s="18" t="n"/>
      <c r="BR54" s="18" t="n"/>
      <c r="BS54" s="18" t="n"/>
      <c r="BT54" s="18" t="n"/>
      <c r="BU54" s="18" t="n"/>
      <c r="BV54" s="18" t="n"/>
      <c r="BW54" s="18" t="n"/>
      <c r="BX54" s="18" t="n"/>
      <c r="BY54" s="18" t="n"/>
      <c r="BZ54" s="18" t="n"/>
      <c r="CA54" s="18" t="n"/>
      <c r="CB54" s="18" t="n"/>
      <c r="CC54" s="18" t="n"/>
      <c r="CD54" s="18" t="n"/>
      <c r="CE54" s="18" t="n"/>
      <c r="CF54" s="18" t="n"/>
      <c r="CG54" s="18" t="n"/>
      <c r="CH54" s="18" t="n"/>
      <c r="CI54" s="18" t="n"/>
      <c r="CJ54" s="18" t="n"/>
      <c r="CK54" s="18" t="n"/>
      <c r="CL54" s="18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18" t="n"/>
      <c r="DP54" s="18" t="n"/>
      <c r="DQ54" s="18" t="n"/>
      <c r="DR54" s="18" t="n"/>
      <c r="DS54" s="18" t="n"/>
      <c r="DT54" s="18" t="n"/>
    </row>
    <row r="55">
      <c r="A55" s="18">
        <f>'Schedule_Data_Option_A'!A56</f>
        <v/>
      </c>
      <c r="B55" s="18">
        <f>'Schedule_Data_Option_A'!B56</f>
        <v/>
      </c>
      <c r="C55" s="18">
        <f>'Schedule_Data_Option_A'!C56</f>
        <v/>
      </c>
      <c r="D55" s="21">
        <f>'Schedule_Data_Option_A'!D56</f>
        <v/>
      </c>
      <c r="E55" s="18" t="n"/>
      <c r="F55" s="18" t="n"/>
      <c r="G55" s="18" t="n"/>
      <c r="H55" s="18" t="n"/>
      <c r="I55" s="18" t="n"/>
      <c r="J55" s="18" t="n"/>
      <c r="K55" s="18" t="n"/>
      <c r="L55" s="18" t="n"/>
      <c r="M55" s="18" t="n"/>
      <c r="N55" s="18" t="n"/>
      <c r="O55" s="18" t="n"/>
      <c r="P55" s="18" t="n"/>
      <c r="Q55" s="18" t="n"/>
      <c r="R55" s="18" t="n"/>
      <c r="S55" s="18" t="n"/>
      <c r="T55" s="18" t="n"/>
      <c r="U55" s="18" t="n"/>
      <c r="V55" s="18" t="n"/>
      <c r="W55" s="18" t="n"/>
      <c r="X55" s="18" t="n"/>
      <c r="Y55" s="18" t="n"/>
      <c r="Z55" s="18" t="n"/>
      <c r="AA55" s="18" t="n"/>
      <c r="AB55" s="18" t="n"/>
      <c r="AC55" s="18" t="n"/>
      <c r="AD55" s="18" t="n"/>
      <c r="AE55" s="18" t="n"/>
      <c r="AF55" s="18" t="n"/>
      <c r="AG55" s="18" t="n"/>
      <c r="AH55" s="18" t="n"/>
      <c r="AI55" s="18" t="n"/>
      <c r="AJ55" s="18" t="n"/>
      <c r="AK55" s="18" t="n"/>
      <c r="AL55" s="18" t="n"/>
      <c r="AM55" s="18" t="n"/>
      <c r="AN55" s="18" t="n"/>
      <c r="AO55" s="18" t="n"/>
      <c r="AP55" s="18" t="n"/>
      <c r="AQ55" s="18" t="n"/>
      <c r="AR55" s="18" t="n"/>
      <c r="AS55" s="18" t="n"/>
      <c r="AT55" s="18" t="n"/>
      <c r="AU55" s="18" t="n"/>
      <c r="AV55" s="18" t="n"/>
      <c r="AW55" s="18" t="n"/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18" t="n"/>
      <c r="BU55" s="18" t="n"/>
      <c r="BV55" s="18" t="n"/>
      <c r="BW55" s="18" t="n"/>
      <c r="BX55" s="18" t="n"/>
      <c r="BY55" s="18" t="n"/>
      <c r="BZ55" s="18" t="n"/>
      <c r="CA55" s="18" t="n"/>
      <c r="CB55" s="18" t="n"/>
      <c r="CC55" s="18" t="n"/>
      <c r="CD55" s="18" t="n"/>
      <c r="CE55" s="18" t="n"/>
      <c r="CF55" s="18" t="n"/>
      <c r="CG55" s="18" t="n"/>
      <c r="CH55" s="18" t="n"/>
      <c r="CI55" s="18" t="n"/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</row>
    <row r="56">
      <c r="A56" s="18">
        <f>'Schedule_Data_Option_A'!A57</f>
        <v/>
      </c>
      <c r="B56" s="18">
        <f>'Schedule_Data_Option_A'!B57</f>
        <v/>
      </c>
      <c r="C56" s="18">
        <f>'Schedule_Data_Option_A'!C57</f>
        <v/>
      </c>
      <c r="D56" s="21">
        <f>'Schedule_Data_Option_A'!D57</f>
        <v/>
      </c>
      <c r="E56" s="18" t="n"/>
      <c r="F56" s="18" t="n"/>
      <c r="G56" s="18" t="n"/>
      <c r="H56" s="18" t="n"/>
      <c r="I56" s="18" t="n"/>
      <c r="J56" s="18" t="n"/>
      <c r="K56" s="18" t="n"/>
      <c r="L56" s="18" t="n"/>
      <c r="M56" s="18" t="n"/>
      <c r="N56" s="18" t="n"/>
      <c r="O56" s="18" t="n"/>
      <c r="P56" s="18" t="n"/>
      <c r="Q56" s="18" t="n"/>
      <c r="R56" s="18" t="n"/>
      <c r="S56" s="18" t="n"/>
      <c r="T56" s="18" t="n"/>
      <c r="U56" s="18" t="n"/>
      <c r="V56" s="18" t="n"/>
      <c r="W56" s="18" t="n"/>
      <c r="X56" s="18" t="n"/>
      <c r="Y56" s="18" t="n"/>
      <c r="Z56" s="18" t="n"/>
      <c r="AA56" s="18" t="n"/>
      <c r="AB56" s="18" t="n"/>
      <c r="AC56" s="18" t="n"/>
      <c r="AD56" s="18" t="n"/>
      <c r="AE56" s="18" t="n"/>
      <c r="AF56" s="18" t="n"/>
      <c r="AG56" s="18" t="n"/>
      <c r="AH56" s="18" t="n"/>
      <c r="AI56" s="18" t="n"/>
      <c r="AJ56" s="18" t="n"/>
      <c r="AK56" s="18" t="n"/>
      <c r="AL56" s="18" t="n"/>
      <c r="AM56" s="18" t="n"/>
      <c r="AN56" s="18" t="n"/>
      <c r="AO56" s="18" t="n"/>
      <c r="AP56" s="18" t="n"/>
      <c r="AQ56" s="18" t="n"/>
      <c r="AR56" s="18" t="n"/>
      <c r="AS56" s="18" t="n"/>
      <c r="AT56" s="18" t="n"/>
      <c r="AU56" s="18" t="n"/>
      <c r="AV56" s="18" t="n"/>
      <c r="AW56" s="18" t="n"/>
      <c r="AX56" s="18" t="n"/>
      <c r="AY56" s="18" t="n"/>
      <c r="AZ56" s="18" t="n"/>
      <c r="BA56" s="18" t="n"/>
      <c r="BB56" s="18" t="n"/>
      <c r="BC56" s="18" t="n"/>
      <c r="BD56" s="18" t="n"/>
      <c r="BE56" s="18" t="n"/>
      <c r="BF56" s="18" t="n"/>
      <c r="BG56" s="18" t="n"/>
      <c r="BH56" s="18" t="n"/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18" t="n"/>
      <c r="BU56" s="18" t="n"/>
      <c r="BV56" s="18" t="n"/>
      <c r="BW56" s="18" t="n"/>
      <c r="BX56" s="18" t="n"/>
      <c r="BY56" s="18" t="n"/>
      <c r="BZ56" s="18" t="n"/>
      <c r="CA56" s="18" t="n"/>
      <c r="CB56" s="18" t="n"/>
      <c r="CC56" s="18" t="n"/>
      <c r="CD56" s="18" t="n"/>
      <c r="CE56" s="18" t="n"/>
      <c r="CF56" s="18" t="n"/>
      <c r="CG56" s="18" t="n"/>
      <c r="CH56" s="18" t="n"/>
      <c r="CI56" s="18" t="n"/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</row>
    <row r="57">
      <c r="A57" s="18">
        <f>'Schedule_Data_Option_A'!A58</f>
        <v/>
      </c>
      <c r="B57" s="18">
        <f>'Schedule_Data_Option_A'!B58</f>
        <v/>
      </c>
      <c r="C57" s="18">
        <f>'Schedule_Data_Option_A'!C58</f>
        <v/>
      </c>
      <c r="D57" s="27">
        <f>'Schedule_Data_Option_A'!D58</f>
        <v/>
      </c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27" t="n"/>
      <c r="U57" s="18" t="n"/>
      <c r="V57" s="18" t="n"/>
      <c r="W57" s="18" t="n"/>
      <c r="X57" s="18" t="n"/>
      <c r="Y57" s="18" t="n"/>
      <c r="Z57" s="18" t="n"/>
      <c r="AA57" s="18" t="n"/>
      <c r="AB57" s="18" t="n"/>
      <c r="AC57" s="18" t="n"/>
      <c r="AD57" s="18" t="n"/>
      <c r="AE57" s="18" t="n"/>
      <c r="AF57" s="18" t="n"/>
      <c r="AG57" s="18" t="n"/>
      <c r="AH57" s="18" t="n"/>
      <c r="AI57" s="18" t="n"/>
      <c r="AJ57" s="18" t="n"/>
      <c r="AK57" s="18" t="n"/>
      <c r="AL57" s="18" t="n"/>
      <c r="AM57" s="18" t="n"/>
      <c r="AN57" s="18" t="n"/>
      <c r="AO57" s="18" t="n"/>
      <c r="AP57" s="18" t="n"/>
      <c r="AQ57" s="18" t="n"/>
      <c r="AR57" s="18" t="n"/>
      <c r="AS57" s="18" t="n"/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18" t="n"/>
      <c r="BU57" s="18" t="n"/>
      <c r="BV57" s="18" t="n"/>
      <c r="BW57" s="18" t="n"/>
      <c r="BX57" s="18" t="n"/>
      <c r="BY57" s="18" t="n"/>
      <c r="BZ57" s="18" t="n"/>
      <c r="CA57" s="18" t="n"/>
      <c r="CB57" s="18" t="n"/>
      <c r="CC57" s="18" t="n"/>
      <c r="CD57" s="18" t="n"/>
      <c r="CE57" s="18" t="n"/>
      <c r="CF57" s="18" t="n"/>
      <c r="CG57" s="18" t="n"/>
      <c r="CH57" s="18" t="n"/>
      <c r="CI57" s="18" t="n"/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</row>
    <row r="58">
      <c r="A58" s="18">
        <f>'Schedule_Data_Option_A'!A59</f>
        <v/>
      </c>
      <c r="B58" s="18">
        <f>'Schedule_Data_Option_A'!B59</f>
        <v/>
      </c>
      <c r="C58" s="18">
        <f>'Schedule_Data_Option_A'!C59</f>
        <v/>
      </c>
      <c r="D58" s="21">
        <f>'Schedule_Data_Option_A'!D59</f>
        <v/>
      </c>
      <c r="E58" s="18" t="n"/>
      <c r="F58" s="18" t="n"/>
      <c r="G58" s="18" t="n"/>
      <c r="H58" s="18" t="n"/>
      <c r="I58" s="18" t="n"/>
      <c r="J58" s="18" t="n"/>
      <c r="K58" s="18" t="n"/>
      <c r="L58" s="18" t="n"/>
      <c r="M58" s="18" t="n"/>
      <c r="N58" s="18" t="n"/>
      <c r="O58" s="18" t="n"/>
      <c r="P58" s="18" t="n"/>
      <c r="Q58" s="18" t="n"/>
      <c r="R58" s="18" t="n"/>
      <c r="S58" s="18" t="n"/>
      <c r="T58" s="18" t="n"/>
      <c r="U58" s="21" t="n"/>
      <c r="V58" s="18" t="n"/>
      <c r="W58" s="18" t="n"/>
      <c r="X58" s="18" t="n"/>
      <c r="Y58" s="18" t="n"/>
      <c r="Z58" s="18" t="n"/>
      <c r="AA58" s="18" t="n"/>
      <c r="AB58" s="18" t="n"/>
      <c r="AC58" s="18" t="n"/>
      <c r="AD58" s="18" t="n"/>
      <c r="AE58" s="18" t="n"/>
      <c r="AF58" s="18" t="n"/>
      <c r="AG58" s="18" t="n"/>
      <c r="AH58" s="18" t="n"/>
      <c r="AI58" s="18" t="n"/>
      <c r="AJ58" s="18" t="n"/>
      <c r="AK58" s="18" t="n"/>
      <c r="AL58" s="18" t="n"/>
      <c r="AM58" s="18" t="n"/>
      <c r="AN58" s="18" t="n"/>
      <c r="AO58" s="18" t="n"/>
      <c r="AP58" s="18" t="n"/>
      <c r="AQ58" s="18" t="n"/>
      <c r="AR58" s="18" t="n"/>
      <c r="AS58" s="18" t="n"/>
      <c r="AT58" s="18" t="n"/>
      <c r="AU58" s="18" t="n"/>
      <c r="AV58" s="18" t="n"/>
      <c r="AW58" s="18" t="n"/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18" t="n"/>
      <c r="BU58" s="18" t="n"/>
      <c r="BV58" s="18" t="n"/>
      <c r="BW58" s="18" t="n"/>
      <c r="BX58" s="18" t="n"/>
      <c r="BY58" s="18" t="n"/>
      <c r="BZ58" s="18" t="n"/>
      <c r="CA58" s="18" t="n"/>
      <c r="CB58" s="18" t="n"/>
      <c r="CC58" s="18" t="n"/>
      <c r="CD58" s="18" t="n"/>
      <c r="CE58" s="18" t="n"/>
      <c r="CF58" s="18" t="n"/>
      <c r="CG58" s="18" t="n"/>
      <c r="CH58" s="18" t="n"/>
      <c r="CI58" s="18" t="n"/>
      <c r="CJ58" s="18" t="n"/>
      <c r="CK58" s="18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18" t="n"/>
      <c r="DP58" s="18" t="n"/>
      <c r="DQ58" s="18" t="n"/>
      <c r="DR58" s="18" t="n"/>
      <c r="DS58" s="18" t="n"/>
      <c r="DT58" s="18" t="n"/>
    </row>
    <row r="59">
      <c r="A59" s="18">
        <f>'Schedule_Data_Option_A'!A60</f>
        <v/>
      </c>
      <c r="B59" s="18">
        <f>'Schedule_Data_Option_A'!B60</f>
        <v/>
      </c>
      <c r="C59" s="18">
        <f>'Schedule_Data_Option_A'!C60</f>
        <v/>
      </c>
      <c r="D59" s="38">
        <f>'Schedule_Data_Option_A'!D60</f>
        <v/>
      </c>
      <c r="E59" s="18" t="n"/>
      <c r="F59" s="18" t="n"/>
      <c r="G59" s="18" t="n"/>
      <c r="H59" s="18" t="n"/>
      <c r="I59" s="18" t="n"/>
      <c r="J59" s="18" t="n"/>
      <c r="K59" s="18" t="n"/>
      <c r="L59" s="18" t="n"/>
      <c r="M59" s="18" t="n"/>
      <c r="N59" s="18" t="n"/>
      <c r="O59" s="18" t="n"/>
      <c r="P59" s="18" t="n"/>
      <c r="Q59" s="18" t="n"/>
      <c r="R59" s="18" t="n"/>
      <c r="S59" s="18" t="n"/>
      <c r="T59" s="18" t="n"/>
      <c r="U59" s="18" t="n"/>
      <c r="V59" s="18" t="n"/>
      <c r="W59" s="38" t="n"/>
      <c r="X59" s="18" t="n"/>
      <c r="Y59" s="18" t="n"/>
      <c r="Z59" s="18" t="n"/>
      <c r="AA59" s="18" t="n"/>
      <c r="AB59" s="18" t="n"/>
      <c r="AC59" s="18" t="n"/>
      <c r="AD59" s="18" t="n"/>
      <c r="AE59" s="18" t="n"/>
      <c r="AF59" s="18" t="n"/>
      <c r="AG59" s="18" t="n"/>
      <c r="AH59" s="18" t="n"/>
      <c r="AI59" s="18" t="n"/>
      <c r="AJ59" s="18" t="n"/>
      <c r="AK59" s="18" t="n"/>
      <c r="AL59" s="18" t="n"/>
      <c r="AM59" s="18" t="n"/>
      <c r="AN59" s="18" t="n"/>
      <c r="AO59" s="18" t="n"/>
      <c r="AP59" s="18" t="n"/>
      <c r="AQ59" s="18" t="n"/>
      <c r="AR59" s="18" t="n"/>
      <c r="AS59" s="18" t="n"/>
      <c r="AT59" s="18" t="n"/>
      <c r="AU59" s="18" t="n"/>
      <c r="AV59" s="18" t="n"/>
      <c r="AW59" s="18" t="n"/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18" t="n"/>
      <c r="BU59" s="18" t="n"/>
      <c r="BV59" s="18" t="n"/>
      <c r="BW59" s="18" t="n"/>
      <c r="BX59" s="18" t="n"/>
      <c r="BY59" s="18" t="n"/>
      <c r="BZ59" s="18" t="n"/>
      <c r="CA59" s="18" t="n"/>
      <c r="CB59" s="18" t="n"/>
      <c r="CC59" s="18" t="n"/>
      <c r="CD59" s="18" t="n"/>
      <c r="CE59" s="18" t="n"/>
      <c r="CF59" s="18" t="n"/>
      <c r="CG59" s="18" t="n"/>
      <c r="CH59" s="18" t="n"/>
      <c r="CI59" s="18" t="n"/>
      <c r="CJ59" s="18" t="n"/>
      <c r="CK59" s="18" t="n"/>
      <c r="CL59" s="18" t="n"/>
      <c r="CM59" s="18" t="n"/>
      <c r="CN59" s="18" t="n"/>
      <c r="CO59" s="18" t="n"/>
      <c r="CP59" s="18" t="n"/>
      <c r="CQ59" s="18" t="n"/>
      <c r="CR59" s="18" t="n"/>
      <c r="CS59" s="18" t="n"/>
      <c r="CT59" s="18" t="n"/>
      <c r="CU59" s="18" t="n"/>
      <c r="CV59" s="18" t="n"/>
      <c r="CW59" s="18" t="n"/>
      <c r="CX59" s="18" t="n"/>
      <c r="CY59" s="18" t="n"/>
      <c r="CZ59" s="18" t="n"/>
      <c r="DA59" s="18" t="n"/>
      <c r="DB59" s="18" t="n"/>
      <c r="DC59" s="18" t="n"/>
      <c r="DD59" s="18" t="n"/>
      <c r="DE59" s="18" t="n"/>
      <c r="DF59" s="18" t="n"/>
      <c r="DG59" s="18" t="n"/>
      <c r="DH59" s="18" t="n"/>
      <c r="DI59" s="18" t="n"/>
      <c r="DJ59" s="18" t="n"/>
      <c r="DK59" s="18" t="n"/>
      <c r="DL59" s="18" t="n"/>
      <c r="DM59" s="18" t="n"/>
      <c r="DN59" s="18" t="n"/>
      <c r="DO59" s="18" t="n"/>
      <c r="DP59" s="18" t="n"/>
      <c r="DQ59" s="18" t="n"/>
      <c r="DR59" s="18" t="n"/>
      <c r="DS59" s="18" t="n"/>
      <c r="DT59" s="18" t="n"/>
    </row>
    <row r="60">
      <c r="A60" s="18">
        <f>'Schedule_Data_Option_A'!A61</f>
        <v/>
      </c>
      <c r="B60" s="18">
        <f>'Schedule_Data_Option_A'!B61</f>
        <v/>
      </c>
      <c r="C60" s="18">
        <f>'Schedule_Data_Option_A'!C61</f>
        <v/>
      </c>
      <c r="D60" s="21">
        <f>'Schedule_Data_Option_A'!D61</f>
        <v/>
      </c>
      <c r="E60" s="18" t="n"/>
      <c r="F60" s="18" t="n"/>
      <c r="G60" s="18" t="n"/>
      <c r="H60" s="18" t="n"/>
      <c r="I60" s="18" t="n"/>
      <c r="J60" s="18" t="n"/>
      <c r="K60" s="18" t="n"/>
      <c r="L60" s="18" t="n"/>
      <c r="M60" s="18" t="n"/>
      <c r="N60" s="18" t="n"/>
      <c r="O60" s="18" t="n"/>
      <c r="P60" s="36" t="inlineStr">
        <is>
          <t>*</t>
        </is>
      </c>
      <c r="Q60" s="18" t="n"/>
      <c r="R60" s="18" t="n"/>
      <c r="S60" s="18" t="n"/>
      <c r="T60" s="18" t="n"/>
      <c r="U60" s="18" t="n"/>
      <c r="V60" s="18" t="n"/>
      <c r="W60" s="18" t="n"/>
      <c r="X60" s="18" t="n"/>
      <c r="Y60" s="18" t="n"/>
      <c r="Z60" s="18" t="n"/>
      <c r="AA60" s="18" t="n"/>
      <c r="AB60" s="18" t="n"/>
      <c r="AC60" s="18" t="n"/>
      <c r="AD60" s="18" t="n"/>
      <c r="AE60" s="18" t="n"/>
      <c r="AF60" s="18" t="n"/>
      <c r="AG60" s="18" t="n"/>
      <c r="AH60" s="18" t="n"/>
      <c r="AI60" s="18" t="n"/>
      <c r="AJ60" s="18" t="n"/>
      <c r="AK60" s="18" t="n"/>
      <c r="AL60" s="18" t="n"/>
      <c r="AM60" s="18" t="n"/>
      <c r="AN60" s="18" t="n"/>
      <c r="AO60" s="18" t="n"/>
      <c r="AP60" s="18" t="n"/>
      <c r="AQ60" s="18" t="n"/>
      <c r="AR60" s="18" t="n"/>
      <c r="AS60" s="18" t="n"/>
      <c r="AT60" s="18" t="n"/>
      <c r="AU60" s="18" t="n"/>
      <c r="AV60" s="18" t="n"/>
      <c r="AW60" s="18" t="n"/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18" t="n"/>
      <c r="BU60" s="18" t="n"/>
      <c r="BV60" s="18" t="n"/>
      <c r="BW60" s="18" t="n"/>
      <c r="BX60" s="18" t="n"/>
      <c r="BY60" s="18" t="n"/>
      <c r="BZ60" s="18" t="n"/>
      <c r="CA60" s="18" t="n"/>
      <c r="CB60" s="18" t="n"/>
      <c r="CC60" s="18" t="n"/>
      <c r="CD60" s="18" t="n"/>
      <c r="CE60" s="18" t="n"/>
      <c r="CF60" s="18" t="n"/>
      <c r="CG60" s="18" t="n"/>
      <c r="CH60" s="18" t="n"/>
      <c r="CI60" s="18" t="n"/>
      <c r="CJ60" s="18" t="n"/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</row>
    <row r="61">
      <c r="A61" s="18">
        <f>'Schedule_Data_Option_A'!A62</f>
        <v/>
      </c>
      <c r="B61" s="18">
        <f>'Schedule_Data_Option_A'!B62</f>
        <v/>
      </c>
      <c r="C61" s="18">
        <f>'Schedule_Data_Option_A'!C62</f>
        <v/>
      </c>
      <c r="D61" s="22">
        <f>'Schedule_Data_Option_A'!D62</f>
        <v/>
      </c>
      <c r="E61" s="18" t="n"/>
      <c r="F61" s="18" t="n"/>
      <c r="G61" s="18" t="n"/>
      <c r="H61" s="18" t="n"/>
      <c r="I61" s="18" t="n"/>
      <c r="J61" s="18" t="n"/>
      <c r="K61" s="18" t="n"/>
      <c r="L61" s="18" t="n"/>
      <c r="M61" s="18" t="n"/>
      <c r="N61" s="18" t="n"/>
      <c r="O61" s="18" t="n"/>
      <c r="P61" s="22" t="n"/>
      <c r="Q61" s="18" t="n"/>
      <c r="R61" s="18" t="n"/>
      <c r="S61" s="18" t="n"/>
      <c r="T61" s="18" t="n"/>
      <c r="U61" s="18" t="n"/>
      <c r="V61" s="18" t="n"/>
      <c r="W61" s="18" t="n"/>
      <c r="X61" s="18" t="n"/>
      <c r="Y61" s="18" t="n"/>
      <c r="Z61" s="18" t="n"/>
      <c r="AA61" s="18" t="n"/>
      <c r="AB61" s="18" t="n"/>
      <c r="AC61" s="18" t="n"/>
      <c r="AD61" s="18" t="n"/>
      <c r="AE61" s="18" t="n"/>
      <c r="AF61" s="18" t="n"/>
      <c r="AG61" s="18" t="n"/>
      <c r="AH61" s="18" t="n"/>
      <c r="AI61" s="18" t="n"/>
      <c r="AJ61" s="18" t="n"/>
      <c r="AK61" s="18" t="n"/>
      <c r="AL61" s="18" t="n"/>
      <c r="AM61" s="18" t="n"/>
      <c r="AN61" s="18" t="n"/>
      <c r="AO61" s="18" t="n"/>
      <c r="AP61" s="18" t="n"/>
      <c r="AQ61" s="18" t="n"/>
      <c r="AR61" s="18" t="n"/>
      <c r="AS61" s="18" t="n"/>
      <c r="AT61" s="18" t="n"/>
      <c r="AU61" s="18" t="n"/>
      <c r="AV61" s="18" t="n"/>
      <c r="AW61" s="18" t="n"/>
      <c r="AX61" s="18" t="n"/>
      <c r="AY61" s="18" t="n"/>
      <c r="AZ61" s="18" t="n"/>
      <c r="BA61" s="18" t="n"/>
      <c r="BB61" s="18" t="n"/>
      <c r="BC61" s="18" t="n"/>
      <c r="BD61" s="18" t="n"/>
      <c r="BE61" s="18" t="n"/>
      <c r="BF61" s="18" t="n"/>
      <c r="BG61" s="18" t="n"/>
      <c r="BH61" s="18" t="n"/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18" t="n"/>
      <c r="BU61" s="18" t="n"/>
      <c r="BV61" s="18" t="n"/>
      <c r="BW61" s="18" t="n"/>
      <c r="BX61" s="18" t="n"/>
      <c r="BY61" s="18" t="n"/>
      <c r="BZ61" s="18" t="n"/>
      <c r="CA61" s="18" t="n"/>
      <c r="CB61" s="18" t="n"/>
      <c r="CC61" s="18" t="n"/>
      <c r="CD61" s="18" t="n"/>
      <c r="CE61" s="18" t="n"/>
      <c r="CF61" s="18" t="n"/>
      <c r="CG61" s="18" t="n"/>
      <c r="CH61" s="18" t="n"/>
      <c r="CI61" s="18" t="n"/>
      <c r="CJ61" s="18" t="n"/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</row>
    <row r="62">
      <c r="A62" s="18">
        <f>'Schedule_Data_Option_A'!A63</f>
        <v/>
      </c>
      <c r="B62" s="18">
        <f>'Schedule_Data_Option_A'!B63</f>
        <v/>
      </c>
      <c r="C62" s="18">
        <f>'Schedule_Data_Option_A'!C63</f>
        <v/>
      </c>
      <c r="D62" s="21">
        <f>'Schedule_Data_Option_A'!D63</f>
        <v/>
      </c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  <c r="AA62" s="18" t="n"/>
      <c r="AB62" s="18" t="n"/>
      <c r="AC62" s="18" t="n"/>
      <c r="AD62" s="18" t="n"/>
      <c r="AE62" s="18" t="n"/>
      <c r="AF62" s="18" t="n"/>
      <c r="AG62" s="18" t="n"/>
      <c r="AH62" s="18" t="n"/>
      <c r="AI62" s="18" t="n"/>
      <c r="AJ62" s="18" t="n"/>
      <c r="AK62" s="18" t="n"/>
      <c r="AL62" s="18" t="n"/>
      <c r="AM62" s="18" t="n"/>
      <c r="AN62" s="18" t="n"/>
      <c r="AO62" s="18" t="n"/>
      <c r="AP62" s="18" t="n"/>
      <c r="AQ62" s="18" t="n"/>
      <c r="AR62" s="18" t="n"/>
      <c r="AS62" s="18" t="n"/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18" t="n"/>
      <c r="BU62" s="18" t="n"/>
      <c r="BV62" s="18" t="n"/>
      <c r="BW62" s="18" t="n"/>
      <c r="BX62" s="18" t="n"/>
      <c r="BY62" s="18" t="n"/>
      <c r="BZ62" s="18" t="n"/>
      <c r="CA62" s="18" t="n"/>
      <c r="CB62" s="18" t="n"/>
      <c r="CC62" s="18" t="n"/>
      <c r="CD62" s="18" t="n"/>
      <c r="CE62" s="18" t="n"/>
      <c r="CF62" s="18" t="n"/>
      <c r="CG62" s="18" t="n"/>
      <c r="CH62" s="18" t="n"/>
      <c r="CI62" s="18" t="n"/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</row>
    <row r="63">
      <c r="A63" s="18">
        <f>'Schedule_Data_Option_A'!A64</f>
        <v/>
      </c>
      <c r="B63" s="18">
        <f>'Schedule_Data_Option_A'!B64</f>
        <v/>
      </c>
      <c r="C63" s="18">
        <f>'Schedule_Data_Option_A'!C64</f>
        <v/>
      </c>
      <c r="D63" s="21">
        <f>'Schedule_Data_Option_A'!D64</f>
        <v/>
      </c>
      <c r="E63" s="18" t="n"/>
      <c r="F63" s="18" t="n"/>
      <c r="G63" s="18" t="n"/>
      <c r="H63" s="18" t="n"/>
      <c r="I63" s="18" t="n"/>
      <c r="J63" s="18" t="n"/>
      <c r="K63" s="18" t="n"/>
      <c r="L63" s="18" t="n"/>
      <c r="M63" s="18" t="n"/>
      <c r="N63" s="18" t="n"/>
      <c r="O63" s="18" t="n"/>
      <c r="P63" s="18" t="n"/>
      <c r="Q63" s="18" t="n"/>
      <c r="R63" s="18" t="n"/>
      <c r="S63" s="18" t="n"/>
      <c r="T63" s="18" t="n"/>
      <c r="U63" s="18" t="n"/>
      <c r="V63" s="18" t="n"/>
      <c r="W63" s="18" t="n"/>
      <c r="X63" s="18" t="n"/>
      <c r="Y63" s="18" t="n"/>
      <c r="Z63" s="18" t="n"/>
      <c r="AA63" s="18" t="n"/>
      <c r="AB63" s="18" t="n"/>
      <c r="AC63" s="18" t="n"/>
      <c r="AD63" s="18" t="n"/>
      <c r="AE63" s="18" t="n"/>
      <c r="AF63" s="18" t="n"/>
      <c r="AG63" s="18" t="n"/>
      <c r="AH63" s="18" t="n"/>
      <c r="AI63" s="18" t="n"/>
      <c r="AJ63" s="18" t="n"/>
      <c r="AK63" s="18" t="n"/>
      <c r="AL63" s="18" t="n"/>
      <c r="AM63" s="18" t="n"/>
      <c r="AN63" s="18" t="n"/>
      <c r="AO63" s="18" t="n"/>
      <c r="AP63" s="18" t="n"/>
      <c r="AQ63" s="18" t="n"/>
      <c r="AR63" s="18" t="n"/>
      <c r="AS63" s="18" t="n"/>
      <c r="AT63" s="18" t="n"/>
      <c r="AU63" s="18" t="n"/>
      <c r="AV63" s="18" t="n"/>
      <c r="AW63" s="18" t="n"/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18" t="n"/>
      <c r="BU63" s="18" t="n"/>
      <c r="BV63" s="18" t="n"/>
      <c r="BW63" s="18" t="n"/>
      <c r="BX63" s="18" t="n"/>
      <c r="BY63" s="18" t="n"/>
      <c r="BZ63" s="18" t="n"/>
      <c r="CA63" s="18" t="n"/>
      <c r="CB63" s="18" t="n"/>
      <c r="CC63" s="18" t="n"/>
      <c r="CD63" s="18" t="n"/>
      <c r="CE63" s="18" t="n"/>
      <c r="CF63" s="18" t="n"/>
      <c r="CG63" s="18" t="n"/>
      <c r="CH63" s="18" t="n"/>
      <c r="CI63" s="18" t="n"/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</row>
    <row r="64">
      <c r="A64" s="18">
        <f>'Schedule_Data_Option_A'!A65</f>
        <v/>
      </c>
      <c r="B64" s="18">
        <f>'Schedule_Data_Option_A'!B65</f>
        <v/>
      </c>
      <c r="C64" s="18">
        <f>'Schedule_Data_Option_A'!C65</f>
        <v/>
      </c>
      <c r="D64" s="23">
        <f>'Schedule_Data_Option_A'!D65</f>
        <v/>
      </c>
      <c r="E64" s="18" t="n"/>
      <c r="F64" s="18" t="n"/>
      <c r="G64" s="18" t="n"/>
      <c r="H64" s="18" t="n"/>
      <c r="I64" s="18" t="n"/>
      <c r="J64" s="18" t="n"/>
      <c r="K64" s="18" t="n"/>
      <c r="L64" s="18" t="n"/>
      <c r="M64" s="18" t="n"/>
      <c r="N64" s="18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  <c r="Y64" s="18" t="n"/>
      <c r="Z64" s="18" t="n"/>
      <c r="AA64" s="18" t="n"/>
      <c r="AB64" s="18" t="n"/>
      <c r="AC64" s="18" t="n"/>
      <c r="AD64" s="18" t="n"/>
      <c r="AE64" s="18" t="n"/>
      <c r="AF64" s="18" t="n"/>
      <c r="AG64" s="18" t="n"/>
      <c r="AH64" s="18" t="n"/>
      <c r="AI64" s="18" t="n"/>
      <c r="AJ64" s="18" t="n"/>
      <c r="AK64" s="18" t="n"/>
      <c r="AL64" s="18" t="n"/>
      <c r="AM64" s="18" t="n"/>
      <c r="AN64" s="18" t="n"/>
      <c r="AO64" s="18" t="n"/>
      <c r="AP64" s="18" t="n"/>
      <c r="AQ64" s="18" t="n"/>
      <c r="AR64" s="18" t="n"/>
      <c r="AS64" s="18" t="n"/>
      <c r="AT64" s="18" t="n"/>
      <c r="AU64" s="18" t="n"/>
      <c r="AV64" s="18" t="n"/>
      <c r="AW64" s="18" t="n"/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18" t="n"/>
      <c r="BU64" s="18" t="n"/>
      <c r="BV64" s="18" t="n"/>
      <c r="BW64" s="18" t="n"/>
      <c r="BX64" s="18" t="n"/>
      <c r="BY64" s="18" t="n"/>
      <c r="BZ64" s="18" t="n"/>
      <c r="CA64" s="18" t="n"/>
      <c r="CB64" s="18" t="n"/>
      <c r="CC64" s="18" t="n"/>
      <c r="CD64" s="18" t="n"/>
      <c r="CE64" s="18" t="n"/>
      <c r="CF64" s="18" t="n"/>
      <c r="CG64" s="18" t="n"/>
      <c r="CH64" s="18" t="n"/>
      <c r="CI64" s="18" t="n"/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</row>
    <row r="65">
      <c r="A65" s="18">
        <f>'Schedule_Data_Option_A'!A66</f>
        <v/>
      </c>
      <c r="B65" s="18">
        <f>'Schedule_Data_Option_A'!B66</f>
        <v/>
      </c>
      <c r="C65" s="18">
        <f>'Schedule_Data_Option_A'!C66</f>
        <v/>
      </c>
      <c r="D65" s="24">
        <f>'Schedule_Data_Option_A'!D66</f>
        <v/>
      </c>
      <c r="E65" s="18" t="n"/>
      <c r="F65" s="18" t="n"/>
      <c r="G65" s="18" t="n"/>
      <c r="H65" s="18" t="n"/>
      <c r="I65" s="18" t="n"/>
      <c r="J65" s="18" t="n"/>
      <c r="K65" s="18" t="n"/>
      <c r="L65" s="18" t="n"/>
      <c r="M65" s="18" t="n"/>
      <c r="N65" s="18" t="n"/>
      <c r="O65" s="18" t="n"/>
      <c r="P65" s="18" t="n"/>
      <c r="Q65" s="24" t="n"/>
      <c r="R65" s="18" t="n"/>
      <c r="S65" s="18" t="n"/>
      <c r="T65" s="18" t="n"/>
      <c r="U65" s="18" t="n"/>
      <c r="V65" s="18" t="n"/>
      <c r="W65" s="18" t="n"/>
      <c r="X65" s="18" t="n"/>
      <c r="Y65" s="18" t="n"/>
      <c r="Z65" s="18" t="n"/>
      <c r="AA65" s="18" t="n"/>
      <c r="AB65" s="18" t="n"/>
      <c r="AC65" s="18" t="n"/>
      <c r="AD65" s="18" t="n"/>
      <c r="AE65" s="18" t="n"/>
      <c r="AF65" s="18" t="n"/>
      <c r="AG65" s="18" t="n"/>
      <c r="AH65" s="18" t="n"/>
      <c r="AI65" s="18" t="n"/>
      <c r="AJ65" s="18" t="n"/>
      <c r="AK65" s="18" t="n"/>
      <c r="AL65" s="18" t="n"/>
      <c r="AM65" s="18" t="n"/>
      <c r="AN65" s="18" t="n"/>
      <c r="AO65" s="18" t="n"/>
      <c r="AP65" s="18" t="n"/>
      <c r="AQ65" s="18" t="n"/>
      <c r="AR65" s="18" t="n"/>
      <c r="AS65" s="18" t="n"/>
      <c r="AT65" s="18" t="n"/>
      <c r="AU65" s="18" t="n"/>
      <c r="AV65" s="18" t="n"/>
      <c r="AW65" s="18" t="n"/>
      <c r="AX65" s="18" t="n"/>
      <c r="AY65" s="18" t="n"/>
      <c r="AZ65" s="18" t="n"/>
      <c r="BA65" s="18" t="n"/>
      <c r="BB65" s="18" t="n"/>
      <c r="BC65" s="18" t="n"/>
      <c r="BD65" s="18" t="n"/>
      <c r="BE65" s="18" t="n"/>
      <c r="BF65" s="18" t="n"/>
      <c r="BG65" s="18" t="n"/>
      <c r="BH65" s="18" t="n"/>
      <c r="BI65" s="18" t="n"/>
      <c r="BJ65" s="18" t="n"/>
      <c r="BK65" s="18" t="n"/>
      <c r="BL65" s="18" t="n"/>
      <c r="BM65" s="18" t="n"/>
      <c r="BN65" s="18" t="n"/>
      <c r="BO65" s="18" t="n"/>
      <c r="BP65" s="18" t="n"/>
      <c r="BQ65" s="18" t="n"/>
      <c r="BR65" s="18" t="n"/>
      <c r="BS65" s="18" t="n"/>
      <c r="BT65" s="18" t="n"/>
      <c r="BU65" s="18" t="n"/>
      <c r="BV65" s="18" t="n"/>
      <c r="BW65" s="18" t="n"/>
      <c r="BX65" s="18" t="n"/>
      <c r="BY65" s="18" t="n"/>
      <c r="BZ65" s="18" t="n"/>
      <c r="CA65" s="18" t="n"/>
      <c r="CB65" s="18" t="n"/>
      <c r="CC65" s="18" t="n"/>
      <c r="CD65" s="18" t="n"/>
      <c r="CE65" s="18" t="n"/>
      <c r="CF65" s="18" t="n"/>
      <c r="CG65" s="18" t="n"/>
      <c r="CH65" s="18" t="n"/>
      <c r="CI65" s="18" t="n"/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</row>
    <row r="66">
      <c r="A66" s="18">
        <f>'Schedule_Data_Option_A'!A67</f>
        <v/>
      </c>
      <c r="B66" s="18">
        <f>'Schedule_Data_Option_A'!B67</f>
        <v/>
      </c>
      <c r="C66" s="18">
        <f>'Schedule_Data_Option_A'!C67</f>
        <v/>
      </c>
      <c r="D66" s="21">
        <f>'Schedule_Data_Option_A'!D67</f>
        <v/>
      </c>
      <c r="E66" s="18" t="n"/>
      <c r="F66" s="18" t="n"/>
      <c r="G66" s="18" t="n"/>
      <c r="H66" s="18" t="n"/>
      <c r="I66" s="18" t="n"/>
      <c r="J66" s="18" t="n"/>
      <c r="K66" s="18" t="n"/>
      <c r="L66" s="18" t="n"/>
      <c r="M66" s="18" t="n"/>
      <c r="N66" s="18" t="n"/>
      <c r="O66" s="18" t="n"/>
      <c r="P66" s="18" t="n"/>
      <c r="Q66" s="21" t="n"/>
      <c r="R66" s="18" t="n"/>
      <c r="S66" s="18" t="n"/>
      <c r="T66" s="18" t="n"/>
      <c r="U66" s="18" t="n"/>
      <c r="V66" s="18" t="n"/>
      <c r="W66" s="18" t="n"/>
      <c r="X66" s="18" t="n"/>
      <c r="Y66" s="18" t="n"/>
      <c r="Z66" s="18" t="n"/>
      <c r="AA66" s="18" t="n"/>
      <c r="AB66" s="18" t="n"/>
      <c r="AC66" s="18" t="n"/>
      <c r="AD66" s="18" t="n"/>
      <c r="AE66" s="18" t="n"/>
      <c r="AF66" s="18" t="n"/>
      <c r="AG66" s="18" t="n"/>
      <c r="AH66" s="18" t="n"/>
      <c r="AI66" s="18" t="n"/>
      <c r="AJ66" s="18" t="n"/>
      <c r="AK66" s="18" t="n"/>
      <c r="AL66" s="18" t="n"/>
      <c r="AM66" s="18" t="n"/>
      <c r="AN66" s="18" t="n"/>
      <c r="AO66" s="18" t="n"/>
      <c r="AP66" s="18" t="n"/>
      <c r="AQ66" s="18" t="n"/>
      <c r="AR66" s="18" t="n"/>
      <c r="AS66" s="18" t="n"/>
      <c r="AT66" s="18" t="n"/>
      <c r="AU66" s="18" t="n"/>
      <c r="AV66" s="18" t="n"/>
      <c r="AW66" s="18" t="n"/>
      <c r="AX66" s="18" t="n"/>
      <c r="AY66" s="18" t="n"/>
      <c r="AZ66" s="18" t="n"/>
      <c r="BA66" s="18" t="n"/>
      <c r="BB66" s="18" t="n"/>
      <c r="BC66" s="18" t="n"/>
      <c r="BD66" s="18" t="n"/>
      <c r="BE66" s="18" t="n"/>
      <c r="BF66" s="18" t="n"/>
      <c r="BG66" s="18" t="n"/>
      <c r="BH66" s="18" t="n"/>
      <c r="BI66" s="18" t="n"/>
      <c r="BJ66" s="18" t="n"/>
      <c r="BK66" s="18" t="n"/>
      <c r="BL66" s="18" t="n"/>
      <c r="BM66" s="18" t="n"/>
      <c r="BN66" s="18" t="n"/>
      <c r="BO66" s="18" t="n"/>
      <c r="BP66" s="18" t="n"/>
      <c r="BQ66" s="18" t="n"/>
      <c r="BR66" s="18" t="n"/>
      <c r="BS66" s="18" t="n"/>
      <c r="BT66" s="18" t="n"/>
      <c r="BU66" s="18" t="n"/>
      <c r="BV66" s="18" t="n"/>
      <c r="BW66" s="18" t="n"/>
      <c r="BX66" s="18" t="n"/>
      <c r="BY66" s="18" t="n"/>
      <c r="BZ66" s="18" t="n"/>
      <c r="CA66" s="18" t="n"/>
      <c r="CB66" s="18" t="n"/>
      <c r="CC66" s="18" t="n"/>
      <c r="CD66" s="18" t="n"/>
      <c r="CE66" s="18" t="n"/>
      <c r="CF66" s="18" t="n"/>
      <c r="CG66" s="18" t="n"/>
      <c r="CH66" s="18" t="n"/>
      <c r="CI66" s="18" t="n"/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</row>
    <row r="67">
      <c r="A67" s="18">
        <f>'Schedule_Data_Option_A'!A68</f>
        <v/>
      </c>
      <c r="B67" s="18">
        <f>'Schedule_Data_Option_A'!B68</f>
        <v/>
      </c>
      <c r="C67" s="18">
        <f>'Schedule_Data_Option_A'!C68</f>
        <v/>
      </c>
      <c r="D67" s="21">
        <f>'Schedule_Data_Option_A'!D68</f>
        <v/>
      </c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  <c r="AA67" s="18" t="n"/>
      <c r="AB67" s="18" t="n"/>
      <c r="AC67" s="18" t="n"/>
      <c r="AD67" s="18" t="n"/>
      <c r="AE67" s="18" t="n"/>
      <c r="AF67" s="18" t="n"/>
      <c r="AG67" s="18" t="n"/>
      <c r="AH67" s="18" t="n"/>
      <c r="AI67" s="18" t="n"/>
      <c r="AJ67" s="18" t="n"/>
      <c r="AK67" s="18" t="n"/>
      <c r="AL67" s="18" t="n"/>
      <c r="AM67" s="18" t="n"/>
      <c r="AN67" s="18" t="n"/>
      <c r="AO67" s="18" t="n"/>
      <c r="AP67" s="18" t="n"/>
      <c r="AQ67" s="18" t="n"/>
      <c r="AR67" s="18" t="n"/>
      <c r="AS67" s="18" t="n"/>
      <c r="AT67" s="18" t="n"/>
      <c r="AU67" s="18" t="n"/>
      <c r="AV67" s="18" t="n"/>
      <c r="AW67" s="18" t="n"/>
      <c r="AX67" s="18" t="n"/>
      <c r="AY67" s="18" t="n"/>
      <c r="AZ67" s="18" t="n"/>
      <c r="BA67" s="18" t="n"/>
      <c r="BB67" s="18" t="n"/>
      <c r="BC67" s="18" t="n"/>
      <c r="BD67" s="18" t="n"/>
      <c r="BE67" s="18" t="n"/>
      <c r="BF67" s="18" t="n"/>
      <c r="BG67" s="18" t="n"/>
      <c r="BH67" s="18" t="n"/>
      <c r="BI67" s="18" t="n"/>
      <c r="BJ67" s="18" t="n"/>
      <c r="BK67" s="18" t="n"/>
      <c r="BL67" s="18" t="n"/>
      <c r="BM67" s="18" t="n"/>
      <c r="BN67" s="18" t="n"/>
      <c r="BO67" s="18" t="n"/>
      <c r="BP67" s="18" t="n"/>
      <c r="BQ67" s="18" t="n"/>
      <c r="BR67" s="18" t="n"/>
      <c r="BS67" s="18" t="n"/>
      <c r="BT67" s="18" t="n"/>
      <c r="BU67" s="18" t="n"/>
      <c r="BV67" s="18" t="n"/>
      <c r="BW67" s="18" t="n"/>
      <c r="BX67" s="18" t="n"/>
      <c r="BY67" s="18" t="n"/>
      <c r="BZ67" s="18" t="n"/>
      <c r="CA67" s="18" t="n"/>
      <c r="CB67" s="18" t="n"/>
      <c r="CC67" s="18" t="n"/>
      <c r="CD67" s="18" t="n"/>
      <c r="CE67" s="18" t="n"/>
      <c r="CF67" s="18" t="n"/>
      <c r="CG67" s="18" t="n"/>
      <c r="CH67" s="18" t="n"/>
      <c r="CI67" s="18" t="n"/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</row>
    <row r="68">
      <c r="A68" s="18">
        <f>'Schedule_Data_Option_A'!A69</f>
        <v/>
      </c>
      <c r="B68" s="18">
        <f>'Schedule_Data_Option_A'!B69</f>
        <v/>
      </c>
      <c r="C68" s="18">
        <f>'Schedule_Data_Option_A'!C69</f>
        <v/>
      </c>
      <c r="D68" s="21">
        <f>'Schedule_Data_Option_A'!D69</f>
        <v/>
      </c>
      <c r="E68" s="18" t="n"/>
      <c r="F68" s="18" t="n"/>
      <c r="G68" s="18" t="n"/>
      <c r="H68" s="18" t="n"/>
      <c r="I68" s="18" t="n"/>
      <c r="J68" s="18" t="n"/>
      <c r="K68" s="18" t="n"/>
      <c r="L68" s="18" t="n"/>
      <c r="M68" s="18" t="n"/>
      <c r="N68" s="18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  <c r="Y68" s="18" t="n"/>
      <c r="Z68" s="18" t="n"/>
      <c r="AA68" s="18" t="n"/>
      <c r="AB68" s="18" t="n"/>
      <c r="AC68" s="18" t="n"/>
      <c r="AD68" s="18" t="n"/>
      <c r="AE68" s="18" t="n"/>
      <c r="AF68" s="18" t="n"/>
      <c r="AG68" s="18" t="n"/>
      <c r="AH68" s="18" t="n"/>
      <c r="AI68" s="18" t="n"/>
      <c r="AJ68" s="18" t="n"/>
      <c r="AK68" s="18" t="n"/>
      <c r="AL68" s="18" t="n"/>
      <c r="AM68" s="18" t="n"/>
      <c r="AN68" s="18" t="n"/>
      <c r="AO68" s="18" t="n"/>
      <c r="AP68" s="18" t="n"/>
      <c r="AQ68" s="18" t="n"/>
      <c r="AR68" s="18" t="n"/>
      <c r="AS68" s="18" t="n"/>
      <c r="AT68" s="18" t="n"/>
      <c r="AU68" s="18" t="n"/>
      <c r="AV68" s="18" t="n"/>
      <c r="AW68" s="18" t="n"/>
      <c r="AX68" s="18" t="n"/>
      <c r="AY68" s="18" t="n"/>
      <c r="AZ68" s="18" t="n"/>
      <c r="BA68" s="18" t="n"/>
      <c r="BB68" s="18" t="n"/>
      <c r="BC68" s="18" t="n"/>
      <c r="BD68" s="18" t="n"/>
      <c r="BE68" s="18" t="n"/>
      <c r="BF68" s="18" t="n"/>
      <c r="BG68" s="18" t="n"/>
      <c r="BH68" s="18" t="n"/>
      <c r="BI68" s="18" t="n"/>
      <c r="BJ68" s="18" t="n"/>
      <c r="BK68" s="18" t="n"/>
      <c r="BL68" s="18" t="n"/>
      <c r="BM68" s="18" t="n"/>
      <c r="BN68" s="18" t="n"/>
      <c r="BO68" s="18" t="n"/>
      <c r="BP68" s="18" t="n"/>
      <c r="BQ68" s="18" t="n"/>
      <c r="BR68" s="18" t="n"/>
      <c r="BS68" s="18" t="n"/>
      <c r="BT68" s="18" t="n"/>
      <c r="BU68" s="18" t="n"/>
      <c r="BV68" s="18" t="n"/>
      <c r="BW68" s="18" t="n"/>
      <c r="BX68" s="18" t="n"/>
      <c r="BY68" s="18" t="n"/>
      <c r="BZ68" s="18" t="n"/>
      <c r="CA68" s="18" t="n"/>
      <c r="CB68" s="18" t="n"/>
      <c r="CC68" s="18" t="n"/>
      <c r="CD68" s="18" t="n"/>
      <c r="CE68" s="18" t="n"/>
      <c r="CF68" s="18" t="n"/>
      <c r="CG68" s="18" t="n"/>
      <c r="CH68" s="18" t="n"/>
      <c r="CI68" s="18" t="n"/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</row>
    <row r="69">
      <c r="A69" s="18">
        <f>'Schedule_Data_Option_A'!A70</f>
        <v/>
      </c>
      <c r="B69" s="18">
        <f>'Schedule_Data_Option_A'!B70</f>
        <v/>
      </c>
      <c r="C69" s="18">
        <f>'Schedule_Data_Option_A'!C70</f>
        <v/>
      </c>
      <c r="D69" s="23">
        <f>'Schedule_Data_Option_A'!D70</f>
        <v/>
      </c>
      <c r="E69" s="18" t="n"/>
      <c r="F69" s="18" t="n"/>
      <c r="G69" s="18" t="n"/>
      <c r="H69" s="18" t="n"/>
      <c r="I69" s="18" t="n"/>
      <c r="J69" s="18" t="n"/>
      <c r="K69" s="18" t="n"/>
      <c r="L69" s="18" t="n"/>
      <c r="M69" s="18" t="n"/>
      <c r="N69" s="18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  <c r="Y69" s="18" t="n"/>
      <c r="Z69" s="18" t="n"/>
      <c r="AA69" s="18" t="n"/>
      <c r="AB69" s="18" t="n"/>
      <c r="AC69" s="18" t="n"/>
      <c r="AD69" s="18" t="n"/>
      <c r="AE69" s="18" t="n"/>
      <c r="AF69" s="18" t="n"/>
      <c r="AG69" s="18" t="n"/>
      <c r="AH69" s="18" t="n"/>
      <c r="AI69" s="18" t="n"/>
      <c r="AJ69" s="18" t="n"/>
      <c r="AK69" s="18" t="n"/>
      <c r="AL69" s="18" t="n"/>
      <c r="AM69" s="18" t="n"/>
      <c r="AN69" s="18" t="n"/>
      <c r="AO69" s="18" t="n"/>
      <c r="AP69" s="18" t="n"/>
      <c r="AQ69" s="18" t="n"/>
      <c r="AR69" s="18" t="n"/>
      <c r="AS69" s="18" t="n"/>
      <c r="AT69" s="18" t="n"/>
      <c r="AU69" s="18" t="n"/>
      <c r="AV69" s="18" t="n"/>
      <c r="AW69" s="18" t="n"/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/>
      <c r="BH69" s="18" t="n"/>
      <c r="BI69" s="18" t="n"/>
      <c r="BJ69" s="18" t="n"/>
      <c r="BK69" s="18" t="n"/>
      <c r="BL69" s="18" t="n"/>
      <c r="BM69" s="18" t="n"/>
      <c r="BN69" s="18" t="n"/>
      <c r="BO69" s="18" t="n"/>
      <c r="BP69" s="18" t="n"/>
      <c r="BQ69" s="18" t="n"/>
      <c r="BR69" s="18" t="n"/>
      <c r="BS69" s="18" t="n"/>
      <c r="BT69" s="18" t="n"/>
      <c r="BU69" s="18" t="n"/>
      <c r="BV69" s="18" t="n"/>
      <c r="BW69" s="18" t="n"/>
      <c r="BX69" s="18" t="n"/>
      <c r="BY69" s="18" t="n"/>
      <c r="BZ69" s="18" t="n"/>
      <c r="CA69" s="18" t="n"/>
      <c r="CB69" s="18" t="n"/>
      <c r="CC69" s="18" t="n"/>
      <c r="CD69" s="18" t="n"/>
      <c r="CE69" s="18" t="n"/>
      <c r="CF69" s="18" t="n"/>
      <c r="CG69" s="18" t="n"/>
      <c r="CH69" s="18" t="n"/>
      <c r="CI69" s="18" t="n"/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</row>
    <row r="70">
      <c r="A70" s="18">
        <f>'Schedule_Data_Option_A'!A71</f>
        <v/>
      </c>
      <c r="B70" s="18">
        <f>'Schedule_Data_Option_A'!B71</f>
        <v/>
      </c>
      <c r="C70" s="18">
        <f>'Schedule_Data_Option_A'!C71</f>
        <v/>
      </c>
      <c r="D70" s="24">
        <f>'Schedule_Data_Option_A'!D71</f>
        <v/>
      </c>
      <c r="E70" s="18" t="n"/>
      <c r="F70" s="18" t="n"/>
      <c r="G70" s="18" t="n"/>
      <c r="H70" s="18" t="n"/>
      <c r="I70" s="18" t="n"/>
      <c r="J70" s="18" t="n"/>
      <c r="K70" s="18" t="n"/>
      <c r="L70" s="18" t="n"/>
      <c r="M70" s="18" t="n"/>
      <c r="N70" s="18" t="n"/>
      <c r="O70" s="18" t="n"/>
      <c r="P70" s="18" t="n"/>
      <c r="Q70" s="18" t="n"/>
      <c r="R70" s="24" t="n"/>
      <c r="S70" s="18" t="n"/>
      <c r="T70" s="18" t="n"/>
      <c r="U70" s="18" t="n"/>
      <c r="V70" s="18" t="n"/>
      <c r="W70" s="18" t="n"/>
      <c r="X70" s="18" t="n"/>
      <c r="Y70" s="18" t="n"/>
      <c r="Z70" s="18" t="n"/>
      <c r="AA70" s="18" t="n"/>
      <c r="AB70" s="18" t="n"/>
      <c r="AC70" s="18" t="n"/>
      <c r="AD70" s="18" t="n"/>
      <c r="AE70" s="18" t="n"/>
      <c r="AF70" s="18" t="n"/>
      <c r="AG70" s="18" t="n"/>
      <c r="AH70" s="18" t="n"/>
      <c r="AI70" s="18" t="n"/>
      <c r="AJ70" s="18" t="n"/>
      <c r="AK70" s="18" t="n"/>
      <c r="AL70" s="18" t="n"/>
      <c r="AM70" s="18" t="n"/>
      <c r="AN70" s="18" t="n"/>
      <c r="AO70" s="18" t="n"/>
      <c r="AP70" s="18" t="n"/>
      <c r="AQ70" s="18" t="n"/>
      <c r="AR70" s="18" t="n"/>
      <c r="AS70" s="18" t="n"/>
      <c r="AT70" s="18" t="n"/>
      <c r="AU70" s="18" t="n"/>
      <c r="AV70" s="18" t="n"/>
      <c r="AW70" s="18" t="n"/>
      <c r="AX70" s="18" t="n"/>
      <c r="AY70" s="18" t="n"/>
      <c r="AZ70" s="18" t="n"/>
      <c r="BA70" s="18" t="n"/>
      <c r="BB70" s="18" t="n"/>
      <c r="BC70" s="18" t="n"/>
      <c r="BD70" s="18" t="n"/>
      <c r="BE70" s="18" t="n"/>
      <c r="BF70" s="18" t="n"/>
      <c r="BG70" s="18" t="n"/>
      <c r="BH70" s="18" t="n"/>
      <c r="BI70" s="18" t="n"/>
      <c r="BJ70" s="18" t="n"/>
      <c r="BK70" s="18" t="n"/>
      <c r="BL70" s="18" t="n"/>
      <c r="BM70" s="18" t="n"/>
      <c r="BN70" s="18" t="n"/>
      <c r="BO70" s="18" t="n"/>
      <c r="BP70" s="18" t="n"/>
      <c r="BQ70" s="18" t="n"/>
      <c r="BR70" s="18" t="n"/>
      <c r="BS70" s="18" t="n"/>
      <c r="BT70" s="18" t="n"/>
      <c r="BU70" s="18" t="n"/>
      <c r="BV70" s="18" t="n"/>
      <c r="BW70" s="18" t="n"/>
      <c r="BX70" s="18" t="n"/>
      <c r="BY70" s="18" t="n"/>
      <c r="BZ70" s="18" t="n"/>
      <c r="CA70" s="18" t="n"/>
      <c r="CB70" s="18" t="n"/>
      <c r="CC70" s="18" t="n"/>
      <c r="CD70" s="18" t="n"/>
      <c r="CE70" s="18" t="n"/>
      <c r="CF70" s="18" t="n"/>
      <c r="CG70" s="18" t="n"/>
      <c r="CH70" s="18" t="n"/>
      <c r="CI70" s="18" t="n"/>
      <c r="CJ70" s="18" t="n"/>
      <c r="CK70" s="18" t="n"/>
      <c r="CL70" s="18" t="n"/>
      <c r="CM70" s="18" t="n"/>
      <c r="CN70" s="18" t="n"/>
      <c r="CO70" s="18" t="n"/>
      <c r="CP70" s="18" t="n"/>
      <c r="CQ70" s="18" t="n"/>
      <c r="CR70" s="18" t="n"/>
      <c r="CS70" s="18" t="n"/>
      <c r="CT70" s="18" t="n"/>
      <c r="CU70" s="18" t="n"/>
      <c r="CV70" s="18" t="n"/>
      <c r="CW70" s="18" t="n"/>
      <c r="CX70" s="18" t="n"/>
      <c r="CY70" s="18" t="n"/>
      <c r="CZ70" s="18" t="n"/>
      <c r="DA70" s="18" t="n"/>
      <c r="DB70" s="18" t="n"/>
      <c r="DC70" s="18" t="n"/>
      <c r="DD70" s="18" t="n"/>
      <c r="DE70" s="18" t="n"/>
      <c r="DF70" s="18" t="n"/>
      <c r="DG70" s="18" t="n"/>
      <c r="DH70" s="18" t="n"/>
      <c r="DI70" s="18" t="n"/>
      <c r="DJ70" s="18" t="n"/>
      <c r="DK70" s="18" t="n"/>
      <c r="DL70" s="18" t="n"/>
      <c r="DM70" s="18" t="n"/>
      <c r="DN70" s="18" t="n"/>
      <c r="DO70" s="18" t="n"/>
      <c r="DP70" s="18" t="n"/>
      <c r="DQ70" s="18" t="n"/>
      <c r="DR70" s="18" t="n"/>
      <c r="DS70" s="18" t="n"/>
      <c r="DT70" s="18" t="n"/>
    </row>
    <row r="71">
      <c r="A71" s="18">
        <f>'Schedule_Data_Option_A'!A72</f>
        <v/>
      </c>
      <c r="B71" s="18">
        <f>'Schedule_Data_Option_A'!B72</f>
        <v/>
      </c>
      <c r="C71" s="18">
        <f>'Schedule_Data_Option_A'!C72</f>
        <v/>
      </c>
      <c r="D71" s="21">
        <f>'Schedule_Data_Option_A'!D72</f>
        <v/>
      </c>
      <c r="E71" s="18" t="n"/>
      <c r="F71" s="18" t="n"/>
      <c r="G71" s="18" t="n"/>
      <c r="H71" s="18" t="n"/>
      <c r="I71" s="18" t="n"/>
      <c r="J71" s="18" t="n"/>
      <c r="K71" s="18" t="n"/>
      <c r="L71" s="18" t="n"/>
      <c r="M71" s="18" t="n"/>
      <c r="N71" s="18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  <c r="Y71" s="18" t="n"/>
      <c r="Z71" s="18" t="n"/>
      <c r="AA71" s="18" t="n"/>
      <c r="AB71" s="18" t="n"/>
      <c r="AC71" s="18" t="n"/>
      <c r="AD71" s="18" t="n"/>
      <c r="AE71" s="18" t="n"/>
      <c r="AF71" s="18" t="n"/>
      <c r="AG71" s="18" t="n"/>
      <c r="AH71" s="18" t="n"/>
      <c r="AI71" s="18" t="n"/>
      <c r="AJ71" s="18" t="n"/>
      <c r="AK71" s="18" t="n"/>
      <c r="AL71" s="18" t="n"/>
      <c r="AM71" s="18" t="n"/>
      <c r="AN71" s="18" t="n"/>
      <c r="AO71" s="18" t="n"/>
      <c r="AP71" s="18" t="n"/>
      <c r="AQ71" s="18" t="n"/>
      <c r="AR71" s="18" t="n"/>
      <c r="AS71" s="18" t="n"/>
      <c r="AT71" s="18" t="n"/>
      <c r="AU71" s="18" t="n"/>
      <c r="AV71" s="18" t="n"/>
      <c r="AW71" s="18" t="n"/>
      <c r="AX71" s="18" t="n"/>
      <c r="AY71" s="18" t="n"/>
      <c r="AZ71" s="18" t="n"/>
      <c r="BA71" s="18" t="n"/>
      <c r="BB71" s="18" t="n"/>
      <c r="BC71" s="18" t="n"/>
      <c r="BD71" s="18" t="n"/>
      <c r="BE71" s="18" t="n"/>
      <c r="BF71" s="18" t="n"/>
      <c r="BG71" s="18" t="n"/>
      <c r="BH71" s="18" t="n"/>
      <c r="BI71" s="18" t="n"/>
      <c r="BJ71" s="18" t="n"/>
      <c r="BK71" s="18" t="n"/>
      <c r="BL71" s="18" t="n"/>
      <c r="BM71" s="18" t="n"/>
      <c r="BN71" s="18" t="n"/>
      <c r="BO71" s="18" t="n"/>
      <c r="BP71" s="18" t="n"/>
      <c r="BQ71" s="18" t="n"/>
      <c r="BR71" s="18" t="n"/>
      <c r="BS71" s="18" t="n"/>
      <c r="BT71" s="18" t="n"/>
      <c r="BU71" s="18" t="n"/>
      <c r="BV71" s="18" t="n"/>
      <c r="BW71" s="18" t="n"/>
      <c r="BX71" s="18" t="n"/>
      <c r="BY71" s="18" t="n"/>
      <c r="BZ71" s="18" t="n"/>
      <c r="CA71" s="18" t="n"/>
      <c r="CB71" s="18" t="n"/>
      <c r="CC71" s="18" t="n"/>
      <c r="CD71" s="18" t="n"/>
      <c r="CE71" s="18" t="n"/>
      <c r="CF71" s="18" t="n"/>
      <c r="CG71" s="18" t="n"/>
      <c r="CH71" s="18" t="n"/>
      <c r="CI71" s="18" t="n"/>
      <c r="CJ71" s="18" t="n"/>
      <c r="CK71" s="18" t="n"/>
      <c r="CL71" s="18" t="n"/>
      <c r="CM71" s="18" t="n"/>
      <c r="CN71" s="18" t="n"/>
      <c r="CO71" s="18" t="n"/>
      <c r="CP71" s="18" t="n"/>
      <c r="CQ71" s="18" t="n"/>
      <c r="CR71" s="18" t="n"/>
      <c r="CS71" s="18" t="n"/>
      <c r="CT71" s="18" t="n"/>
      <c r="CU71" s="18" t="n"/>
      <c r="CV71" s="18" t="n"/>
      <c r="CW71" s="18" t="n"/>
      <c r="CX71" s="18" t="n"/>
      <c r="CY71" s="18" t="n"/>
      <c r="CZ71" s="18" t="n"/>
      <c r="DA71" s="18" t="n"/>
      <c r="DB71" s="18" t="n"/>
      <c r="DC71" s="18" t="n"/>
      <c r="DD71" s="18" t="n"/>
      <c r="DE71" s="18" t="n"/>
      <c r="DF71" s="18" t="n"/>
      <c r="DG71" s="18" t="n"/>
      <c r="DH71" s="18" t="n"/>
      <c r="DI71" s="18" t="n"/>
      <c r="DJ71" s="18" t="n"/>
      <c r="DK71" s="18" t="n"/>
      <c r="DL71" s="18" t="n"/>
      <c r="DM71" s="18" t="n"/>
      <c r="DN71" s="18" t="n"/>
      <c r="DO71" s="18" t="n"/>
      <c r="DP71" s="18" t="n"/>
      <c r="DQ71" s="18" t="n"/>
      <c r="DR71" s="18" t="n"/>
      <c r="DS71" s="18" t="n"/>
      <c r="DT71" s="18" t="n"/>
    </row>
    <row r="72">
      <c r="A72" s="18">
        <f>'Schedule_Data_Option_A'!A73</f>
        <v/>
      </c>
      <c r="B72" s="18">
        <f>'Schedule_Data_Option_A'!B73</f>
        <v/>
      </c>
      <c r="C72" s="18">
        <f>'Schedule_Data_Option_A'!C73</f>
        <v/>
      </c>
      <c r="D72" s="25">
        <f>'Schedule_Data_Option_A'!D73</f>
        <v/>
      </c>
      <c r="E72" s="18" t="n"/>
      <c r="F72" s="18" t="n"/>
      <c r="G72" s="18" t="n"/>
      <c r="H72" s="18" t="n"/>
      <c r="I72" s="18" t="n"/>
      <c r="J72" s="18" t="n"/>
      <c r="K72" s="18" t="n"/>
      <c r="L72" s="18" t="n"/>
      <c r="M72" s="18" t="n"/>
      <c r="N72" s="18" t="n"/>
      <c r="O72" s="18" t="n"/>
      <c r="P72" s="18" t="n"/>
      <c r="Q72" s="18" t="n"/>
      <c r="R72" s="18" t="n"/>
      <c r="S72" s="18" t="n"/>
      <c r="T72" s="25" t="n"/>
      <c r="U72" s="18" t="n"/>
      <c r="V72" s="18" t="n"/>
      <c r="W72" s="18" t="n"/>
      <c r="X72" s="18" t="n"/>
      <c r="Y72" s="18" t="n"/>
      <c r="Z72" s="18" t="n"/>
      <c r="AA72" s="18" t="n"/>
      <c r="AB72" s="18" t="n"/>
      <c r="AC72" s="18" t="n"/>
      <c r="AD72" s="18" t="n"/>
      <c r="AE72" s="18" t="n"/>
      <c r="AF72" s="18" t="n"/>
      <c r="AG72" s="18" t="n"/>
      <c r="AH72" s="18" t="n"/>
      <c r="AI72" s="18" t="n"/>
      <c r="AJ72" s="18" t="n"/>
      <c r="AK72" s="18" t="n"/>
      <c r="AL72" s="18" t="n"/>
      <c r="AM72" s="18" t="n"/>
      <c r="AN72" s="18" t="n"/>
      <c r="AO72" s="18" t="n"/>
      <c r="AP72" s="18" t="n"/>
      <c r="AQ72" s="18" t="n"/>
      <c r="AR72" s="18" t="n"/>
      <c r="AS72" s="18" t="n"/>
      <c r="AT72" s="18" t="n"/>
      <c r="AU72" s="18" t="n"/>
      <c r="AV72" s="18" t="n"/>
      <c r="AW72" s="18" t="n"/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18" t="n"/>
      <c r="BU72" s="18" t="n"/>
      <c r="BV72" s="18" t="n"/>
      <c r="BW72" s="18" t="n"/>
      <c r="BX72" s="18" t="n"/>
      <c r="BY72" s="18" t="n"/>
      <c r="BZ72" s="18" t="n"/>
      <c r="CA72" s="18" t="n"/>
      <c r="CB72" s="18" t="n"/>
      <c r="CC72" s="18" t="n"/>
      <c r="CD72" s="18" t="n"/>
      <c r="CE72" s="18" t="n"/>
      <c r="CF72" s="18" t="n"/>
      <c r="CG72" s="18" t="n"/>
      <c r="CH72" s="18" t="n"/>
      <c r="CI72" s="18" t="n"/>
      <c r="CJ72" s="18" t="n"/>
      <c r="CK72" s="18" t="n"/>
      <c r="CL72" s="18" t="n"/>
      <c r="CM72" s="18" t="n"/>
      <c r="CN72" s="18" t="n"/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8" t="n"/>
      <c r="DA72" s="18" t="n"/>
      <c r="DB72" s="18" t="n"/>
      <c r="DC72" s="18" t="n"/>
      <c r="DD72" s="18" t="n"/>
      <c r="DE72" s="18" t="n"/>
      <c r="DF72" s="18" t="n"/>
      <c r="DG72" s="18" t="n"/>
      <c r="DH72" s="18" t="n"/>
      <c r="DI72" s="18" t="n"/>
      <c r="DJ72" s="18" t="n"/>
      <c r="DK72" s="18" t="n"/>
      <c r="DL72" s="18" t="n"/>
      <c r="DM72" s="18" t="n"/>
      <c r="DN72" s="18" t="n"/>
      <c r="DO72" s="18" t="n"/>
      <c r="DP72" s="18" t="n"/>
      <c r="DQ72" s="18" t="n"/>
      <c r="DR72" s="18" t="n"/>
      <c r="DS72" s="18" t="n"/>
      <c r="DT72" s="18" t="n"/>
    </row>
    <row r="73">
      <c r="A73" s="18">
        <f>'Schedule_Data_Option_A'!A74</f>
        <v/>
      </c>
      <c r="B73" s="18">
        <f>'Schedule_Data_Option_A'!B74</f>
        <v/>
      </c>
      <c r="C73" s="18">
        <f>'Schedule_Data_Option_A'!C74</f>
        <v/>
      </c>
      <c r="D73" s="26">
        <f>'Schedule_Data_Option_A'!D74</f>
        <v/>
      </c>
      <c r="E73" s="18" t="n"/>
      <c r="F73" s="18" t="n"/>
      <c r="G73" s="18" t="n"/>
      <c r="H73" s="18" t="n"/>
      <c r="I73" s="18" t="n"/>
      <c r="J73" s="18" t="n"/>
      <c r="K73" s="18" t="n"/>
      <c r="L73" s="18" t="n"/>
      <c r="M73" s="18" t="n"/>
      <c r="N73" s="18" t="n"/>
      <c r="O73" s="18" t="n"/>
      <c r="P73" s="18" t="n"/>
      <c r="Q73" s="18" t="n"/>
      <c r="R73" s="18" t="n"/>
      <c r="S73" s="18" t="n"/>
      <c r="T73" s="18" t="n"/>
      <c r="U73" s="26" t="n"/>
      <c r="V73" s="18" t="n"/>
      <c r="W73" s="18" t="n"/>
      <c r="X73" s="18" t="n"/>
      <c r="Y73" s="18" t="n"/>
      <c r="Z73" s="18" t="n"/>
      <c r="AA73" s="18" t="n"/>
      <c r="AB73" s="18" t="n"/>
      <c r="AC73" s="18" t="n"/>
      <c r="AD73" s="18" t="n"/>
      <c r="AE73" s="18" t="n"/>
      <c r="AF73" s="18" t="n"/>
      <c r="AG73" s="18" t="n"/>
      <c r="AH73" s="18" t="n"/>
      <c r="AI73" s="18" t="n"/>
      <c r="AJ73" s="18" t="n"/>
      <c r="AK73" s="18" t="n"/>
      <c r="AL73" s="18" t="n"/>
      <c r="AM73" s="18" t="n"/>
      <c r="AN73" s="18" t="n"/>
      <c r="AO73" s="18" t="n"/>
      <c r="AP73" s="18" t="n"/>
      <c r="AQ73" s="18" t="n"/>
      <c r="AR73" s="18" t="n"/>
      <c r="AS73" s="18" t="n"/>
      <c r="AT73" s="18" t="n"/>
      <c r="AU73" s="18" t="n"/>
      <c r="AV73" s="18" t="n"/>
      <c r="AW73" s="18" t="n"/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18" t="n"/>
      <c r="BU73" s="18" t="n"/>
      <c r="BV73" s="18" t="n"/>
      <c r="BW73" s="18" t="n"/>
      <c r="BX73" s="18" t="n"/>
      <c r="BY73" s="18" t="n"/>
      <c r="BZ73" s="18" t="n"/>
      <c r="CA73" s="18" t="n"/>
      <c r="CB73" s="18" t="n"/>
      <c r="CC73" s="18" t="n"/>
      <c r="CD73" s="18" t="n"/>
      <c r="CE73" s="18" t="n"/>
      <c r="CF73" s="18" t="n"/>
      <c r="CG73" s="18" t="n"/>
      <c r="CH73" s="18" t="n"/>
      <c r="CI73" s="18" t="n"/>
      <c r="CJ73" s="18" t="n"/>
      <c r="CK73" s="18" t="n"/>
      <c r="CL73" s="18" t="n"/>
      <c r="CM73" s="18" t="n"/>
      <c r="CN73" s="18" t="n"/>
      <c r="CO73" s="18" t="n"/>
      <c r="CP73" s="18" t="n"/>
      <c r="CQ73" s="18" t="n"/>
      <c r="CR73" s="18" t="n"/>
      <c r="CS73" s="18" t="n"/>
      <c r="CT73" s="18" t="n"/>
      <c r="CU73" s="18" t="n"/>
      <c r="CV73" s="18" t="n"/>
      <c r="CW73" s="18" t="n"/>
      <c r="CX73" s="18" t="n"/>
      <c r="CY73" s="18" t="n"/>
      <c r="CZ73" s="18" t="n"/>
      <c r="DA73" s="18" t="n"/>
      <c r="DB73" s="18" t="n"/>
      <c r="DC73" s="18" t="n"/>
      <c r="DD73" s="18" t="n"/>
      <c r="DE73" s="18" t="n"/>
      <c r="DF73" s="18" t="n"/>
      <c r="DG73" s="18" t="n"/>
      <c r="DH73" s="18" t="n"/>
      <c r="DI73" s="18" t="n"/>
      <c r="DJ73" s="18" t="n"/>
      <c r="DK73" s="18" t="n"/>
      <c r="DL73" s="18" t="n"/>
      <c r="DM73" s="18" t="n"/>
      <c r="DN73" s="18" t="n"/>
      <c r="DO73" s="18" t="n"/>
      <c r="DP73" s="18" t="n"/>
      <c r="DQ73" s="18" t="n"/>
      <c r="DR73" s="18" t="n"/>
      <c r="DS73" s="18" t="n"/>
      <c r="DT73" s="18" t="n"/>
    </row>
    <row r="74">
      <c r="A74" s="18">
        <f>'Schedule_Data_Option_A'!A75</f>
        <v/>
      </c>
      <c r="B74" s="18">
        <f>'Schedule_Data_Option_A'!B75</f>
        <v/>
      </c>
      <c r="C74" s="18">
        <f>'Schedule_Data_Option_A'!C75</f>
        <v/>
      </c>
      <c r="D74" s="21">
        <f>'Schedule_Data_Option_A'!D75</f>
        <v/>
      </c>
      <c r="E74" s="18" t="n"/>
      <c r="F74" s="18" t="n"/>
      <c r="G74" s="18" t="n"/>
      <c r="H74" s="18" t="n"/>
      <c r="I74" s="18" t="n"/>
      <c r="J74" s="18" t="n"/>
      <c r="K74" s="18" t="n"/>
      <c r="L74" s="18" t="n"/>
      <c r="M74" s="18" t="n"/>
      <c r="N74" s="18" t="n"/>
      <c r="O74" s="18" t="n"/>
      <c r="P74" s="18" t="n"/>
      <c r="Q74" s="18" t="n"/>
      <c r="R74" s="18" t="n"/>
      <c r="S74" s="18" t="n"/>
      <c r="T74" s="18" t="n"/>
      <c r="U74" s="21" t="n"/>
      <c r="V74" s="18" t="n"/>
      <c r="W74" s="18" t="n"/>
      <c r="X74" s="18" t="n"/>
      <c r="Y74" s="18" t="n"/>
      <c r="Z74" s="18" t="n"/>
      <c r="AA74" s="18" t="n"/>
      <c r="AB74" s="18" t="n"/>
      <c r="AC74" s="18" t="n"/>
      <c r="AD74" s="18" t="n"/>
      <c r="AE74" s="18" t="n"/>
      <c r="AF74" s="18" t="n"/>
      <c r="AG74" s="18" t="n"/>
      <c r="AH74" s="18" t="n"/>
      <c r="AI74" s="18" t="n"/>
      <c r="AJ74" s="18" t="n"/>
      <c r="AK74" s="18" t="n"/>
      <c r="AL74" s="18" t="n"/>
      <c r="AM74" s="18" t="n"/>
      <c r="AN74" s="18" t="n"/>
      <c r="AO74" s="18" t="n"/>
      <c r="AP74" s="18" t="n"/>
      <c r="AQ74" s="18" t="n"/>
      <c r="AR74" s="18" t="n"/>
      <c r="AS74" s="18" t="n"/>
      <c r="AT74" s="18" t="n"/>
      <c r="AU74" s="18" t="n"/>
      <c r="AV74" s="18" t="n"/>
      <c r="AW74" s="18" t="n"/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18" t="n"/>
      <c r="BU74" s="18" t="n"/>
      <c r="BV74" s="18" t="n"/>
      <c r="BW74" s="18" t="n"/>
      <c r="BX74" s="18" t="n"/>
      <c r="BY74" s="18" t="n"/>
      <c r="BZ74" s="18" t="n"/>
      <c r="CA74" s="18" t="n"/>
      <c r="CB74" s="18" t="n"/>
      <c r="CC74" s="18" t="n"/>
      <c r="CD74" s="18" t="n"/>
      <c r="CE74" s="18" t="n"/>
      <c r="CF74" s="18" t="n"/>
      <c r="CG74" s="18" t="n"/>
      <c r="CH74" s="18" t="n"/>
      <c r="CI74" s="18" t="n"/>
      <c r="CJ74" s="18" t="n"/>
      <c r="CK74" s="18" t="n"/>
      <c r="CL74" s="18" t="n"/>
      <c r="CM74" s="18" t="n"/>
      <c r="CN74" s="18" t="n"/>
      <c r="CO74" s="18" t="n"/>
      <c r="CP74" s="18" t="n"/>
      <c r="CQ74" s="18" t="n"/>
      <c r="CR74" s="18" t="n"/>
      <c r="CS74" s="18" t="n"/>
      <c r="CT74" s="18" t="n"/>
      <c r="CU74" s="18" t="n"/>
      <c r="CV74" s="18" t="n"/>
      <c r="CW74" s="18" t="n"/>
      <c r="CX74" s="18" t="n"/>
      <c r="CY74" s="18" t="n"/>
      <c r="CZ74" s="18" t="n"/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/>
      <c r="DJ74" s="18" t="n"/>
      <c r="DK74" s="18" t="n"/>
      <c r="DL74" s="18" t="n"/>
      <c r="DM74" s="18" t="n"/>
      <c r="DN74" s="18" t="n"/>
      <c r="DO74" s="18" t="n"/>
      <c r="DP74" s="18" t="n"/>
      <c r="DQ74" s="18" t="n"/>
      <c r="DR74" s="18" t="n"/>
      <c r="DS74" s="18" t="n"/>
      <c r="DT74" s="18" t="n"/>
    </row>
    <row r="75">
      <c r="A75" s="18">
        <f>'Schedule_Data_Option_A'!A76</f>
        <v/>
      </c>
      <c r="B75" s="18">
        <f>'Schedule_Data_Option_A'!B76</f>
        <v/>
      </c>
      <c r="C75" s="18">
        <f>'Schedule_Data_Option_A'!C76</f>
        <v/>
      </c>
      <c r="D75" s="23">
        <f>'Schedule_Data_Option_A'!D76</f>
        <v/>
      </c>
      <c r="E75" s="18" t="n"/>
      <c r="F75" s="18" t="n"/>
      <c r="G75" s="18" t="n"/>
      <c r="H75" s="18" t="n"/>
      <c r="I75" s="18" t="n"/>
      <c r="J75" s="18" t="n"/>
      <c r="K75" s="18" t="n"/>
      <c r="L75" s="18" t="n"/>
      <c r="M75" s="18" t="n"/>
      <c r="N75" s="18" t="n"/>
      <c r="O75" s="18" t="n"/>
      <c r="P75" s="18" t="n"/>
      <c r="Q75" s="18" t="n"/>
      <c r="R75" s="18" t="n"/>
      <c r="S75" s="18" t="n"/>
      <c r="T75" s="18" t="n"/>
      <c r="U75" s="18" t="n"/>
      <c r="V75" s="23" t="n"/>
      <c r="W75" s="18" t="n"/>
      <c r="X75" s="18" t="n"/>
      <c r="Y75" s="18" t="n"/>
      <c r="Z75" s="18" t="n"/>
      <c r="AA75" s="18" t="n"/>
      <c r="AB75" s="18" t="n"/>
      <c r="AC75" s="18" t="n"/>
      <c r="AD75" s="18" t="n"/>
      <c r="AE75" s="18" t="n"/>
      <c r="AF75" s="18" t="n"/>
      <c r="AG75" s="18" t="n"/>
      <c r="AH75" s="18" t="n"/>
      <c r="AI75" s="18" t="n"/>
      <c r="AJ75" s="18" t="n"/>
      <c r="AK75" s="18" t="n"/>
      <c r="AL75" s="18" t="n"/>
      <c r="AM75" s="18" t="n"/>
      <c r="AN75" s="18" t="n"/>
      <c r="AO75" s="18" t="n"/>
      <c r="AP75" s="18" t="n"/>
      <c r="AQ75" s="18" t="n"/>
      <c r="AR75" s="18" t="n"/>
      <c r="AS75" s="18" t="n"/>
      <c r="AT75" s="18" t="n"/>
      <c r="AU75" s="18" t="n"/>
      <c r="AV75" s="18" t="n"/>
      <c r="AW75" s="18" t="n"/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18" t="n"/>
      <c r="BU75" s="18" t="n"/>
      <c r="BV75" s="18" t="n"/>
      <c r="BW75" s="18" t="n"/>
      <c r="BX75" s="18" t="n"/>
      <c r="BY75" s="18" t="n"/>
      <c r="BZ75" s="18" t="n"/>
      <c r="CA75" s="18" t="n"/>
      <c r="CB75" s="18" t="n"/>
      <c r="CC75" s="18" t="n"/>
      <c r="CD75" s="18" t="n"/>
      <c r="CE75" s="18" t="n"/>
      <c r="CF75" s="18" t="n"/>
      <c r="CG75" s="18" t="n"/>
      <c r="CH75" s="18" t="n"/>
      <c r="CI75" s="18" t="n"/>
      <c r="CJ75" s="18" t="n"/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</row>
    <row r="76">
      <c r="A76" s="18">
        <f>'Schedule_Data_Option_A'!A77</f>
        <v/>
      </c>
      <c r="B76" s="18">
        <f>'Schedule_Data_Option_A'!B77</f>
        <v/>
      </c>
      <c r="C76" s="18">
        <f>'Schedule_Data_Option_A'!C77</f>
        <v/>
      </c>
      <c r="D76" s="23">
        <f>'Schedule_Data_Option_A'!D77</f>
        <v/>
      </c>
      <c r="E76" s="18" t="n"/>
      <c r="F76" s="18" t="n"/>
      <c r="G76" s="18" t="n"/>
      <c r="H76" s="18" t="n"/>
      <c r="I76" s="18" t="n"/>
      <c r="J76" s="18" t="n"/>
      <c r="K76" s="18" t="n"/>
      <c r="L76" s="18" t="n"/>
      <c r="M76" s="18" t="n"/>
      <c r="N76" s="18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23" t="n"/>
      <c r="X76" s="18" t="n"/>
      <c r="Y76" s="18" t="n"/>
      <c r="Z76" s="18" t="n"/>
      <c r="AA76" s="18" t="n"/>
      <c r="AB76" s="18" t="n"/>
      <c r="AC76" s="18" t="n"/>
      <c r="AD76" s="18" t="n"/>
      <c r="AE76" s="18" t="n"/>
      <c r="AF76" s="18" t="n"/>
      <c r="AG76" s="18" t="n"/>
      <c r="AH76" s="18" t="n"/>
      <c r="AI76" s="18" t="n"/>
      <c r="AJ76" s="18" t="n"/>
      <c r="AK76" s="18" t="n"/>
      <c r="AL76" s="18" t="n"/>
      <c r="AM76" s="18" t="n"/>
      <c r="AN76" s="18" t="n"/>
      <c r="AO76" s="18" t="n"/>
      <c r="AP76" s="18" t="n"/>
      <c r="AQ76" s="18" t="n"/>
      <c r="AR76" s="18" t="n"/>
      <c r="AS76" s="18" t="n"/>
      <c r="AT76" s="18" t="n"/>
      <c r="AU76" s="18" t="n"/>
      <c r="AV76" s="18" t="n"/>
      <c r="AW76" s="18" t="n"/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18" t="n"/>
      <c r="BU76" s="18" t="n"/>
      <c r="BV76" s="18" t="n"/>
      <c r="BW76" s="18" t="n"/>
      <c r="BX76" s="18" t="n"/>
      <c r="BY76" s="18" t="n"/>
      <c r="BZ76" s="18" t="n"/>
      <c r="CA76" s="18" t="n"/>
      <c r="CB76" s="18" t="n"/>
      <c r="CC76" s="18" t="n"/>
      <c r="CD76" s="18" t="n"/>
      <c r="CE76" s="18" t="n"/>
      <c r="CF76" s="18" t="n"/>
      <c r="CG76" s="18" t="n"/>
      <c r="CH76" s="18" t="n"/>
      <c r="CI76" s="18" t="n"/>
      <c r="CJ76" s="18" t="n"/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</row>
    <row r="77">
      <c r="A77" s="18">
        <f>'Schedule_Data_Option_A'!A78</f>
        <v/>
      </c>
      <c r="B77" s="18">
        <f>'Schedule_Data_Option_A'!B78</f>
        <v/>
      </c>
      <c r="C77" s="18">
        <f>'Schedule_Data_Option_A'!C78</f>
        <v/>
      </c>
      <c r="D77" s="25">
        <f>'Schedule_Data_Option_A'!D78</f>
        <v/>
      </c>
      <c r="E77" s="18" t="n"/>
      <c r="F77" s="18" t="n"/>
      <c r="G77" s="18" t="n"/>
      <c r="H77" s="18" t="n"/>
      <c r="I77" s="18" t="n"/>
      <c r="J77" s="18" t="n"/>
      <c r="K77" s="18" t="n"/>
      <c r="L77" s="18" t="n"/>
      <c r="M77" s="18" t="n"/>
      <c r="N77" s="18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25" t="n"/>
      <c r="Y77" s="18" t="n"/>
      <c r="Z77" s="18" t="n"/>
      <c r="AA77" s="18" t="n"/>
      <c r="AB77" s="18" t="n"/>
      <c r="AC77" s="18" t="n"/>
      <c r="AD77" s="18" t="n"/>
      <c r="AE77" s="18" t="n"/>
      <c r="AF77" s="18" t="n"/>
      <c r="AG77" s="18" t="n"/>
      <c r="AH77" s="18" t="n"/>
      <c r="AI77" s="18" t="n"/>
      <c r="AJ77" s="18" t="n"/>
      <c r="AK77" s="18" t="n"/>
      <c r="AL77" s="18" t="n"/>
      <c r="AM77" s="18" t="n"/>
      <c r="AN77" s="18" t="n"/>
      <c r="AO77" s="18" t="n"/>
      <c r="AP77" s="18" t="n"/>
      <c r="AQ77" s="18" t="n"/>
      <c r="AR77" s="18" t="n"/>
      <c r="AS77" s="18" t="n"/>
      <c r="AT77" s="18" t="n"/>
      <c r="AU77" s="18" t="n"/>
      <c r="AV77" s="18" t="n"/>
      <c r="AW77" s="18" t="n"/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18" t="n"/>
      <c r="BU77" s="18" t="n"/>
      <c r="BV77" s="18" t="n"/>
      <c r="BW77" s="18" t="n"/>
      <c r="BX77" s="18" t="n"/>
      <c r="BY77" s="18" t="n"/>
      <c r="BZ77" s="18" t="n"/>
      <c r="CA77" s="18" t="n"/>
      <c r="CB77" s="18" t="n"/>
      <c r="CC77" s="18" t="n"/>
      <c r="CD77" s="18" t="n"/>
      <c r="CE77" s="18" t="n"/>
      <c r="CF77" s="18" t="n"/>
      <c r="CG77" s="18" t="n"/>
      <c r="CH77" s="18" t="n"/>
      <c r="CI77" s="18" t="n"/>
      <c r="CJ77" s="18" t="n"/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</row>
    <row r="78">
      <c r="A78" s="18">
        <f>'Schedule_Data_Option_A'!A79</f>
        <v/>
      </c>
      <c r="B78" s="18">
        <f>'Schedule_Data_Option_A'!B79</f>
        <v/>
      </c>
      <c r="C78" s="18">
        <f>'Schedule_Data_Option_A'!C79</f>
        <v/>
      </c>
      <c r="D78" s="21">
        <f>'Schedule_Data_Option_A'!D79</f>
        <v/>
      </c>
      <c r="E78" s="18" t="n"/>
      <c r="F78" s="18" t="n"/>
      <c r="G78" s="18" t="n"/>
      <c r="H78" s="18" t="n"/>
      <c r="I78" s="18" t="n"/>
      <c r="J78" s="18" t="n"/>
      <c r="K78" s="18" t="n"/>
      <c r="L78" s="18" t="n"/>
      <c r="M78" s="18" t="n"/>
      <c r="N78" s="18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  <c r="Y78" s="18" t="n"/>
      <c r="Z78" s="18" t="n"/>
      <c r="AA78" s="18" t="n"/>
      <c r="AB78" s="18" t="n"/>
      <c r="AC78" s="18" t="n"/>
      <c r="AD78" s="18" t="n"/>
      <c r="AE78" s="18" t="n"/>
      <c r="AF78" s="18" t="n"/>
      <c r="AG78" s="18" t="n"/>
      <c r="AH78" s="18" t="n"/>
      <c r="AI78" s="18" t="n"/>
      <c r="AJ78" s="18" t="n"/>
      <c r="AK78" s="18" t="n"/>
      <c r="AL78" s="18" t="n"/>
      <c r="AM78" s="18" t="n"/>
      <c r="AN78" s="18" t="n"/>
      <c r="AO78" s="18" t="n"/>
      <c r="AP78" s="18" t="n"/>
      <c r="AQ78" s="18" t="n"/>
      <c r="AR78" s="18" t="n"/>
      <c r="AS78" s="18" t="n"/>
      <c r="AT78" s="18" t="n"/>
      <c r="AU78" s="18" t="n"/>
      <c r="AV78" s="18" t="n"/>
      <c r="AW78" s="18" t="n"/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18" t="n"/>
      <c r="BU78" s="18" t="n"/>
      <c r="BV78" s="18" t="n"/>
      <c r="BW78" s="18" t="n"/>
      <c r="BX78" s="18" t="n"/>
      <c r="BY78" s="18" t="n"/>
      <c r="BZ78" s="18" t="n"/>
      <c r="CA78" s="18" t="n"/>
      <c r="CB78" s="18" t="n"/>
      <c r="CC78" s="18" t="n"/>
      <c r="CD78" s="18" t="n"/>
      <c r="CE78" s="18" t="n"/>
      <c r="CF78" s="18" t="n"/>
      <c r="CG78" s="18" t="n"/>
      <c r="CH78" s="18" t="n"/>
      <c r="CI78" s="18" t="n"/>
      <c r="CJ78" s="18" t="n"/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</row>
    <row r="79">
      <c r="A79" s="18">
        <f>'Schedule_Data_Option_A'!A80</f>
        <v/>
      </c>
      <c r="B79" s="18">
        <f>'Schedule_Data_Option_A'!B80</f>
        <v/>
      </c>
      <c r="C79" s="18">
        <f>'Schedule_Data_Option_A'!C80</f>
        <v/>
      </c>
      <c r="D79" s="21">
        <f>'Schedule_Data_Option_A'!D80</f>
        <v/>
      </c>
      <c r="E79" s="18" t="n"/>
      <c r="F79" s="18" t="n"/>
      <c r="G79" s="18" t="n"/>
      <c r="H79" s="18" t="n"/>
      <c r="I79" s="18" t="n"/>
      <c r="J79" s="18" t="n"/>
      <c r="K79" s="18" t="n"/>
      <c r="L79" s="18" t="n"/>
      <c r="M79" s="18" t="n"/>
      <c r="N79" s="18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  <c r="Y79" s="18" t="n"/>
      <c r="Z79" s="18" t="n"/>
      <c r="AA79" s="18" t="n"/>
      <c r="AB79" s="18" t="n"/>
      <c r="AC79" s="18" t="n"/>
      <c r="AD79" s="18" t="n"/>
      <c r="AE79" s="18" t="n"/>
      <c r="AF79" s="18" t="n"/>
      <c r="AG79" s="18" t="n"/>
      <c r="AH79" s="18" t="n"/>
      <c r="AI79" s="18" t="n"/>
      <c r="AJ79" s="18" t="n"/>
      <c r="AK79" s="18" t="n"/>
      <c r="AL79" s="18" t="n"/>
      <c r="AM79" s="18" t="n"/>
      <c r="AN79" s="18" t="n"/>
      <c r="AO79" s="18" t="n"/>
      <c r="AP79" s="18" t="n"/>
      <c r="AQ79" s="18" t="n"/>
      <c r="AR79" s="18" t="n"/>
      <c r="AS79" s="18" t="n"/>
      <c r="AT79" s="18" t="n"/>
      <c r="AU79" s="18" t="n"/>
      <c r="AV79" s="18" t="n"/>
      <c r="AW79" s="18" t="n"/>
      <c r="AX79" s="18" t="n"/>
      <c r="AY79" s="18" t="n"/>
      <c r="AZ79" s="18" t="n"/>
      <c r="BA79" s="18" t="n"/>
      <c r="BB79" s="18" t="n"/>
      <c r="BC79" s="18" t="n"/>
      <c r="BD79" s="18" t="n"/>
      <c r="BE79" s="18" t="n"/>
      <c r="BF79" s="18" t="n"/>
      <c r="BG79" s="18" t="n"/>
      <c r="BH79" s="18" t="n"/>
      <c r="BI79" s="18" t="n"/>
      <c r="BJ79" s="18" t="n"/>
      <c r="BK79" s="18" t="n"/>
      <c r="BL79" s="18" t="n"/>
      <c r="BM79" s="18" t="n"/>
      <c r="BN79" s="18" t="n"/>
      <c r="BO79" s="18" t="n"/>
      <c r="BP79" s="18" t="n"/>
      <c r="BQ79" s="18" t="n"/>
      <c r="BR79" s="18" t="n"/>
      <c r="BS79" s="18" t="n"/>
      <c r="BT79" s="18" t="n"/>
      <c r="BU79" s="18" t="n"/>
      <c r="BV79" s="18" t="n"/>
      <c r="BW79" s="18" t="n"/>
      <c r="BX79" s="18" t="n"/>
      <c r="BY79" s="18" t="n"/>
      <c r="BZ79" s="18" t="n"/>
      <c r="CA79" s="18" t="n"/>
      <c r="CB79" s="18" t="n"/>
      <c r="CC79" s="18" t="n"/>
      <c r="CD79" s="18" t="n"/>
      <c r="CE79" s="18" t="n"/>
      <c r="CF79" s="18" t="n"/>
      <c r="CG79" s="18" t="n"/>
      <c r="CH79" s="18" t="n"/>
      <c r="CI79" s="18" t="n"/>
      <c r="CJ79" s="18" t="n"/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</row>
    <row r="80">
      <c r="A80" s="18">
        <f>'Schedule_Data_Option_A'!A81</f>
        <v/>
      </c>
      <c r="B80" s="18">
        <f>'Schedule_Data_Option_A'!B81</f>
        <v/>
      </c>
      <c r="C80" s="18">
        <f>'Schedule_Data_Option_A'!C81</f>
        <v/>
      </c>
      <c r="D80" s="27">
        <f>'Schedule_Data_Option_A'!D81</f>
        <v/>
      </c>
      <c r="E80" s="18" t="n"/>
      <c r="F80" s="18" t="n"/>
      <c r="G80" s="18" t="n"/>
      <c r="H80" s="18" t="n"/>
      <c r="I80" s="18" t="n"/>
      <c r="J80" s="18" t="n"/>
      <c r="K80" s="18" t="n"/>
      <c r="L80" s="18" t="n"/>
      <c r="M80" s="18" t="n"/>
      <c r="N80" s="18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  <c r="Y80" s="27" t="n"/>
      <c r="Z80" s="18" t="n"/>
      <c r="AA80" s="18" t="n"/>
      <c r="AB80" s="18" t="n"/>
      <c r="AC80" s="18" t="n"/>
      <c r="AD80" s="18" t="n"/>
      <c r="AE80" s="18" t="n"/>
      <c r="AF80" s="18" t="n"/>
      <c r="AG80" s="18" t="n"/>
      <c r="AH80" s="18" t="n"/>
      <c r="AI80" s="18" t="n"/>
      <c r="AJ80" s="18" t="n"/>
      <c r="AK80" s="18" t="n"/>
      <c r="AL80" s="18" t="n"/>
      <c r="AM80" s="18" t="n"/>
      <c r="AN80" s="18" t="n"/>
      <c r="AO80" s="18" t="n"/>
      <c r="AP80" s="18" t="n"/>
      <c r="AQ80" s="18" t="n"/>
      <c r="AR80" s="18" t="n"/>
      <c r="AS80" s="18" t="n"/>
      <c r="AT80" s="18" t="n"/>
      <c r="AU80" s="18" t="n"/>
      <c r="AV80" s="18" t="n"/>
      <c r="AW80" s="18" t="n"/>
      <c r="AX80" s="18" t="n"/>
      <c r="AY80" s="18" t="n"/>
      <c r="AZ80" s="18" t="n"/>
      <c r="BA80" s="18" t="n"/>
      <c r="BB80" s="18" t="n"/>
      <c r="BC80" s="18" t="n"/>
      <c r="BD80" s="18" t="n"/>
      <c r="BE80" s="18" t="n"/>
      <c r="BF80" s="18" t="n"/>
      <c r="BG80" s="18" t="n"/>
      <c r="BH80" s="18" t="n"/>
      <c r="BI80" s="18" t="n"/>
      <c r="BJ80" s="18" t="n"/>
      <c r="BK80" s="18" t="n"/>
      <c r="BL80" s="18" t="n"/>
      <c r="BM80" s="18" t="n"/>
      <c r="BN80" s="18" t="n"/>
      <c r="BO80" s="18" t="n"/>
      <c r="BP80" s="18" t="n"/>
      <c r="BQ80" s="18" t="n"/>
      <c r="BR80" s="18" t="n"/>
      <c r="BS80" s="18" t="n"/>
      <c r="BT80" s="18" t="n"/>
      <c r="BU80" s="18" t="n"/>
      <c r="BV80" s="18" t="n"/>
      <c r="BW80" s="18" t="n"/>
      <c r="BX80" s="18" t="n"/>
      <c r="BY80" s="18" t="n"/>
      <c r="BZ80" s="18" t="n"/>
      <c r="CA80" s="18" t="n"/>
      <c r="CB80" s="18" t="n"/>
      <c r="CC80" s="18" t="n"/>
      <c r="CD80" s="18" t="n"/>
      <c r="CE80" s="18" t="n"/>
      <c r="CF80" s="18" t="n"/>
      <c r="CG80" s="18" t="n"/>
      <c r="CH80" s="18" t="n"/>
      <c r="CI80" s="18" t="n"/>
      <c r="CJ80" s="18" t="n"/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</row>
    <row r="81">
      <c r="A81" s="18">
        <f>'Schedule_Data_Option_A'!A82</f>
        <v/>
      </c>
      <c r="B81" s="18">
        <f>'Schedule_Data_Option_A'!B82</f>
        <v/>
      </c>
      <c r="C81" s="18">
        <f>'Schedule_Data_Option_A'!C82</f>
        <v/>
      </c>
      <c r="D81" s="38">
        <f>'Schedule_Data_Option_A'!D82</f>
        <v/>
      </c>
      <c r="E81" s="18" t="n"/>
      <c r="F81" s="18" t="n"/>
      <c r="G81" s="18" t="n"/>
      <c r="H81" s="18" t="n"/>
      <c r="I81" s="18" t="n"/>
      <c r="J81" s="18" t="n"/>
      <c r="K81" s="18" t="n"/>
      <c r="L81" s="18" t="n"/>
      <c r="M81" s="18" t="n"/>
      <c r="N81" s="18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  <c r="Y81" s="18" t="n"/>
      <c r="Z81" s="18" t="n"/>
      <c r="AA81" s="18" t="n"/>
      <c r="AB81" s="38" t="n"/>
      <c r="AC81" s="18" t="n"/>
      <c r="AD81" s="18" t="n"/>
      <c r="AE81" s="18" t="n"/>
      <c r="AF81" s="18" t="n"/>
      <c r="AG81" s="18" t="n"/>
      <c r="AH81" s="18" t="n"/>
      <c r="AI81" s="18" t="n"/>
      <c r="AJ81" s="18" t="n"/>
      <c r="AK81" s="18" t="n"/>
      <c r="AL81" s="18" t="n"/>
      <c r="AM81" s="18" t="n"/>
      <c r="AN81" s="18" t="n"/>
      <c r="AO81" s="18" t="n"/>
      <c r="AP81" s="18" t="n"/>
      <c r="AQ81" s="18" t="n"/>
      <c r="AR81" s="18" t="n"/>
      <c r="AS81" s="18" t="n"/>
      <c r="AT81" s="18" t="n"/>
      <c r="AU81" s="18" t="n"/>
      <c r="AV81" s="18" t="n"/>
      <c r="AW81" s="18" t="n"/>
      <c r="AX81" s="18" t="n"/>
      <c r="AY81" s="18" t="n"/>
      <c r="AZ81" s="18" t="n"/>
      <c r="BA81" s="18" t="n"/>
      <c r="BB81" s="18" t="n"/>
      <c r="BC81" s="18" t="n"/>
      <c r="BD81" s="18" t="n"/>
      <c r="BE81" s="18" t="n"/>
      <c r="BF81" s="18" t="n"/>
      <c r="BG81" s="18" t="n"/>
      <c r="BH81" s="18" t="n"/>
      <c r="BI81" s="18" t="n"/>
      <c r="BJ81" s="18" t="n"/>
      <c r="BK81" s="18" t="n"/>
      <c r="BL81" s="18" t="n"/>
      <c r="BM81" s="18" t="n"/>
      <c r="BN81" s="18" t="n"/>
      <c r="BO81" s="18" t="n"/>
      <c r="BP81" s="18" t="n"/>
      <c r="BQ81" s="18" t="n"/>
      <c r="BR81" s="18" t="n"/>
      <c r="BS81" s="18" t="n"/>
      <c r="BT81" s="18" t="n"/>
      <c r="BU81" s="18" t="n"/>
      <c r="BV81" s="18" t="n"/>
      <c r="BW81" s="18" t="n"/>
      <c r="BX81" s="18" t="n"/>
      <c r="BY81" s="18" t="n"/>
      <c r="BZ81" s="18" t="n"/>
      <c r="CA81" s="18" t="n"/>
      <c r="CB81" s="18" t="n"/>
      <c r="CC81" s="18" t="n"/>
      <c r="CD81" s="18" t="n"/>
      <c r="CE81" s="18" t="n"/>
      <c r="CF81" s="18" t="n"/>
      <c r="CG81" s="18" t="n"/>
      <c r="CH81" s="18" t="n"/>
      <c r="CI81" s="18" t="n"/>
      <c r="CJ81" s="18" t="n"/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/>
      <c r="DM81" s="18" t="n"/>
      <c r="DN81" s="18" t="n"/>
      <c r="DO81" s="18" t="n"/>
      <c r="DP81" s="18" t="n"/>
      <c r="DQ81" s="18" t="n"/>
      <c r="DR81" s="18" t="n"/>
      <c r="DS81" s="18" t="n"/>
      <c r="DT81" s="18" t="n"/>
    </row>
    <row r="82">
      <c r="A82" s="18">
        <f>'Schedule_Data_Option_A'!A83</f>
        <v/>
      </c>
      <c r="B82" s="18">
        <f>'Schedule_Data_Option_A'!B83</f>
        <v/>
      </c>
      <c r="C82" s="18">
        <f>'Schedule_Data_Option_A'!C83</f>
        <v/>
      </c>
      <c r="D82" s="21">
        <f>'Schedule_Data_Option_A'!D83</f>
        <v/>
      </c>
      <c r="E82" s="18" t="n"/>
      <c r="F82" s="18" t="n"/>
      <c r="G82" s="18" t="n"/>
      <c r="H82" s="18" t="n"/>
      <c r="I82" s="18" t="n"/>
      <c r="J82" s="18" t="n"/>
      <c r="K82" s="18" t="n"/>
      <c r="L82" s="18" t="n"/>
      <c r="M82" s="18" t="n"/>
      <c r="N82" s="18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  <c r="Y82" s="18" t="n"/>
      <c r="Z82" s="18" t="n"/>
      <c r="AA82" s="18" t="n"/>
      <c r="AB82" s="18" t="n"/>
      <c r="AC82" s="18" t="n"/>
      <c r="AD82" s="18" t="n"/>
      <c r="AE82" s="18" t="n"/>
      <c r="AF82" s="18" t="n"/>
      <c r="AG82" s="18" t="n"/>
      <c r="AH82" s="18" t="n"/>
      <c r="AI82" s="18" t="n"/>
      <c r="AJ82" s="18" t="n"/>
      <c r="AK82" s="18" t="n"/>
      <c r="AL82" s="18" t="n"/>
      <c r="AM82" s="18" t="n"/>
      <c r="AN82" s="18" t="n"/>
      <c r="AO82" s="18" t="n"/>
      <c r="AP82" s="18" t="n"/>
      <c r="AQ82" s="18" t="n"/>
      <c r="AR82" s="18" t="n"/>
      <c r="AS82" s="18" t="n"/>
      <c r="AT82" s="18" t="n"/>
      <c r="AU82" s="18" t="n"/>
      <c r="AV82" s="18" t="n"/>
      <c r="AW82" s="18" t="n"/>
      <c r="AX82" s="18" t="n"/>
      <c r="AY82" s="18" t="n"/>
      <c r="AZ82" s="18" t="n"/>
      <c r="BA82" s="18" t="n"/>
      <c r="BB82" s="18" t="n"/>
      <c r="BC82" s="18" t="n"/>
      <c r="BD82" s="18" t="n"/>
      <c r="BE82" s="18" t="n"/>
      <c r="BF82" s="18" t="n"/>
      <c r="BG82" s="18" t="n"/>
      <c r="BH82" s="18" t="n"/>
      <c r="BI82" s="18" t="n"/>
      <c r="BJ82" s="18" t="n"/>
      <c r="BK82" s="18" t="n"/>
      <c r="BL82" s="18" t="n"/>
      <c r="BM82" s="18" t="n"/>
      <c r="BN82" s="18" t="n"/>
      <c r="BO82" s="18" t="n"/>
      <c r="BP82" s="18" t="n"/>
      <c r="BQ82" s="18" t="n"/>
      <c r="BR82" s="18" t="n"/>
      <c r="BS82" s="18" t="n"/>
      <c r="BT82" s="18" t="n"/>
      <c r="BU82" s="18" t="n"/>
      <c r="BV82" s="18" t="n"/>
      <c r="BW82" s="18" t="n"/>
      <c r="BX82" s="18" t="n"/>
      <c r="BY82" s="18" t="n"/>
      <c r="BZ82" s="18" t="n"/>
      <c r="CA82" s="18" t="n"/>
      <c r="CB82" s="18" t="n"/>
      <c r="CC82" s="18" t="n"/>
      <c r="CD82" s="18" t="n"/>
      <c r="CE82" s="18" t="n"/>
      <c r="CF82" s="18" t="n"/>
      <c r="CG82" s="18" t="n"/>
      <c r="CH82" s="18" t="n"/>
      <c r="CI82" s="18" t="n"/>
      <c r="CJ82" s="18" t="n"/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</row>
    <row r="83">
      <c r="A83" s="18">
        <f>'Schedule_Data_Option_A'!A84</f>
        <v/>
      </c>
      <c r="B83" s="18">
        <f>'Schedule_Data_Option_A'!B84</f>
        <v/>
      </c>
      <c r="C83" s="18">
        <f>'Schedule_Data_Option_A'!C84</f>
        <v/>
      </c>
      <c r="D83" s="21">
        <f>'Schedule_Data_Option_A'!D84</f>
        <v/>
      </c>
      <c r="E83" s="18" t="n"/>
      <c r="F83" s="18" t="n"/>
      <c r="G83" s="18" t="n"/>
      <c r="H83" s="18" t="n"/>
      <c r="I83" s="18" t="n"/>
      <c r="J83" s="18" t="n"/>
      <c r="K83" s="18" t="n"/>
      <c r="L83" s="18" t="n"/>
      <c r="M83" s="18" t="n"/>
      <c r="N83" s="18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  <c r="Y83" s="18" t="n"/>
      <c r="Z83" s="18" t="n"/>
      <c r="AA83" s="18" t="n"/>
      <c r="AB83" s="18" t="n"/>
      <c r="AC83" s="18" t="n"/>
      <c r="AD83" s="18" t="n"/>
      <c r="AE83" s="18" t="n"/>
      <c r="AF83" s="18" t="n"/>
      <c r="AG83" s="18" t="n"/>
      <c r="AH83" s="18" t="n"/>
      <c r="AI83" s="18" t="n"/>
      <c r="AJ83" s="18" t="n"/>
      <c r="AK83" s="18" t="n"/>
      <c r="AL83" s="18" t="n"/>
      <c r="AM83" s="18" t="n"/>
      <c r="AN83" s="18" t="n"/>
      <c r="AO83" s="18" t="n"/>
      <c r="AP83" s="18" t="n"/>
      <c r="AQ83" s="18" t="n"/>
      <c r="AR83" s="18" t="n"/>
      <c r="AS83" s="18" t="n"/>
      <c r="AT83" s="18" t="n"/>
      <c r="AU83" s="18" t="n"/>
      <c r="AV83" s="18" t="n"/>
      <c r="AW83" s="18" t="n"/>
      <c r="AX83" s="18" t="n"/>
      <c r="AY83" s="18" t="n"/>
      <c r="AZ83" s="18" t="n"/>
      <c r="BA83" s="18" t="n"/>
      <c r="BB83" s="18" t="n"/>
      <c r="BC83" s="18" t="n"/>
      <c r="BD83" s="18" t="n"/>
      <c r="BE83" s="18" t="n"/>
      <c r="BF83" s="18" t="n"/>
      <c r="BG83" s="18" t="n"/>
      <c r="BH83" s="18" t="n"/>
      <c r="BI83" s="18" t="n"/>
      <c r="BJ83" s="18" t="n"/>
      <c r="BK83" s="18" t="n"/>
      <c r="BL83" s="18" t="n"/>
      <c r="BM83" s="18" t="n"/>
      <c r="BN83" s="18" t="n"/>
      <c r="BO83" s="18" t="n"/>
      <c r="BP83" s="18" t="n"/>
      <c r="BQ83" s="18" t="n"/>
      <c r="BR83" s="18" t="n"/>
      <c r="BS83" s="18" t="n"/>
      <c r="BT83" s="18" t="n"/>
      <c r="BU83" s="18" t="n"/>
      <c r="BV83" s="18" t="n"/>
      <c r="BW83" s="18" t="n"/>
      <c r="BX83" s="18" t="n"/>
      <c r="BY83" s="18" t="n"/>
      <c r="BZ83" s="18" t="n"/>
      <c r="CA83" s="18" t="n"/>
      <c r="CB83" s="18" t="n"/>
      <c r="CC83" s="18" t="n"/>
      <c r="CD83" s="18" t="n"/>
      <c r="CE83" s="18" t="n"/>
      <c r="CF83" s="18" t="n"/>
      <c r="CG83" s="18" t="n"/>
      <c r="CH83" s="18" t="n"/>
      <c r="CI83" s="18" t="n"/>
      <c r="CJ83" s="18" t="n"/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</row>
    <row r="84">
      <c r="A84" s="18">
        <f>'Schedule_Data_Option_A'!A85</f>
        <v/>
      </c>
      <c r="B84" s="18">
        <f>'Schedule_Data_Option_A'!B85</f>
        <v/>
      </c>
      <c r="C84" s="18">
        <f>'Schedule_Data_Option_A'!C85</f>
        <v/>
      </c>
      <c r="D84" s="27">
        <f>'Schedule_Data_Option_A'!D85</f>
        <v/>
      </c>
      <c r="E84" s="18" t="n"/>
      <c r="F84" s="18" t="n"/>
      <c r="G84" s="18" t="n"/>
      <c r="H84" s="18" t="n"/>
      <c r="I84" s="18" t="n"/>
      <c r="J84" s="18" t="n"/>
      <c r="K84" s="18" t="n"/>
      <c r="L84" s="18" t="n"/>
      <c r="M84" s="18" t="n"/>
      <c r="N84" s="18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  <c r="Y84" s="18" t="n"/>
      <c r="Z84" s="18" t="n"/>
      <c r="AA84" s="18" t="n"/>
      <c r="AB84" s="18" t="n"/>
      <c r="AC84" s="27" t="n"/>
      <c r="AD84" s="18" t="n"/>
      <c r="AE84" s="18" t="n"/>
      <c r="AF84" s="18" t="n"/>
      <c r="AG84" s="18" t="n"/>
      <c r="AH84" s="18" t="n"/>
      <c r="AI84" s="18" t="n"/>
      <c r="AJ84" s="18" t="n"/>
      <c r="AK84" s="18" t="n"/>
      <c r="AL84" s="18" t="n"/>
      <c r="AM84" s="18" t="n"/>
      <c r="AN84" s="18" t="n"/>
      <c r="AO84" s="18" t="n"/>
      <c r="AP84" s="18" t="n"/>
      <c r="AQ84" s="18" t="n"/>
      <c r="AR84" s="18" t="n"/>
      <c r="AS84" s="18" t="n"/>
      <c r="AT84" s="18" t="n"/>
      <c r="AU84" s="18" t="n"/>
      <c r="AV84" s="18" t="n"/>
      <c r="AW84" s="18" t="n"/>
      <c r="AX84" s="18" t="n"/>
      <c r="AY84" s="18" t="n"/>
      <c r="AZ84" s="18" t="n"/>
      <c r="BA84" s="18" t="n"/>
      <c r="BB84" s="18" t="n"/>
      <c r="BC84" s="18" t="n"/>
      <c r="BD84" s="18" t="n"/>
      <c r="BE84" s="18" t="n"/>
      <c r="BF84" s="18" t="n"/>
      <c r="BG84" s="18" t="n"/>
      <c r="BH84" s="18" t="n"/>
      <c r="BI84" s="18" t="n"/>
      <c r="BJ84" s="18" t="n"/>
      <c r="BK84" s="18" t="n"/>
      <c r="BL84" s="18" t="n"/>
      <c r="BM84" s="18" t="n"/>
      <c r="BN84" s="18" t="n"/>
      <c r="BO84" s="18" t="n"/>
      <c r="BP84" s="18" t="n"/>
      <c r="BQ84" s="18" t="n"/>
      <c r="BR84" s="18" t="n"/>
      <c r="BS84" s="18" t="n"/>
      <c r="BT84" s="18" t="n"/>
      <c r="BU84" s="18" t="n"/>
      <c r="BV84" s="18" t="n"/>
      <c r="BW84" s="18" t="n"/>
      <c r="BX84" s="18" t="n"/>
      <c r="BY84" s="18" t="n"/>
      <c r="BZ84" s="18" t="n"/>
      <c r="CA84" s="18" t="n"/>
      <c r="CB84" s="18" t="n"/>
      <c r="CC84" s="18" t="n"/>
      <c r="CD84" s="18" t="n"/>
      <c r="CE84" s="18" t="n"/>
      <c r="CF84" s="18" t="n"/>
      <c r="CG84" s="18" t="n"/>
      <c r="CH84" s="18" t="n"/>
      <c r="CI84" s="18" t="n"/>
      <c r="CJ84" s="18" t="n"/>
      <c r="CK84" s="18" t="n"/>
      <c r="CL84" s="18" t="n"/>
      <c r="CM84" s="18" t="n"/>
      <c r="CN84" s="18" t="n"/>
      <c r="CO84" s="18" t="n"/>
      <c r="CP84" s="18" t="n"/>
      <c r="CQ84" s="18" t="n"/>
      <c r="CR84" s="18" t="n"/>
      <c r="CS84" s="18" t="n"/>
      <c r="CT84" s="18" t="n"/>
      <c r="CU84" s="18" t="n"/>
      <c r="CV84" s="18" t="n"/>
      <c r="CW84" s="18" t="n"/>
      <c r="CX84" s="18" t="n"/>
      <c r="CY84" s="18" t="n"/>
      <c r="CZ84" s="18" t="n"/>
      <c r="DA84" s="18" t="n"/>
      <c r="DB84" s="18" t="n"/>
      <c r="DC84" s="18" t="n"/>
      <c r="DD84" s="18" t="n"/>
      <c r="DE84" s="18" t="n"/>
      <c r="DF84" s="18" t="n"/>
      <c r="DG84" s="18" t="n"/>
      <c r="DH84" s="18" t="n"/>
      <c r="DI84" s="18" t="n"/>
      <c r="DJ84" s="18" t="n"/>
      <c r="DK84" s="18" t="n"/>
      <c r="DL84" s="18" t="n"/>
      <c r="DM84" s="18" t="n"/>
      <c r="DN84" s="18" t="n"/>
      <c r="DO84" s="18" t="n"/>
      <c r="DP84" s="18" t="n"/>
      <c r="DQ84" s="18" t="n"/>
      <c r="DR84" s="18" t="n"/>
      <c r="DS84" s="18" t="n"/>
      <c r="DT84" s="18" t="n"/>
    </row>
    <row r="85">
      <c r="A85" s="18">
        <f>'Schedule_Data_Option_A'!A86</f>
        <v/>
      </c>
      <c r="B85" s="18">
        <f>'Schedule_Data_Option_A'!B86</f>
        <v/>
      </c>
      <c r="C85" s="18">
        <f>'Schedule_Data_Option_A'!C86</f>
        <v/>
      </c>
      <c r="D85" s="21">
        <f>'Schedule_Data_Option_A'!D86</f>
        <v/>
      </c>
      <c r="E85" s="18" t="n"/>
      <c r="F85" s="18" t="n"/>
      <c r="G85" s="18" t="n"/>
      <c r="H85" s="18" t="n"/>
      <c r="I85" s="18" t="n"/>
      <c r="J85" s="18" t="n"/>
      <c r="K85" s="18" t="n"/>
      <c r="L85" s="18" t="n"/>
      <c r="M85" s="18" t="n"/>
      <c r="N85" s="18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  <c r="Y85" s="18" t="n"/>
      <c r="Z85" s="18" t="n"/>
      <c r="AA85" s="18" t="n"/>
      <c r="AB85" s="18" t="n"/>
      <c r="AC85" s="18" t="n"/>
      <c r="AD85" s="21" t="n"/>
      <c r="AE85" s="18" t="n"/>
      <c r="AF85" s="18" t="n"/>
      <c r="AG85" s="18" t="n"/>
      <c r="AH85" s="18" t="n"/>
      <c r="AI85" s="18" t="n"/>
      <c r="AJ85" s="18" t="n"/>
      <c r="AK85" s="18" t="n"/>
      <c r="AL85" s="18" t="n"/>
      <c r="AM85" s="18" t="n"/>
      <c r="AN85" s="18" t="n"/>
      <c r="AO85" s="18" t="n"/>
      <c r="AP85" s="18" t="n"/>
      <c r="AQ85" s="18" t="n"/>
      <c r="AR85" s="18" t="n"/>
      <c r="AS85" s="18" t="n"/>
      <c r="AT85" s="18" t="n"/>
      <c r="AU85" s="18" t="n"/>
      <c r="AV85" s="18" t="n"/>
      <c r="AW85" s="18" t="n"/>
      <c r="AX85" s="18" t="n"/>
      <c r="AY85" s="18" t="n"/>
      <c r="AZ85" s="18" t="n"/>
      <c r="BA85" s="18" t="n"/>
      <c r="BB85" s="18" t="n"/>
      <c r="BC85" s="18" t="n"/>
      <c r="BD85" s="18" t="n"/>
      <c r="BE85" s="18" t="n"/>
      <c r="BF85" s="18" t="n"/>
      <c r="BG85" s="18" t="n"/>
      <c r="BH85" s="18" t="n"/>
      <c r="BI85" s="18" t="n"/>
      <c r="BJ85" s="18" t="n"/>
      <c r="BK85" s="18" t="n"/>
      <c r="BL85" s="18" t="n"/>
      <c r="BM85" s="18" t="n"/>
      <c r="BN85" s="18" t="n"/>
      <c r="BO85" s="18" t="n"/>
      <c r="BP85" s="18" t="n"/>
      <c r="BQ85" s="18" t="n"/>
      <c r="BR85" s="18" t="n"/>
      <c r="BS85" s="18" t="n"/>
      <c r="BT85" s="18" t="n"/>
      <c r="BU85" s="18" t="n"/>
      <c r="BV85" s="18" t="n"/>
      <c r="BW85" s="18" t="n"/>
      <c r="BX85" s="18" t="n"/>
      <c r="BY85" s="18" t="n"/>
      <c r="BZ85" s="18" t="n"/>
      <c r="CA85" s="18" t="n"/>
      <c r="CB85" s="18" t="n"/>
      <c r="CC85" s="18" t="n"/>
      <c r="CD85" s="18" t="n"/>
      <c r="CE85" s="18" t="n"/>
      <c r="CF85" s="18" t="n"/>
      <c r="CG85" s="18" t="n"/>
      <c r="CH85" s="18" t="n"/>
      <c r="CI85" s="18" t="n"/>
      <c r="CJ85" s="18" t="n"/>
      <c r="CK85" s="18" t="n"/>
      <c r="CL85" s="18" t="n"/>
      <c r="CM85" s="18" t="n"/>
      <c r="CN85" s="18" t="n"/>
      <c r="CO85" s="18" t="n"/>
      <c r="CP85" s="18" t="n"/>
      <c r="CQ85" s="18" t="n"/>
      <c r="CR85" s="18" t="n"/>
      <c r="CS85" s="18" t="n"/>
      <c r="CT85" s="18" t="n"/>
      <c r="CU85" s="18" t="n"/>
      <c r="CV85" s="18" t="n"/>
      <c r="CW85" s="18" t="n"/>
      <c r="CX85" s="18" t="n"/>
      <c r="CY85" s="18" t="n"/>
      <c r="CZ85" s="18" t="n"/>
      <c r="DA85" s="18" t="n"/>
      <c r="DB85" s="18" t="n"/>
      <c r="DC85" s="18" t="n"/>
      <c r="DD85" s="18" t="n"/>
      <c r="DE85" s="18" t="n"/>
      <c r="DF85" s="18" t="n"/>
      <c r="DG85" s="18" t="n"/>
      <c r="DH85" s="18" t="n"/>
      <c r="DI85" s="18" t="n"/>
      <c r="DJ85" s="18" t="n"/>
      <c r="DK85" s="18" t="n"/>
      <c r="DL85" s="18" t="n"/>
      <c r="DM85" s="18" t="n"/>
      <c r="DN85" s="18" t="n"/>
      <c r="DO85" s="18" t="n"/>
      <c r="DP85" s="18" t="n"/>
      <c r="DQ85" s="18" t="n"/>
      <c r="DR85" s="18" t="n"/>
      <c r="DS85" s="18" t="n"/>
      <c r="DT85" s="18" t="n"/>
    </row>
    <row r="86">
      <c r="A86" s="18">
        <f>'Schedule_Data_Option_A'!A87</f>
        <v/>
      </c>
      <c r="B86" s="18">
        <f>'Schedule_Data_Option_A'!B87</f>
        <v/>
      </c>
      <c r="C86" s="18">
        <f>'Schedule_Data_Option_A'!C87</f>
        <v/>
      </c>
      <c r="D86" s="38">
        <f>'Schedule_Data_Option_A'!D87</f>
        <v/>
      </c>
      <c r="E86" s="18" t="n"/>
      <c r="F86" s="18" t="n"/>
      <c r="G86" s="18" t="n"/>
      <c r="H86" s="18" t="n"/>
      <c r="I86" s="18" t="n"/>
      <c r="J86" s="18" t="n"/>
      <c r="K86" s="18" t="n"/>
      <c r="L86" s="18" t="n"/>
      <c r="M86" s="18" t="n"/>
      <c r="N86" s="18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  <c r="Y86" s="18" t="n"/>
      <c r="Z86" s="18" t="n"/>
      <c r="AA86" s="18" t="n"/>
      <c r="AB86" s="18" t="n"/>
      <c r="AC86" s="18" t="n"/>
      <c r="AD86" s="18" t="n"/>
      <c r="AE86" s="18" t="n"/>
      <c r="AF86" s="38" t="n"/>
      <c r="AG86" s="18" t="n"/>
      <c r="AH86" s="18" t="n"/>
      <c r="AI86" s="18" t="n"/>
      <c r="AJ86" s="18" t="n"/>
      <c r="AK86" s="18" t="n"/>
      <c r="AL86" s="18" t="n"/>
      <c r="AM86" s="18" t="n"/>
      <c r="AN86" s="18" t="n"/>
      <c r="AO86" s="18" t="n"/>
      <c r="AP86" s="18" t="n"/>
      <c r="AQ86" s="18" t="n"/>
      <c r="AR86" s="18" t="n"/>
      <c r="AS86" s="18" t="n"/>
      <c r="AT86" s="18" t="n"/>
      <c r="AU86" s="18" t="n"/>
      <c r="AV86" s="18" t="n"/>
      <c r="AW86" s="18" t="n"/>
      <c r="AX86" s="18" t="n"/>
      <c r="AY86" s="18" t="n"/>
      <c r="AZ86" s="18" t="n"/>
      <c r="BA86" s="18" t="n"/>
      <c r="BB86" s="18" t="n"/>
      <c r="BC86" s="18" t="n"/>
      <c r="BD86" s="18" t="n"/>
      <c r="BE86" s="18" t="n"/>
      <c r="BF86" s="18" t="n"/>
      <c r="BG86" s="18" t="n"/>
      <c r="BH86" s="18" t="n"/>
      <c r="BI86" s="18" t="n"/>
      <c r="BJ86" s="18" t="n"/>
      <c r="BK86" s="18" t="n"/>
      <c r="BL86" s="18" t="n"/>
      <c r="BM86" s="18" t="n"/>
      <c r="BN86" s="18" t="n"/>
      <c r="BO86" s="18" t="n"/>
      <c r="BP86" s="18" t="n"/>
      <c r="BQ86" s="18" t="n"/>
      <c r="BR86" s="18" t="n"/>
      <c r="BS86" s="18" t="n"/>
      <c r="BT86" s="18" t="n"/>
      <c r="BU86" s="18" t="n"/>
      <c r="BV86" s="18" t="n"/>
      <c r="BW86" s="18" t="n"/>
      <c r="BX86" s="18" t="n"/>
      <c r="BY86" s="18" t="n"/>
      <c r="BZ86" s="18" t="n"/>
      <c r="CA86" s="18" t="n"/>
      <c r="CB86" s="18" t="n"/>
      <c r="CC86" s="18" t="n"/>
      <c r="CD86" s="18" t="n"/>
      <c r="CE86" s="18" t="n"/>
      <c r="CF86" s="18" t="n"/>
      <c r="CG86" s="18" t="n"/>
      <c r="CH86" s="18" t="n"/>
      <c r="CI86" s="18" t="n"/>
      <c r="CJ86" s="18" t="n"/>
      <c r="CK86" s="18" t="n"/>
      <c r="CL86" s="18" t="n"/>
      <c r="CM86" s="18" t="n"/>
      <c r="CN86" s="18" t="n"/>
      <c r="CO86" s="18" t="n"/>
      <c r="CP86" s="18" t="n"/>
      <c r="CQ86" s="18" t="n"/>
      <c r="CR86" s="18" t="n"/>
      <c r="CS86" s="18" t="n"/>
      <c r="CT86" s="18" t="n"/>
      <c r="CU86" s="18" t="n"/>
      <c r="CV86" s="18" t="n"/>
      <c r="CW86" s="18" t="n"/>
      <c r="CX86" s="18" t="n"/>
      <c r="CY86" s="18" t="n"/>
      <c r="CZ86" s="18" t="n"/>
      <c r="DA86" s="18" t="n"/>
      <c r="DB86" s="18" t="n"/>
      <c r="DC86" s="18" t="n"/>
      <c r="DD86" s="18" t="n"/>
      <c r="DE86" s="18" t="n"/>
      <c r="DF86" s="18" t="n"/>
      <c r="DG86" s="18" t="n"/>
      <c r="DH86" s="18" t="n"/>
      <c r="DI86" s="18" t="n"/>
      <c r="DJ86" s="18" t="n"/>
      <c r="DK86" s="18" t="n"/>
      <c r="DL86" s="18" t="n"/>
      <c r="DM86" s="18" t="n"/>
      <c r="DN86" s="18" t="n"/>
      <c r="DO86" s="18" t="n"/>
      <c r="DP86" s="18" t="n"/>
      <c r="DQ86" s="18" t="n"/>
      <c r="DR86" s="18" t="n"/>
      <c r="DS86" s="18" t="n"/>
      <c r="DT86" s="18" t="n"/>
    </row>
    <row r="87">
      <c r="A87" s="18">
        <f>'Schedule_Data_Option_A'!A88</f>
        <v/>
      </c>
      <c r="B87" s="18">
        <f>'Schedule_Data_Option_A'!B88</f>
        <v/>
      </c>
      <c r="C87" s="18">
        <f>'Schedule_Data_Option_A'!C88</f>
        <v/>
      </c>
      <c r="D87" s="21">
        <f>'Schedule_Data_Option_A'!D88</f>
        <v/>
      </c>
      <c r="E87" s="18" t="n"/>
      <c r="F87" s="18" t="n"/>
      <c r="G87" s="18" t="n"/>
      <c r="H87" s="18" t="n"/>
      <c r="I87" s="18" t="n"/>
      <c r="J87" s="18" t="n"/>
      <c r="K87" s="18" t="n"/>
      <c r="L87" s="18" t="n"/>
      <c r="M87" s="18" t="n"/>
      <c r="N87" s="18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  <c r="Y87" s="36" t="inlineStr">
        <is>
          <t>*</t>
        </is>
      </c>
      <c r="Z87" s="18" t="n"/>
      <c r="AA87" s="18" t="n"/>
      <c r="AB87" s="18" t="n"/>
      <c r="AC87" s="18" t="n"/>
      <c r="AD87" s="18" t="n"/>
      <c r="AE87" s="18" t="n"/>
      <c r="AF87" s="18" t="n"/>
      <c r="AG87" s="18" t="n"/>
      <c r="AH87" s="18" t="n"/>
      <c r="AI87" s="18" t="n"/>
      <c r="AJ87" s="18" t="n"/>
      <c r="AK87" s="18" t="n"/>
      <c r="AL87" s="18" t="n"/>
      <c r="AM87" s="18" t="n"/>
      <c r="AN87" s="18" t="n"/>
      <c r="AO87" s="18" t="n"/>
      <c r="AP87" s="18" t="n"/>
      <c r="AQ87" s="18" t="n"/>
      <c r="AR87" s="18" t="n"/>
      <c r="AS87" s="18" t="n"/>
      <c r="AT87" s="18" t="n"/>
      <c r="AU87" s="18" t="n"/>
      <c r="AV87" s="18" t="n"/>
      <c r="AW87" s="18" t="n"/>
      <c r="AX87" s="18" t="n"/>
      <c r="AY87" s="18" t="n"/>
      <c r="AZ87" s="18" t="n"/>
      <c r="BA87" s="18" t="n"/>
      <c r="BB87" s="18" t="n"/>
      <c r="BC87" s="18" t="n"/>
      <c r="BD87" s="18" t="n"/>
      <c r="BE87" s="18" t="n"/>
      <c r="BF87" s="18" t="n"/>
      <c r="BG87" s="18" t="n"/>
      <c r="BH87" s="18" t="n"/>
      <c r="BI87" s="18" t="n"/>
      <c r="BJ87" s="18" t="n"/>
      <c r="BK87" s="18" t="n"/>
      <c r="BL87" s="18" t="n"/>
      <c r="BM87" s="18" t="n"/>
      <c r="BN87" s="18" t="n"/>
      <c r="BO87" s="18" t="n"/>
      <c r="BP87" s="18" t="n"/>
      <c r="BQ87" s="18" t="n"/>
      <c r="BR87" s="18" t="n"/>
      <c r="BS87" s="18" t="n"/>
      <c r="BT87" s="18" t="n"/>
      <c r="BU87" s="18" t="n"/>
      <c r="BV87" s="18" t="n"/>
      <c r="BW87" s="18" t="n"/>
      <c r="BX87" s="18" t="n"/>
      <c r="BY87" s="18" t="n"/>
      <c r="BZ87" s="18" t="n"/>
      <c r="CA87" s="18" t="n"/>
      <c r="CB87" s="18" t="n"/>
      <c r="CC87" s="18" t="n"/>
      <c r="CD87" s="18" t="n"/>
      <c r="CE87" s="18" t="n"/>
      <c r="CF87" s="18" t="n"/>
      <c r="CG87" s="18" t="n"/>
      <c r="CH87" s="18" t="n"/>
      <c r="CI87" s="18" t="n"/>
      <c r="CJ87" s="18" t="n"/>
      <c r="CK87" s="18" t="n"/>
      <c r="CL87" s="18" t="n"/>
      <c r="CM87" s="18" t="n"/>
      <c r="CN87" s="18" t="n"/>
      <c r="CO87" s="18" t="n"/>
      <c r="CP87" s="18" t="n"/>
      <c r="CQ87" s="18" t="n"/>
      <c r="CR87" s="18" t="n"/>
      <c r="CS87" s="18" t="n"/>
      <c r="CT87" s="18" t="n"/>
      <c r="CU87" s="18" t="n"/>
      <c r="CV87" s="18" t="n"/>
      <c r="CW87" s="18" t="n"/>
      <c r="CX87" s="18" t="n"/>
      <c r="CY87" s="18" t="n"/>
      <c r="CZ87" s="18" t="n"/>
      <c r="DA87" s="18" t="n"/>
      <c r="DB87" s="18" t="n"/>
      <c r="DC87" s="18" t="n"/>
      <c r="DD87" s="18" t="n"/>
      <c r="DE87" s="18" t="n"/>
      <c r="DF87" s="18" t="n"/>
      <c r="DG87" s="18" t="n"/>
      <c r="DH87" s="18" t="n"/>
      <c r="DI87" s="18" t="n"/>
      <c r="DJ87" s="18" t="n"/>
      <c r="DK87" s="18" t="n"/>
      <c r="DL87" s="18" t="n"/>
      <c r="DM87" s="18" t="n"/>
      <c r="DN87" s="18" t="n"/>
      <c r="DO87" s="18" t="n"/>
      <c r="DP87" s="18" t="n"/>
      <c r="DQ87" s="18" t="n"/>
      <c r="DR87" s="18" t="n"/>
      <c r="DS87" s="18" t="n"/>
      <c r="DT87" s="18" t="n"/>
    </row>
    <row r="88">
      <c r="A88" s="18">
        <f>'Schedule_Data_Option_A'!A89</f>
        <v/>
      </c>
      <c r="B88" s="18">
        <f>'Schedule_Data_Option_A'!B89</f>
        <v/>
      </c>
      <c r="C88" s="18">
        <f>'Schedule_Data_Option_A'!C89</f>
        <v/>
      </c>
      <c r="D88" s="22">
        <f>'Schedule_Data_Option_A'!D89</f>
        <v/>
      </c>
      <c r="E88" s="18" t="n"/>
      <c r="F88" s="18" t="n"/>
      <c r="G88" s="18" t="n"/>
      <c r="H88" s="18" t="n"/>
      <c r="I88" s="18" t="n"/>
      <c r="J88" s="18" t="n"/>
      <c r="K88" s="18" t="n"/>
      <c r="L88" s="18" t="n"/>
      <c r="M88" s="18" t="n"/>
      <c r="N88" s="18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  <c r="Y88" s="22" t="n"/>
      <c r="Z88" s="18" t="n"/>
      <c r="AA88" s="18" t="n"/>
      <c r="AB88" s="18" t="n"/>
      <c r="AC88" s="18" t="n"/>
      <c r="AD88" s="18" t="n"/>
      <c r="AE88" s="18" t="n"/>
      <c r="AF88" s="18" t="n"/>
      <c r="AG88" s="18" t="n"/>
      <c r="AH88" s="18" t="n"/>
      <c r="AI88" s="18" t="n"/>
      <c r="AJ88" s="18" t="n"/>
      <c r="AK88" s="18" t="n"/>
      <c r="AL88" s="18" t="n"/>
      <c r="AM88" s="18" t="n"/>
      <c r="AN88" s="18" t="n"/>
      <c r="AO88" s="18" t="n"/>
      <c r="AP88" s="18" t="n"/>
      <c r="AQ88" s="18" t="n"/>
      <c r="AR88" s="18" t="n"/>
      <c r="AS88" s="18" t="n"/>
      <c r="AT88" s="18" t="n"/>
      <c r="AU88" s="18" t="n"/>
      <c r="AV88" s="18" t="n"/>
      <c r="AW88" s="18" t="n"/>
      <c r="AX88" s="18" t="n"/>
      <c r="AY88" s="18" t="n"/>
      <c r="AZ88" s="18" t="n"/>
      <c r="BA88" s="18" t="n"/>
      <c r="BB88" s="18" t="n"/>
      <c r="BC88" s="18" t="n"/>
      <c r="BD88" s="18" t="n"/>
      <c r="BE88" s="18" t="n"/>
      <c r="BF88" s="18" t="n"/>
      <c r="BG88" s="18" t="n"/>
      <c r="BH88" s="18" t="n"/>
      <c r="BI88" s="18" t="n"/>
      <c r="BJ88" s="18" t="n"/>
      <c r="BK88" s="18" t="n"/>
      <c r="BL88" s="18" t="n"/>
      <c r="BM88" s="18" t="n"/>
      <c r="BN88" s="18" t="n"/>
      <c r="BO88" s="18" t="n"/>
      <c r="BP88" s="18" t="n"/>
      <c r="BQ88" s="18" t="n"/>
      <c r="BR88" s="18" t="n"/>
      <c r="BS88" s="18" t="n"/>
      <c r="BT88" s="18" t="n"/>
      <c r="BU88" s="18" t="n"/>
      <c r="BV88" s="18" t="n"/>
      <c r="BW88" s="18" t="n"/>
      <c r="BX88" s="18" t="n"/>
      <c r="BY88" s="18" t="n"/>
      <c r="BZ88" s="18" t="n"/>
      <c r="CA88" s="18" t="n"/>
      <c r="CB88" s="18" t="n"/>
      <c r="CC88" s="18" t="n"/>
      <c r="CD88" s="18" t="n"/>
      <c r="CE88" s="18" t="n"/>
      <c r="CF88" s="18" t="n"/>
      <c r="CG88" s="18" t="n"/>
      <c r="CH88" s="18" t="n"/>
      <c r="CI88" s="18" t="n"/>
      <c r="CJ88" s="18" t="n"/>
      <c r="CK88" s="18" t="n"/>
      <c r="CL88" s="18" t="n"/>
      <c r="CM88" s="18" t="n"/>
      <c r="CN88" s="18" t="n"/>
      <c r="CO88" s="18" t="n"/>
      <c r="CP88" s="18" t="n"/>
      <c r="CQ88" s="18" t="n"/>
      <c r="CR88" s="18" t="n"/>
      <c r="CS88" s="18" t="n"/>
      <c r="CT88" s="18" t="n"/>
      <c r="CU88" s="18" t="n"/>
      <c r="CV88" s="18" t="n"/>
      <c r="CW88" s="18" t="n"/>
      <c r="CX88" s="18" t="n"/>
      <c r="CY88" s="18" t="n"/>
      <c r="CZ88" s="18" t="n"/>
      <c r="DA88" s="18" t="n"/>
      <c r="DB88" s="18" t="n"/>
      <c r="DC88" s="18" t="n"/>
      <c r="DD88" s="18" t="n"/>
      <c r="DE88" s="18" t="n"/>
      <c r="DF88" s="18" t="n"/>
      <c r="DG88" s="18" t="n"/>
      <c r="DH88" s="18" t="n"/>
      <c r="DI88" s="18" t="n"/>
      <c r="DJ88" s="18" t="n"/>
      <c r="DK88" s="18" t="n"/>
      <c r="DL88" s="18" t="n"/>
      <c r="DM88" s="18" t="n"/>
      <c r="DN88" s="18" t="n"/>
      <c r="DO88" s="18" t="n"/>
      <c r="DP88" s="18" t="n"/>
      <c r="DQ88" s="18" t="n"/>
      <c r="DR88" s="18" t="n"/>
      <c r="DS88" s="18" t="n"/>
      <c r="DT88" s="18" t="n"/>
    </row>
    <row r="89">
      <c r="A89" s="18">
        <f>'Schedule_Data_Option_A'!A90</f>
        <v/>
      </c>
      <c r="B89" s="18">
        <f>'Schedule_Data_Option_A'!B90</f>
        <v/>
      </c>
      <c r="C89" s="18">
        <f>'Schedule_Data_Option_A'!C90</f>
        <v/>
      </c>
      <c r="D89" s="21">
        <f>'Schedule_Data_Option_A'!D90</f>
        <v/>
      </c>
      <c r="E89" s="18" t="n"/>
      <c r="F89" s="18" t="n"/>
      <c r="G89" s="18" t="n"/>
      <c r="H89" s="18" t="n"/>
      <c r="I89" s="18" t="n"/>
      <c r="J89" s="18" t="n"/>
      <c r="K89" s="18" t="n"/>
      <c r="L89" s="18" t="n"/>
      <c r="M89" s="18" t="n"/>
      <c r="N89" s="18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  <c r="Y89" s="18" t="n"/>
      <c r="Z89" s="18" t="n"/>
      <c r="AA89" s="18" t="n"/>
      <c r="AB89" s="18" t="n"/>
      <c r="AC89" s="18" t="n"/>
      <c r="AD89" s="18" t="n"/>
      <c r="AE89" s="18" t="n"/>
      <c r="AF89" s="18" t="n"/>
      <c r="AG89" s="18" t="n"/>
      <c r="AH89" s="18" t="n"/>
      <c r="AI89" s="18" t="n"/>
      <c r="AJ89" s="18" t="n"/>
      <c r="AK89" s="18" t="n"/>
      <c r="AL89" s="18" t="n"/>
      <c r="AM89" s="18" t="n"/>
      <c r="AN89" s="18" t="n"/>
      <c r="AO89" s="18" t="n"/>
      <c r="AP89" s="18" t="n"/>
      <c r="AQ89" s="18" t="n"/>
      <c r="AR89" s="18" t="n"/>
      <c r="AS89" s="18" t="n"/>
      <c r="AT89" s="18" t="n"/>
      <c r="AU89" s="18" t="n"/>
      <c r="AV89" s="18" t="n"/>
      <c r="AW89" s="18" t="n"/>
      <c r="AX89" s="18" t="n"/>
      <c r="AY89" s="18" t="n"/>
      <c r="AZ89" s="18" t="n"/>
      <c r="BA89" s="18" t="n"/>
      <c r="BB89" s="18" t="n"/>
      <c r="BC89" s="18" t="n"/>
      <c r="BD89" s="18" t="n"/>
      <c r="BE89" s="18" t="n"/>
      <c r="BF89" s="18" t="n"/>
      <c r="BG89" s="18" t="n"/>
      <c r="BH89" s="18" t="n"/>
      <c r="BI89" s="18" t="n"/>
      <c r="BJ89" s="18" t="n"/>
      <c r="BK89" s="18" t="n"/>
      <c r="BL89" s="18" t="n"/>
      <c r="BM89" s="18" t="n"/>
      <c r="BN89" s="18" t="n"/>
      <c r="BO89" s="18" t="n"/>
      <c r="BP89" s="18" t="n"/>
      <c r="BQ89" s="18" t="n"/>
      <c r="BR89" s="18" t="n"/>
      <c r="BS89" s="18" t="n"/>
      <c r="BT89" s="18" t="n"/>
      <c r="BU89" s="18" t="n"/>
      <c r="BV89" s="18" t="n"/>
      <c r="BW89" s="18" t="n"/>
      <c r="BX89" s="18" t="n"/>
      <c r="BY89" s="18" t="n"/>
      <c r="BZ89" s="18" t="n"/>
      <c r="CA89" s="18" t="n"/>
      <c r="CB89" s="18" t="n"/>
      <c r="CC89" s="18" t="n"/>
      <c r="CD89" s="18" t="n"/>
      <c r="CE89" s="18" t="n"/>
      <c r="CF89" s="18" t="n"/>
      <c r="CG89" s="18" t="n"/>
      <c r="CH89" s="18" t="n"/>
      <c r="CI89" s="18" t="n"/>
      <c r="CJ89" s="18" t="n"/>
      <c r="CK89" s="18" t="n"/>
      <c r="CL89" s="18" t="n"/>
      <c r="CM89" s="18" t="n"/>
      <c r="CN89" s="18" t="n"/>
      <c r="CO89" s="18" t="n"/>
      <c r="CP89" s="18" t="n"/>
      <c r="CQ89" s="18" t="n"/>
      <c r="CR89" s="18" t="n"/>
      <c r="CS89" s="18" t="n"/>
      <c r="CT89" s="18" t="n"/>
      <c r="CU89" s="18" t="n"/>
      <c r="CV89" s="18" t="n"/>
      <c r="CW89" s="18" t="n"/>
      <c r="CX89" s="18" t="n"/>
      <c r="CY89" s="18" t="n"/>
      <c r="CZ89" s="18" t="n"/>
      <c r="DA89" s="18" t="n"/>
      <c r="DB89" s="18" t="n"/>
      <c r="DC89" s="18" t="n"/>
      <c r="DD89" s="18" t="n"/>
      <c r="DE89" s="18" t="n"/>
      <c r="DF89" s="18" t="n"/>
      <c r="DG89" s="18" t="n"/>
      <c r="DH89" s="18" t="n"/>
      <c r="DI89" s="18" t="n"/>
      <c r="DJ89" s="18" t="n"/>
      <c r="DK89" s="18" t="n"/>
      <c r="DL89" s="18" t="n"/>
      <c r="DM89" s="18" t="n"/>
      <c r="DN89" s="18" t="n"/>
      <c r="DO89" s="18" t="n"/>
      <c r="DP89" s="18" t="n"/>
      <c r="DQ89" s="18" t="n"/>
      <c r="DR89" s="18" t="n"/>
      <c r="DS89" s="18" t="n"/>
      <c r="DT89" s="18" t="n"/>
    </row>
    <row r="90">
      <c r="A90" s="18">
        <f>'Schedule_Data_Option_A'!A91</f>
        <v/>
      </c>
      <c r="B90" s="18">
        <f>'Schedule_Data_Option_A'!B91</f>
        <v/>
      </c>
      <c r="C90" s="18">
        <f>'Schedule_Data_Option_A'!C91</f>
        <v/>
      </c>
      <c r="D90" s="21">
        <f>'Schedule_Data_Option_A'!D91</f>
        <v/>
      </c>
      <c r="E90" s="18" t="n"/>
      <c r="F90" s="18" t="n"/>
      <c r="G90" s="18" t="n"/>
      <c r="H90" s="18" t="n"/>
      <c r="I90" s="18" t="n"/>
      <c r="J90" s="18" t="n"/>
      <c r="K90" s="18" t="n"/>
      <c r="L90" s="18" t="n"/>
      <c r="M90" s="18" t="n"/>
      <c r="N90" s="18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  <c r="Y90" s="18" t="n"/>
      <c r="Z90" s="18" t="n"/>
      <c r="AA90" s="18" t="n"/>
      <c r="AB90" s="18" t="n"/>
      <c r="AC90" s="18" t="n"/>
      <c r="AD90" s="18" t="n"/>
      <c r="AE90" s="18" t="n"/>
      <c r="AF90" s="18" t="n"/>
      <c r="AG90" s="18" t="n"/>
      <c r="AH90" s="18" t="n"/>
      <c r="AI90" s="18" t="n"/>
      <c r="AJ90" s="18" t="n"/>
      <c r="AK90" s="18" t="n"/>
      <c r="AL90" s="18" t="n"/>
      <c r="AM90" s="18" t="n"/>
      <c r="AN90" s="18" t="n"/>
      <c r="AO90" s="18" t="n"/>
      <c r="AP90" s="18" t="n"/>
      <c r="AQ90" s="18" t="n"/>
      <c r="AR90" s="18" t="n"/>
      <c r="AS90" s="18" t="n"/>
      <c r="AT90" s="18" t="n"/>
      <c r="AU90" s="18" t="n"/>
      <c r="AV90" s="18" t="n"/>
      <c r="AW90" s="18" t="n"/>
      <c r="AX90" s="18" t="n"/>
      <c r="AY90" s="18" t="n"/>
      <c r="AZ90" s="18" t="n"/>
      <c r="BA90" s="18" t="n"/>
      <c r="BB90" s="18" t="n"/>
      <c r="BC90" s="18" t="n"/>
      <c r="BD90" s="18" t="n"/>
      <c r="BE90" s="18" t="n"/>
      <c r="BF90" s="18" t="n"/>
      <c r="BG90" s="18" t="n"/>
      <c r="BH90" s="18" t="n"/>
      <c r="BI90" s="18" t="n"/>
      <c r="BJ90" s="18" t="n"/>
      <c r="BK90" s="18" t="n"/>
      <c r="BL90" s="18" t="n"/>
      <c r="BM90" s="18" t="n"/>
      <c r="BN90" s="18" t="n"/>
      <c r="BO90" s="18" t="n"/>
      <c r="BP90" s="18" t="n"/>
      <c r="BQ90" s="18" t="n"/>
      <c r="BR90" s="18" t="n"/>
      <c r="BS90" s="18" t="n"/>
      <c r="BT90" s="18" t="n"/>
      <c r="BU90" s="18" t="n"/>
      <c r="BV90" s="18" t="n"/>
      <c r="BW90" s="18" t="n"/>
      <c r="BX90" s="18" t="n"/>
      <c r="BY90" s="18" t="n"/>
      <c r="BZ90" s="18" t="n"/>
      <c r="CA90" s="18" t="n"/>
      <c r="CB90" s="18" t="n"/>
      <c r="CC90" s="18" t="n"/>
      <c r="CD90" s="18" t="n"/>
      <c r="CE90" s="18" t="n"/>
      <c r="CF90" s="18" t="n"/>
      <c r="CG90" s="18" t="n"/>
      <c r="CH90" s="18" t="n"/>
      <c r="CI90" s="18" t="n"/>
      <c r="CJ90" s="18" t="n"/>
      <c r="CK90" s="18" t="n"/>
      <c r="CL90" s="18" t="n"/>
      <c r="CM90" s="18" t="n"/>
      <c r="CN90" s="18" t="n"/>
      <c r="CO90" s="18" t="n"/>
      <c r="CP90" s="18" t="n"/>
      <c r="CQ90" s="18" t="n"/>
      <c r="CR90" s="18" t="n"/>
      <c r="CS90" s="18" t="n"/>
      <c r="CT90" s="18" t="n"/>
      <c r="CU90" s="18" t="n"/>
      <c r="CV90" s="18" t="n"/>
      <c r="CW90" s="18" t="n"/>
      <c r="CX90" s="18" t="n"/>
      <c r="CY90" s="18" t="n"/>
      <c r="CZ90" s="18" t="n"/>
      <c r="DA90" s="18" t="n"/>
      <c r="DB90" s="18" t="n"/>
      <c r="DC90" s="18" t="n"/>
      <c r="DD90" s="18" t="n"/>
      <c r="DE90" s="18" t="n"/>
      <c r="DF90" s="18" t="n"/>
      <c r="DG90" s="18" t="n"/>
      <c r="DH90" s="18" t="n"/>
      <c r="DI90" s="18" t="n"/>
      <c r="DJ90" s="18" t="n"/>
      <c r="DK90" s="18" t="n"/>
      <c r="DL90" s="18" t="n"/>
      <c r="DM90" s="18" t="n"/>
      <c r="DN90" s="18" t="n"/>
      <c r="DO90" s="18" t="n"/>
      <c r="DP90" s="18" t="n"/>
      <c r="DQ90" s="18" t="n"/>
      <c r="DR90" s="18" t="n"/>
      <c r="DS90" s="18" t="n"/>
      <c r="DT90" s="18" t="n"/>
    </row>
    <row r="91">
      <c r="A91" s="18">
        <f>'Schedule_Data_Option_A'!A92</f>
        <v/>
      </c>
      <c r="B91" s="18">
        <f>'Schedule_Data_Option_A'!B92</f>
        <v/>
      </c>
      <c r="C91" s="18">
        <f>'Schedule_Data_Option_A'!C92</f>
        <v/>
      </c>
      <c r="D91" s="23">
        <f>'Schedule_Data_Option_A'!D92</f>
        <v/>
      </c>
      <c r="E91" s="18" t="n"/>
      <c r="F91" s="18" t="n"/>
      <c r="G91" s="18" t="n"/>
      <c r="H91" s="18" t="n"/>
      <c r="I91" s="18" t="n"/>
      <c r="J91" s="18" t="n"/>
      <c r="K91" s="18" t="n"/>
      <c r="L91" s="18" t="n"/>
      <c r="M91" s="18" t="n"/>
      <c r="N91" s="18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  <c r="Y91" s="18" t="n"/>
      <c r="Z91" s="18" t="n"/>
      <c r="AA91" s="18" t="n"/>
      <c r="AB91" s="18" t="n"/>
      <c r="AC91" s="18" t="n"/>
      <c r="AD91" s="18" t="n"/>
      <c r="AE91" s="18" t="n"/>
      <c r="AF91" s="18" t="n"/>
      <c r="AG91" s="18" t="n"/>
      <c r="AH91" s="18" t="n"/>
      <c r="AI91" s="18" t="n"/>
      <c r="AJ91" s="18" t="n"/>
      <c r="AK91" s="18" t="n"/>
      <c r="AL91" s="18" t="n"/>
      <c r="AM91" s="18" t="n"/>
      <c r="AN91" s="18" t="n"/>
      <c r="AO91" s="18" t="n"/>
      <c r="AP91" s="18" t="n"/>
      <c r="AQ91" s="18" t="n"/>
      <c r="AR91" s="18" t="n"/>
      <c r="AS91" s="18" t="n"/>
      <c r="AT91" s="18" t="n"/>
      <c r="AU91" s="18" t="n"/>
      <c r="AV91" s="18" t="n"/>
      <c r="AW91" s="18" t="n"/>
      <c r="AX91" s="18" t="n"/>
      <c r="AY91" s="18" t="n"/>
      <c r="AZ91" s="18" t="n"/>
      <c r="BA91" s="18" t="n"/>
      <c r="BB91" s="18" t="n"/>
      <c r="BC91" s="18" t="n"/>
      <c r="BD91" s="18" t="n"/>
      <c r="BE91" s="18" t="n"/>
      <c r="BF91" s="18" t="n"/>
      <c r="BG91" s="18" t="n"/>
      <c r="BH91" s="18" t="n"/>
      <c r="BI91" s="18" t="n"/>
      <c r="BJ91" s="18" t="n"/>
      <c r="BK91" s="18" t="n"/>
      <c r="BL91" s="18" t="n"/>
      <c r="BM91" s="18" t="n"/>
      <c r="BN91" s="18" t="n"/>
      <c r="BO91" s="18" t="n"/>
      <c r="BP91" s="18" t="n"/>
      <c r="BQ91" s="18" t="n"/>
      <c r="BR91" s="18" t="n"/>
      <c r="BS91" s="18" t="n"/>
      <c r="BT91" s="18" t="n"/>
      <c r="BU91" s="18" t="n"/>
      <c r="BV91" s="18" t="n"/>
      <c r="BW91" s="18" t="n"/>
      <c r="BX91" s="18" t="n"/>
      <c r="BY91" s="18" t="n"/>
      <c r="BZ91" s="18" t="n"/>
      <c r="CA91" s="18" t="n"/>
      <c r="CB91" s="18" t="n"/>
      <c r="CC91" s="18" t="n"/>
      <c r="CD91" s="18" t="n"/>
      <c r="CE91" s="18" t="n"/>
      <c r="CF91" s="18" t="n"/>
      <c r="CG91" s="18" t="n"/>
      <c r="CH91" s="18" t="n"/>
      <c r="CI91" s="18" t="n"/>
      <c r="CJ91" s="18" t="n"/>
      <c r="CK91" s="18" t="n"/>
      <c r="CL91" s="18" t="n"/>
      <c r="CM91" s="18" t="n"/>
      <c r="CN91" s="18" t="n"/>
      <c r="CO91" s="18" t="n"/>
      <c r="CP91" s="18" t="n"/>
      <c r="CQ91" s="18" t="n"/>
      <c r="CR91" s="18" t="n"/>
      <c r="CS91" s="18" t="n"/>
      <c r="CT91" s="18" t="n"/>
      <c r="CU91" s="18" t="n"/>
      <c r="CV91" s="18" t="n"/>
      <c r="CW91" s="18" t="n"/>
      <c r="CX91" s="18" t="n"/>
      <c r="CY91" s="18" t="n"/>
      <c r="CZ91" s="18" t="n"/>
      <c r="DA91" s="18" t="n"/>
      <c r="DB91" s="18" t="n"/>
      <c r="DC91" s="18" t="n"/>
      <c r="DD91" s="18" t="n"/>
      <c r="DE91" s="18" t="n"/>
      <c r="DF91" s="18" t="n"/>
      <c r="DG91" s="18" t="n"/>
      <c r="DH91" s="18" t="n"/>
      <c r="DI91" s="18" t="n"/>
      <c r="DJ91" s="18" t="n"/>
      <c r="DK91" s="18" t="n"/>
      <c r="DL91" s="18" t="n"/>
      <c r="DM91" s="18" t="n"/>
      <c r="DN91" s="18" t="n"/>
      <c r="DO91" s="18" t="n"/>
      <c r="DP91" s="18" t="n"/>
      <c r="DQ91" s="18" t="n"/>
      <c r="DR91" s="18" t="n"/>
      <c r="DS91" s="18" t="n"/>
      <c r="DT91" s="18" t="n"/>
    </row>
    <row r="92">
      <c r="A92" s="18">
        <f>'Schedule_Data_Option_A'!A93</f>
        <v/>
      </c>
      <c r="B92" s="18">
        <f>'Schedule_Data_Option_A'!B93</f>
        <v/>
      </c>
      <c r="C92" s="18">
        <f>'Schedule_Data_Option_A'!C93</f>
        <v/>
      </c>
      <c r="D92" s="24">
        <f>'Schedule_Data_Option_A'!D93</f>
        <v/>
      </c>
      <c r="E92" s="18" t="n"/>
      <c r="F92" s="18" t="n"/>
      <c r="G92" s="18" t="n"/>
      <c r="H92" s="18" t="n"/>
      <c r="I92" s="18" t="n"/>
      <c r="J92" s="18" t="n"/>
      <c r="K92" s="18" t="n"/>
      <c r="L92" s="18" t="n"/>
      <c r="M92" s="18" t="n"/>
      <c r="N92" s="18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  <c r="Y92" s="18" t="n"/>
      <c r="Z92" s="24" t="n"/>
      <c r="AA92" s="18" t="n"/>
      <c r="AB92" s="18" t="n"/>
      <c r="AC92" s="18" t="n"/>
      <c r="AD92" s="18" t="n"/>
      <c r="AE92" s="18" t="n"/>
      <c r="AF92" s="18" t="n"/>
      <c r="AG92" s="18" t="n"/>
      <c r="AH92" s="18" t="n"/>
      <c r="AI92" s="18" t="n"/>
      <c r="AJ92" s="18" t="n"/>
      <c r="AK92" s="18" t="n"/>
      <c r="AL92" s="18" t="n"/>
      <c r="AM92" s="18" t="n"/>
      <c r="AN92" s="18" t="n"/>
      <c r="AO92" s="18" t="n"/>
      <c r="AP92" s="18" t="n"/>
      <c r="AQ92" s="18" t="n"/>
      <c r="AR92" s="18" t="n"/>
      <c r="AS92" s="18" t="n"/>
      <c r="AT92" s="18" t="n"/>
      <c r="AU92" s="18" t="n"/>
      <c r="AV92" s="18" t="n"/>
      <c r="AW92" s="18" t="n"/>
      <c r="AX92" s="18" t="n"/>
      <c r="AY92" s="18" t="n"/>
      <c r="AZ92" s="18" t="n"/>
      <c r="BA92" s="18" t="n"/>
      <c r="BB92" s="18" t="n"/>
      <c r="BC92" s="18" t="n"/>
      <c r="BD92" s="18" t="n"/>
      <c r="BE92" s="18" t="n"/>
      <c r="BF92" s="18" t="n"/>
      <c r="BG92" s="18" t="n"/>
      <c r="BH92" s="18" t="n"/>
      <c r="BI92" s="18" t="n"/>
      <c r="BJ92" s="18" t="n"/>
      <c r="BK92" s="18" t="n"/>
      <c r="BL92" s="18" t="n"/>
      <c r="BM92" s="18" t="n"/>
      <c r="BN92" s="18" t="n"/>
      <c r="BO92" s="18" t="n"/>
      <c r="BP92" s="18" t="n"/>
      <c r="BQ92" s="18" t="n"/>
      <c r="BR92" s="18" t="n"/>
      <c r="BS92" s="18" t="n"/>
      <c r="BT92" s="18" t="n"/>
      <c r="BU92" s="18" t="n"/>
      <c r="BV92" s="18" t="n"/>
      <c r="BW92" s="18" t="n"/>
      <c r="BX92" s="18" t="n"/>
      <c r="BY92" s="18" t="n"/>
      <c r="BZ92" s="18" t="n"/>
      <c r="CA92" s="18" t="n"/>
      <c r="CB92" s="18" t="n"/>
      <c r="CC92" s="18" t="n"/>
      <c r="CD92" s="18" t="n"/>
      <c r="CE92" s="18" t="n"/>
      <c r="CF92" s="18" t="n"/>
      <c r="CG92" s="18" t="n"/>
      <c r="CH92" s="18" t="n"/>
      <c r="CI92" s="18" t="n"/>
      <c r="CJ92" s="18" t="n"/>
      <c r="CK92" s="18" t="n"/>
      <c r="CL92" s="18" t="n"/>
      <c r="CM92" s="18" t="n"/>
      <c r="CN92" s="18" t="n"/>
      <c r="CO92" s="18" t="n"/>
      <c r="CP92" s="18" t="n"/>
      <c r="CQ92" s="18" t="n"/>
      <c r="CR92" s="18" t="n"/>
      <c r="CS92" s="18" t="n"/>
      <c r="CT92" s="18" t="n"/>
      <c r="CU92" s="18" t="n"/>
      <c r="CV92" s="18" t="n"/>
      <c r="CW92" s="18" t="n"/>
      <c r="CX92" s="18" t="n"/>
      <c r="CY92" s="18" t="n"/>
      <c r="CZ92" s="18" t="n"/>
      <c r="DA92" s="18" t="n"/>
      <c r="DB92" s="18" t="n"/>
      <c r="DC92" s="18" t="n"/>
      <c r="DD92" s="18" t="n"/>
      <c r="DE92" s="18" t="n"/>
      <c r="DF92" s="18" t="n"/>
      <c r="DG92" s="18" t="n"/>
      <c r="DH92" s="18" t="n"/>
      <c r="DI92" s="18" t="n"/>
      <c r="DJ92" s="18" t="n"/>
      <c r="DK92" s="18" t="n"/>
      <c r="DL92" s="18" t="n"/>
      <c r="DM92" s="18" t="n"/>
      <c r="DN92" s="18" t="n"/>
      <c r="DO92" s="18" t="n"/>
      <c r="DP92" s="18" t="n"/>
      <c r="DQ92" s="18" t="n"/>
      <c r="DR92" s="18" t="n"/>
      <c r="DS92" s="18" t="n"/>
      <c r="DT92" s="18" t="n"/>
    </row>
    <row r="93">
      <c r="A93" s="18">
        <f>'Schedule_Data_Option_A'!A94</f>
        <v/>
      </c>
      <c r="B93" s="18">
        <f>'Schedule_Data_Option_A'!B94</f>
        <v/>
      </c>
      <c r="C93" s="18">
        <f>'Schedule_Data_Option_A'!C94</f>
        <v/>
      </c>
      <c r="D93" s="21">
        <f>'Schedule_Data_Option_A'!D94</f>
        <v/>
      </c>
      <c r="E93" s="18" t="n"/>
      <c r="F93" s="18" t="n"/>
      <c r="G93" s="18" t="n"/>
      <c r="H93" s="18" t="n"/>
      <c r="I93" s="18" t="n"/>
      <c r="J93" s="18" t="n"/>
      <c r="K93" s="18" t="n"/>
      <c r="L93" s="18" t="n"/>
      <c r="M93" s="18" t="n"/>
      <c r="N93" s="18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  <c r="Y93" s="18" t="n"/>
      <c r="Z93" s="21" t="n"/>
      <c r="AA93" s="18" t="n"/>
      <c r="AB93" s="18" t="n"/>
      <c r="AC93" s="18" t="n"/>
      <c r="AD93" s="18" t="n"/>
      <c r="AE93" s="18" t="n"/>
      <c r="AF93" s="18" t="n"/>
      <c r="AG93" s="18" t="n"/>
      <c r="AH93" s="18" t="n"/>
      <c r="AI93" s="18" t="n"/>
      <c r="AJ93" s="18" t="n"/>
      <c r="AK93" s="18" t="n"/>
      <c r="AL93" s="18" t="n"/>
      <c r="AM93" s="18" t="n"/>
      <c r="AN93" s="18" t="n"/>
      <c r="AO93" s="18" t="n"/>
      <c r="AP93" s="18" t="n"/>
      <c r="AQ93" s="18" t="n"/>
      <c r="AR93" s="18" t="n"/>
      <c r="AS93" s="18" t="n"/>
      <c r="AT93" s="18" t="n"/>
      <c r="AU93" s="18" t="n"/>
      <c r="AV93" s="18" t="n"/>
      <c r="AW93" s="18" t="n"/>
      <c r="AX93" s="18" t="n"/>
      <c r="AY93" s="18" t="n"/>
      <c r="AZ93" s="18" t="n"/>
      <c r="BA93" s="18" t="n"/>
      <c r="BB93" s="18" t="n"/>
      <c r="BC93" s="18" t="n"/>
      <c r="BD93" s="18" t="n"/>
      <c r="BE93" s="18" t="n"/>
      <c r="BF93" s="18" t="n"/>
      <c r="BG93" s="18" t="n"/>
      <c r="BH93" s="18" t="n"/>
      <c r="BI93" s="18" t="n"/>
      <c r="BJ93" s="18" t="n"/>
      <c r="BK93" s="18" t="n"/>
      <c r="BL93" s="18" t="n"/>
      <c r="BM93" s="18" t="n"/>
      <c r="BN93" s="18" t="n"/>
      <c r="BO93" s="18" t="n"/>
      <c r="BP93" s="18" t="n"/>
      <c r="BQ93" s="18" t="n"/>
      <c r="BR93" s="18" t="n"/>
      <c r="BS93" s="18" t="n"/>
      <c r="BT93" s="18" t="n"/>
      <c r="BU93" s="18" t="n"/>
      <c r="BV93" s="18" t="n"/>
      <c r="BW93" s="18" t="n"/>
      <c r="BX93" s="18" t="n"/>
      <c r="BY93" s="18" t="n"/>
      <c r="BZ93" s="18" t="n"/>
      <c r="CA93" s="18" t="n"/>
      <c r="CB93" s="18" t="n"/>
      <c r="CC93" s="18" t="n"/>
      <c r="CD93" s="18" t="n"/>
      <c r="CE93" s="18" t="n"/>
      <c r="CF93" s="18" t="n"/>
      <c r="CG93" s="18" t="n"/>
      <c r="CH93" s="18" t="n"/>
      <c r="CI93" s="18" t="n"/>
      <c r="CJ93" s="18" t="n"/>
      <c r="CK93" s="18" t="n"/>
      <c r="CL93" s="18" t="n"/>
      <c r="CM93" s="18" t="n"/>
      <c r="CN93" s="18" t="n"/>
      <c r="CO93" s="18" t="n"/>
      <c r="CP93" s="18" t="n"/>
      <c r="CQ93" s="18" t="n"/>
      <c r="CR93" s="18" t="n"/>
      <c r="CS93" s="18" t="n"/>
      <c r="CT93" s="18" t="n"/>
      <c r="CU93" s="18" t="n"/>
      <c r="CV93" s="18" t="n"/>
      <c r="CW93" s="18" t="n"/>
      <c r="CX93" s="18" t="n"/>
      <c r="CY93" s="18" t="n"/>
      <c r="CZ93" s="18" t="n"/>
      <c r="DA93" s="18" t="n"/>
      <c r="DB93" s="18" t="n"/>
      <c r="DC93" s="18" t="n"/>
      <c r="DD93" s="18" t="n"/>
      <c r="DE93" s="18" t="n"/>
      <c r="DF93" s="18" t="n"/>
      <c r="DG93" s="18" t="n"/>
      <c r="DH93" s="18" t="n"/>
      <c r="DI93" s="18" t="n"/>
      <c r="DJ93" s="18" t="n"/>
      <c r="DK93" s="18" t="n"/>
      <c r="DL93" s="18" t="n"/>
      <c r="DM93" s="18" t="n"/>
      <c r="DN93" s="18" t="n"/>
      <c r="DO93" s="18" t="n"/>
      <c r="DP93" s="18" t="n"/>
      <c r="DQ93" s="18" t="n"/>
      <c r="DR93" s="18" t="n"/>
      <c r="DS93" s="18" t="n"/>
      <c r="DT93" s="18" t="n"/>
    </row>
    <row r="94">
      <c r="A94" s="18">
        <f>'Schedule_Data_Option_A'!A95</f>
        <v/>
      </c>
      <c r="B94" s="18">
        <f>'Schedule_Data_Option_A'!B95</f>
        <v/>
      </c>
      <c r="C94" s="18">
        <f>'Schedule_Data_Option_A'!C95</f>
        <v/>
      </c>
      <c r="D94" s="21">
        <f>'Schedule_Data_Option_A'!D95</f>
        <v/>
      </c>
      <c r="E94" s="18" t="n"/>
      <c r="F94" s="18" t="n"/>
      <c r="G94" s="18" t="n"/>
      <c r="H94" s="18" t="n"/>
      <c r="I94" s="18" t="n"/>
      <c r="J94" s="18" t="n"/>
      <c r="K94" s="18" t="n"/>
      <c r="L94" s="18" t="n"/>
      <c r="M94" s="18" t="n"/>
      <c r="N94" s="18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  <c r="Y94" s="18" t="n"/>
      <c r="Z94" s="18" t="n"/>
      <c r="AA94" s="18" t="n"/>
      <c r="AB94" s="18" t="n"/>
      <c r="AC94" s="18" t="n"/>
      <c r="AD94" s="18" t="n"/>
      <c r="AE94" s="18" t="n"/>
      <c r="AF94" s="18" t="n"/>
      <c r="AG94" s="18" t="n"/>
      <c r="AH94" s="18" t="n"/>
      <c r="AI94" s="18" t="n"/>
      <c r="AJ94" s="18" t="n"/>
      <c r="AK94" s="18" t="n"/>
      <c r="AL94" s="18" t="n"/>
      <c r="AM94" s="18" t="n"/>
      <c r="AN94" s="18" t="n"/>
      <c r="AO94" s="18" t="n"/>
      <c r="AP94" s="18" t="n"/>
      <c r="AQ94" s="18" t="n"/>
      <c r="AR94" s="18" t="n"/>
      <c r="AS94" s="18" t="n"/>
      <c r="AT94" s="18" t="n"/>
      <c r="AU94" s="18" t="n"/>
      <c r="AV94" s="18" t="n"/>
      <c r="AW94" s="18" t="n"/>
      <c r="AX94" s="18" t="n"/>
      <c r="AY94" s="18" t="n"/>
      <c r="AZ94" s="18" t="n"/>
      <c r="BA94" s="18" t="n"/>
      <c r="BB94" s="18" t="n"/>
      <c r="BC94" s="18" t="n"/>
      <c r="BD94" s="18" t="n"/>
      <c r="BE94" s="18" t="n"/>
      <c r="BF94" s="18" t="n"/>
      <c r="BG94" s="18" t="n"/>
      <c r="BH94" s="18" t="n"/>
      <c r="BI94" s="18" t="n"/>
      <c r="BJ94" s="18" t="n"/>
      <c r="BK94" s="18" t="n"/>
      <c r="BL94" s="18" t="n"/>
      <c r="BM94" s="18" t="n"/>
      <c r="BN94" s="18" t="n"/>
      <c r="BO94" s="18" t="n"/>
      <c r="BP94" s="18" t="n"/>
      <c r="BQ94" s="18" t="n"/>
      <c r="BR94" s="18" t="n"/>
      <c r="BS94" s="18" t="n"/>
      <c r="BT94" s="18" t="n"/>
      <c r="BU94" s="18" t="n"/>
      <c r="BV94" s="18" t="n"/>
      <c r="BW94" s="18" t="n"/>
      <c r="BX94" s="18" t="n"/>
      <c r="BY94" s="18" t="n"/>
      <c r="BZ94" s="18" t="n"/>
      <c r="CA94" s="18" t="n"/>
      <c r="CB94" s="18" t="n"/>
      <c r="CC94" s="18" t="n"/>
      <c r="CD94" s="18" t="n"/>
      <c r="CE94" s="18" t="n"/>
      <c r="CF94" s="18" t="n"/>
      <c r="CG94" s="18" t="n"/>
      <c r="CH94" s="18" t="n"/>
      <c r="CI94" s="18" t="n"/>
      <c r="CJ94" s="18" t="n"/>
      <c r="CK94" s="18" t="n"/>
      <c r="CL94" s="18" t="n"/>
      <c r="CM94" s="18" t="n"/>
      <c r="CN94" s="18" t="n"/>
      <c r="CO94" s="18" t="n"/>
      <c r="CP94" s="18" t="n"/>
      <c r="CQ94" s="18" t="n"/>
      <c r="CR94" s="18" t="n"/>
      <c r="CS94" s="18" t="n"/>
      <c r="CT94" s="18" t="n"/>
      <c r="CU94" s="18" t="n"/>
      <c r="CV94" s="18" t="n"/>
      <c r="CW94" s="18" t="n"/>
      <c r="CX94" s="18" t="n"/>
      <c r="CY94" s="18" t="n"/>
      <c r="CZ94" s="18" t="n"/>
      <c r="DA94" s="18" t="n"/>
      <c r="DB94" s="18" t="n"/>
      <c r="DC94" s="18" t="n"/>
      <c r="DD94" s="18" t="n"/>
      <c r="DE94" s="18" t="n"/>
      <c r="DF94" s="18" t="n"/>
      <c r="DG94" s="18" t="n"/>
      <c r="DH94" s="18" t="n"/>
      <c r="DI94" s="18" t="n"/>
      <c r="DJ94" s="18" t="n"/>
      <c r="DK94" s="18" t="n"/>
      <c r="DL94" s="18" t="n"/>
      <c r="DM94" s="18" t="n"/>
      <c r="DN94" s="18" t="n"/>
      <c r="DO94" s="18" t="n"/>
      <c r="DP94" s="18" t="n"/>
      <c r="DQ94" s="18" t="n"/>
      <c r="DR94" s="18" t="n"/>
      <c r="DS94" s="18" t="n"/>
      <c r="DT94" s="18" t="n"/>
    </row>
    <row r="95">
      <c r="A95" s="18">
        <f>'Schedule_Data_Option_A'!A96</f>
        <v/>
      </c>
      <c r="B95" s="18">
        <f>'Schedule_Data_Option_A'!B96</f>
        <v/>
      </c>
      <c r="C95" s="18">
        <f>'Schedule_Data_Option_A'!C96</f>
        <v/>
      </c>
      <c r="D95" s="21">
        <f>'Schedule_Data_Option_A'!D96</f>
        <v/>
      </c>
      <c r="E95" s="18" t="n"/>
      <c r="F95" s="18" t="n"/>
      <c r="G95" s="18" t="n"/>
      <c r="H95" s="18" t="n"/>
      <c r="I95" s="18" t="n"/>
      <c r="J95" s="18" t="n"/>
      <c r="K95" s="18" t="n"/>
      <c r="L95" s="18" t="n"/>
      <c r="M95" s="18" t="n"/>
      <c r="N95" s="18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  <c r="Y95" s="18" t="n"/>
      <c r="Z95" s="18" t="n"/>
      <c r="AA95" s="18" t="n"/>
      <c r="AB95" s="18" t="n"/>
      <c r="AC95" s="18" t="n"/>
      <c r="AD95" s="18" t="n"/>
      <c r="AE95" s="18" t="n"/>
      <c r="AF95" s="18" t="n"/>
      <c r="AG95" s="18" t="n"/>
      <c r="AH95" s="18" t="n"/>
      <c r="AI95" s="18" t="n"/>
      <c r="AJ95" s="18" t="n"/>
      <c r="AK95" s="18" t="n"/>
      <c r="AL95" s="18" t="n"/>
      <c r="AM95" s="18" t="n"/>
      <c r="AN95" s="18" t="n"/>
      <c r="AO95" s="18" t="n"/>
      <c r="AP95" s="18" t="n"/>
      <c r="AQ95" s="18" t="n"/>
      <c r="AR95" s="18" t="n"/>
      <c r="AS95" s="18" t="n"/>
      <c r="AT95" s="18" t="n"/>
      <c r="AU95" s="18" t="n"/>
      <c r="AV95" s="18" t="n"/>
      <c r="AW95" s="18" t="n"/>
      <c r="AX95" s="18" t="n"/>
      <c r="AY95" s="18" t="n"/>
      <c r="AZ95" s="18" t="n"/>
      <c r="BA95" s="18" t="n"/>
      <c r="BB95" s="18" t="n"/>
      <c r="BC95" s="18" t="n"/>
      <c r="BD95" s="18" t="n"/>
      <c r="BE95" s="18" t="n"/>
      <c r="BF95" s="18" t="n"/>
      <c r="BG95" s="18" t="n"/>
      <c r="BH95" s="18" t="n"/>
      <c r="BI95" s="18" t="n"/>
      <c r="BJ95" s="18" t="n"/>
      <c r="BK95" s="18" t="n"/>
      <c r="BL95" s="18" t="n"/>
      <c r="BM95" s="18" t="n"/>
      <c r="BN95" s="18" t="n"/>
      <c r="BO95" s="18" t="n"/>
      <c r="BP95" s="18" t="n"/>
      <c r="BQ95" s="18" t="n"/>
      <c r="BR95" s="18" t="n"/>
      <c r="BS95" s="18" t="n"/>
      <c r="BT95" s="18" t="n"/>
      <c r="BU95" s="18" t="n"/>
      <c r="BV95" s="18" t="n"/>
      <c r="BW95" s="18" t="n"/>
      <c r="BX95" s="18" t="n"/>
      <c r="BY95" s="18" t="n"/>
      <c r="BZ95" s="18" t="n"/>
      <c r="CA95" s="18" t="n"/>
      <c r="CB95" s="18" t="n"/>
      <c r="CC95" s="18" t="n"/>
      <c r="CD95" s="18" t="n"/>
      <c r="CE95" s="18" t="n"/>
      <c r="CF95" s="18" t="n"/>
      <c r="CG95" s="18" t="n"/>
      <c r="CH95" s="18" t="n"/>
      <c r="CI95" s="18" t="n"/>
      <c r="CJ95" s="18" t="n"/>
      <c r="CK95" s="18" t="n"/>
      <c r="CL95" s="18" t="n"/>
      <c r="CM95" s="18" t="n"/>
      <c r="CN95" s="18" t="n"/>
      <c r="CO95" s="18" t="n"/>
      <c r="CP95" s="18" t="n"/>
      <c r="CQ95" s="18" t="n"/>
      <c r="CR95" s="18" t="n"/>
      <c r="CS95" s="18" t="n"/>
      <c r="CT95" s="18" t="n"/>
      <c r="CU95" s="18" t="n"/>
      <c r="CV95" s="18" t="n"/>
      <c r="CW95" s="18" t="n"/>
      <c r="CX95" s="18" t="n"/>
      <c r="CY95" s="18" t="n"/>
      <c r="CZ95" s="18" t="n"/>
      <c r="DA95" s="18" t="n"/>
      <c r="DB95" s="18" t="n"/>
      <c r="DC95" s="18" t="n"/>
      <c r="DD95" s="18" t="n"/>
      <c r="DE95" s="18" t="n"/>
      <c r="DF95" s="18" t="n"/>
      <c r="DG95" s="18" t="n"/>
      <c r="DH95" s="18" t="n"/>
      <c r="DI95" s="18" t="n"/>
      <c r="DJ95" s="18" t="n"/>
      <c r="DK95" s="18" t="n"/>
      <c r="DL95" s="18" t="n"/>
      <c r="DM95" s="18" t="n"/>
      <c r="DN95" s="18" t="n"/>
      <c r="DO95" s="18" t="n"/>
      <c r="DP95" s="18" t="n"/>
      <c r="DQ95" s="18" t="n"/>
      <c r="DR95" s="18" t="n"/>
      <c r="DS95" s="18" t="n"/>
      <c r="DT95" s="18" t="n"/>
    </row>
    <row r="96">
      <c r="A96" s="18">
        <f>'Schedule_Data_Option_A'!A97</f>
        <v/>
      </c>
      <c r="B96" s="18">
        <f>'Schedule_Data_Option_A'!B97</f>
        <v/>
      </c>
      <c r="C96" s="18">
        <f>'Schedule_Data_Option_A'!C97</f>
        <v/>
      </c>
      <c r="D96" s="23">
        <f>'Schedule_Data_Option_A'!D97</f>
        <v/>
      </c>
      <c r="E96" s="18" t="n"/>
      <c r="F96" s="18" t="n"/>
      <c r="G96" s="18" t="n"/>
      <c r="H96" s="18" t="n"/>
      <c r="I96" s="18" t="n"/>
      <c r="J96" s="18" t="n"/>
      <c r="K96" s="18" t="n"/>
      <c r="L96" s="18" t="n"/>
      <c r="M96" s="18" t="n"/>
      <c r="N96" s="18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  <c r="Y96" s="18" t="n"/>
      <c r="Z96" s="18" t="n"/>
      <c r="AA96" s="18" t="n"/>
      <c r="AB96" s="18" t="n"/>
      <c r="AC96" s="18" t="n"/>
      <c r="AD96" s="18" t="n"/>
      <c r="AE96" s="18" t="n"/>
      <c r="AF96" s="18" t="n"/>
      <c r="AG96" s="18" t="n"/>
      <c r="AH96" s="18" t="n"/>
      <c r="AI96" s="18" t="n"/>
      <c r="AJ96" s="18" t="n"/>
      <c r="AK96" s="18" t="n"/>
      <c r="AL96" s="18" t="n"/>
      <c r="AM96" s="18" t="n"/>
      <c r="AN96" s="18" t="n"/>
      <c r="AO96" s="18" t="n"/>
      <c r="AP96" s="18" t="n"/>
      <c r="AQ96" s="18" t="n"/>
      <c r="AR96" s="18" t="n"/>
      <c r="AS96" s="18" t="n"/>
      <c r="AT96" s="18" t="n"/>
      <c r="AU96" s="18" t="n"/>
      <c r="AV96" s="18" t="n"/>
      <c r="AW96" s="18" t="n"/>
      <c r="AX96" s="18" t="n"/>
      <c r="AY96" s="18" t="n"/>
      <c r="AZ96" s="18" t="n"/>
      <c r="BA96" s="18" t="n"/>
      <c r="BB96" s="18" t="n"/>
      <c r="BC96" s="18" t="n"/>
      <c r="BD96" s="18" t="n"/>
      <c r="BE96" s="18" t="n"/>
      <c r="BF96" s="18" t="n"/>
      <c r="BG96" s="18" t="n"/>
      <c r="BH96" s="18" t="n"/>
      <c r="BI96" s="18" t="n"/>
      <c r="BJ96" s="18" t="n"/>
      <c r="BK96" s="18" t="n"/>
      <c r="BL96" s="18" t="n"/>
      <c r="BM96" s="18" t="n"/>
      <c r="BN96" s="18" t="n"/>
      <c r="BO96" s="18" t="n"/>
      <c r="BP96" s="18" t="n"/>
      <c r="BQ96" s="18" t="n"/>
      <c r="BR96" s="18" t="n"/>
      <c r="BS96" s="18" t="n"/>
      <c r="BT96" s="18" t="n"/>
      <c r="BU96" s="18" t="n"/>
      <c r="BV96" s="18" t="n"/>
      <c r="BW96" s="18" t="n"/>
      <c r="BX96" s="18" t="n"/>
      <c r="BY96" s="18" t="n"/>
      <c r="BZ96" s="18" t="n"/>
      <c r="CA96" s="18" t="n"/>
      <c r="CB96" s="18" t="n"/>
      <c r="CC96" s="18" t="n"/>
      <c r="CD96" s="18" t="n"/>
      <c r="CE96" s="18" t="n"/>
      <c r="CF96" s="18" t="n"/>
      <c r="CG96" s="18" t="n"/>
      <c r="CH96" s="18" t="n"/>
      <c r="CI96" s="18" t="n"/>
      <c r="CJ96" s="18" t="n"/>
      <c r="CK96" s="18" t="n"/>
      <c r="CL96" s="18" t="n"/>
      <c r="CM96" s="18" t="n"/>
      <c r="CN96" s="18" t="n"/>
      <c r="CO96" s="18" t="n"/>
      <c r="CP96" s="18" t="n"/>
      <c r="CQ96" s="18" t="n"/>
      <c r="CR96" s="18" t="n"/>
      <c r="CS96" s="18" t="n"/>
      <c r="CT96" s="18" t="n"/>
      <c r="CU96" s="18" t="n"/>
      <c r="CV96" s="18" t="n"/>
      <c r="CW96" s="18" t="n"/>
      <c r="CX96" s="18" t="n"/>
      <c r="CY96" s="18" t="n"/>
      <c r="CZ96" s="18" t="n"/>
      <c r="DA96" s="18" t="n"/>
      <c r="DB96" s="18" t="n"/>
      <c r="DC96" s="18" t="n"/>
      <c r="DD96" s="18" t="n"/>
      <c r="DE96" s="18" t="n"/>
      <c r="DF96" s="18" t="n"/>
      <c r="DG96" s="18" t="n"/>
      <c r="DH96" s="18" t="n"/>
      <c r="DI96" s="18" t="n"/>
      <c r="DJ96" s="18" t="n"/>
      <c r="DK96" s="18" t="n"/>
      <c r="DL96" s="18" t="n"/>
      <c r="DM96" s="18" t="n"/>
      <c r="DN96" s="18" t="n"/>
      <c r="DO96" s="18" t="n"/>
      <c r="DP96" s="18" t="n"/>
      <c r="DQ96" s="18" t="n"/>
      <c r="DR96" s="18" t="n"/>
      <c r="DS96" s="18" t="n"/>
      <c r="DT96" s="18" t="n"/>
    </row>
    <row r="97">
      <c r="A97" s="18">
        <f>'Schedule_Data_Option_A'!A98</f>
        <v/>
      </c>
      <c r="B97" s="18">
        <f>'Schedule_Data_Option_A'!B98</f>
        <v/>
      </c>
      <c r="C97" s="18">
        <f>'Schedule_Data_Option_A'!C98</f>
        <v/>
      </c>
      <c r="D97" s="24">
        <f>'Schedule_Data_Option_A'!D98</f>
        <v/>
      </c>
      <c r="E97" s="18" t="n"/>
      <c r="F97" s="18" t="n"/>
      <c r="G97" s="18" t="n"/>
      <c r="H97" s="18" t="n"/>
      <c r="I97" s="18" t="n"/>
      <c r="J97" s="18" t="n"/>
      <c r="K97" s="18" t="n"/>
      <c r="L97" s="18" t="n"/>
      <c r="M97" s="18" t="n"/>
      <c r="N97" s="18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  <c r="Y97" s="18" t="n"/>
      <c r="Z97" s="18" t="n"/>
      <c r="AA97" s="24" t="n"/>
      <c r="AB97" s="18" t="n"/>
      <c r="AC97" s="18" t="n"/>
      <c r="AD97" s="18" t="n"/>
      <c r="AE97" s="18" t="n"/>
      <c r="AF97" s="18" t="n"/>
      <c r="AG97" s="18" t="n"/>
      <c r="AH97" s="18" t="n"/>
      <c r="AI97" s="18" t="n"/>
      <c r="AJ97" s="18" t="n"/>
      <c r="AK97" s="18" t="n"/>
      <c r="AL97" s="18" t="n"/>
      <c r="AM97" s="18" t="n"/>
      <c r="AN97" s="18" t="n"/>
      <c r="AO97" s="18" t="n"/>
      <c r="AP97" s="18" t="n"/>
      <c r="AQ97" s="18" t="n"/>
      <c r="AR97" s="18" t="n"/>
      <c r="AS97" s="18" t="n"/>
      <c r="AT97" s="18" t="n"/>
      <c r="AU97" s="18" t="n"/>
      <c r="AV97" s="18" t="n"/>
      <c r="AW97" s="18" t="n"/>
      <c r="AX97" s="18" t="n"/>
      <c r="AY97" s="18" t="n"/>
      <c r="AZ97" s="18" t="n"/>
      <c r="BA97" s="18" t="n"/>
      <c r="BB97" s="18" t="n"/>
      <c r="BC97" s="18" t="n"/>
      <c r="BD97" s="18" t="n"/>
      <c r="BE97" s="18" t="n"/>
      <c r="BF97" s="18" t="n"/>
      <c r="BG97" s="18" t="n"/>
      <c r="BH97" s="18" t="n"/>
      <c r="BI97" s="18" t="n"/>
      <c r="BJ97" s="18" t="n"/>
      <c r="BK97" s="18" t="n"/>
      <c r="BL97" s="18" t="n"/>
      <c r="BM97" s="18" t="n"/>
      <c r="BN97" s="18" t="n"/>
      <c r="BO97" s="18" t="n"/>
      <c r="BP97" s="18" t="n"/>
      <c r="BQ97" s="18" t="n"/>
      <c r="BR97" s="18" t="n"/>
      <c r="BS97" s="18" t="n"/>
      <c r="BT97" s="18" t="n"/>
      <c r="BU97" s="18" t="n"/>
      <c r="BV97" s="18" t="n"/>
      <c r="BW97" s="18" t="n"/>
      <c r="BX97" s="18" t="n"/>
      <c r="BY97" s="18" t="n"/>
      <c r="BZ97" s="18" t="n"/>
      <c r="CA97" s="18" t="n"/>
      <c r="CB97" s="18" t="n"/>
      <c r="CC97" s="18" t="n"/>
      <c r="CD97" s="18" t="n"/>
      <c r="CE97" s="18" t="n"/>
      <c r="CF97" s="18" t="n"/>
      <c r="CG97" s="18" t="n"/>
      <c r="CH97" s="18" t="n"/>
      <c r="CI97" s="18" t="n"/>
      <c r="CJ97" s="18" t="n"/>
      <c r="CK97" s="18" t="n"/>
      <c r="CL97" s="18" t="n"/>
      <c r="CM97" s="18" t="n"/>
      <c r="CN97" s="18" t="n"/>
      <c r="CO97" s="18" t="n"/>
      <c r="CP97" s="18" t="n"/>
      <c r="CQ97" s="18" t="n"/>
      <c r="CR97" s="18" t="n"/>
      <c r="CS97" s="18" t="n"/>
      <c r="CT97" s="18" t="n"/>
      <c r="CU97" s="18" t="n"/>
      <c r="CV97" s="18" t="n"/>
      <c r="CW97" s="18" t="n"/>
      <c r="CX97" s="18" t="n"/>
      <c r="CY97" s="18" t="n"/>
      <c r="CZ97" s="18" t="n"/>
      <c r="DA97" s="18" t="n"/>
      <c r="DB97" s="18" t="n"/>
      <c r="DC97" s="18" t="n"/>
      <c r="DD97" s="18" t="n"/>
      <c r="DE97" s="18" t="n"/>
      <c r="DF97" s="18" t="n"/>
      <c r="DG97" s="18" t="n"/>
      <c r="DH97" s="18" t="n"/>
      <c r="DI97" s="18" t="n"/>
      <c r="DJ97" s="18" t="n"/>
      <c r="DK97" s="18" t="n"/>
      <c r="DL97" s="18" t="n"/>
      <c r="DM97" s="18" t="n"/>
      <c r="DN97" s="18" t="n"/>
      <c r="DO97" s="18" t="n"/>
      <c r="DP97" s="18" t="n"/>
      <c r="DQ97" s="18" t="n"/>
      <c r="DR97" s="18" t="n"/>
      <c r="DS97" s="18" t="n"/>
      <c r="DT97" s="18" t="n"/>
    </row>
    <row r="98">
      <c r="A98" s="18">
        <f>'Schedule_Data_Option_A'!A99</f>
        <v/>
      </c>
      <c r="B98" s="18">
        <f>'Schedule_Data_Option_A'!B99</f>
        <v/>
      </c>
      <c r="C98" s="18">
        <f>'Schedule_Data_Option_A'!C99</f>
        <v/>
      </c>
      <c r="D98" s="21">
        <f>'Schedule_Data_Option_A'!D99</f>
        <v/>
      </c>
      <c r="E98" s="18" t="n"/>
      <c r="F98" s="18" t="n"/>
      <c r="G98" s="18" t="n"/>
      <c r="H98" s="18" t="n"/>
      <c r="I98" s="18" t="n"/>
      <c r="J98" s="18" t="n"/>
      <c r="K98" s="18" t="n"/>
      <c r="L98" s="18" t="n"/>
      <c r="M98" s="18" t="n"/>
      <c r="N98" s="18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  <c r="Y98" s="18" t="n"/>
      <c r="Z98" s="18" t="n"/>
      <c r="AA98" s="18" t="n"/>
      <c r="AB98" s="18" t="n"/>
      <c r="AC98" s="18" t="n"/>
      <c r="AD98" s="18" t="n"/>
      <c r="AE98" s="18" t="n"/>
      <c r="AF98" s="18" t="n"/>
      <c r="AG98" s="18" t="n"/>
      <c r="AH98" s="18" t="n"/>
      <c r="AI98" s="18" t="n"/>
      <c r="AJ98" s="18" t="n"/>
      <c r="AK98" s="18" t="n"/>
      <c r="AL98" s="18" t="n"/>
      <c r="AM98" s="18" t="n"/>
      <c r="AN98" s="18" t="n"/>
      <c r="AO98" s="18" t="n"/>
      <c r="AP98" s="18" t="n"/>
      <c r="AQ98" s="18" t="n"/>
      <c r="AR98" s="18" t="n"/>
      <c r="AS98" s="18" t="n"/>
      <c r="AT98" s="18" t="n"/>
      <c r="AU98" s="18" t="n"/>
      <c r="AV98" s="18" t="n"/>
      <c r="AW98" s="18" t="n"/>
      <c r="AX98" s="18" t="n"/>
      <c r="AY98" s="18" t="n"/>
      <c r="AZ98" s="18" t="n"/>
      <c r="BA98" s="18" t="n"/>
      <c r="BB98" s="18" t="n"/>
      <c r="BC98" s="18" t="n"/>
      <c r="BD98" s="18" t="n"/>
      <c r="BE98" s="18" t="n"/>
      <c r="BF98" s="18" t="n"/>
      <c r="BG98" s="18" t="n"/>
      <c r="BH98" s="18" t="n"/>
      <c r="BI98" s="18" t="n"/>
      <c r="BJ98" s="18" t="n"/>
      <c r="BK98" s="18" t="n"/>
      <c r="BL98" s="18" t="n"/>
      <c r="BM98" s="18" t="n"/>
      <c r="BN98" s="18" t="n"/>
      <c r="BO98" s="18" t="n"/>
      <c r="BP98" s="18" t="n"/>
      <c r="BQ98" s="18" t="n"/>
      <c r="BR98" s="18" t="n"/>
      <c r="BS98" s="18" t="n"/>
      <c r="BT98" s="18" t="n"/>
      <c r="BU98" s="18" t="n"/>
      <c r="BV98" s="18" t="n"/>
      <c r="BW98" s="18" t="n"/>
      <c r="BX98" s="18" t="n"/>
      <c r="BY98" s="18" t="n"/>
      <c r="BZ98" s="18" t="n"/>
      <c r="CA98" s="18" t="n"/>
      <c r="CB98" s="18" t="n"/>
      <c r="CC98" s="18" t="n"/>
      <c r="CD98" s="18" t="n"/>
      <c r="CE98" s="18" t="n"/>
      <c r="CF98" s="18" t="n"/>
      <c r="CG98" s="18" t="n"/>
      <c r="CH98" s="18" t="n"/>
      <c r="CI98" s="18" t="n"/>
      <c r="CJ98" s="18" t="n"/>
      <c r="CK98" s="18" t="n"/>
      <c r="CL98" s="18" t="n"/>
      <c r="CM98" s="18" t="n"/>
      <c r="CN98" s="18" t="n"/>
      <c r="CO98" s="18" t="n"/>
      <c r="CP98" s="18" t="n"/>
      <c r="CQ98" s="18" t="n"/>
      <c r="CR98" s="18" t="n"/>
      <c r="CS98" s="18" t="n"/>
      <c r="CT98" s="18" t="n"/>
      <c r="CU98" s="18" t="n"/>
      <c r="CV98" s="18" t="n"/>
      <c r="CW98" s="18" t="n"/>
      <c r="CX98" s="18" t="n"/>
      <c r="CY98" s="18" t="n"/>
      <c r="CZ98" s="18" t="n"/>
      <c r="DA98" s="18" t="n"/>
      <c r="DB98" s="18" t="n"/>
      <c r="DC98" s="18" t="n"/>
      <c r="DD98" s="18" t="n"/>
      <c r="DE98" s="18" t="n"/>
      <c r="DF98" s="18" t="n"/>
      <c r="DG98" s="18" t="n"/>
      <c r="DH98" s="18" t="n"/>
      <c r="DI98" s="18" t="n"/>
      <c r="DJ98" s="18" t="n"/>
      <c r="DK98" s="18" t="n"/>
      <c r="DL98" s="18" t="n"/>
      <c r="DM98" s="18" t="n"/>
      <c r="DN98" s="18" t="n"/>
      <c r="DO98" s="18" t="n"/>
      <c r="DP98" s="18" t="n"/>
      <c r="DQ98" s="18" t="n"/>
      <c r="DR98" s="18" t="n"/>
      <c r="DS98" s="18" t="n"/>
      <c r="DT98" s="18" t="n"/>
    </row>
    <row r="99">
      <c r="A99" s="18">
        <f>'Schedule_Data_Option_A'!A100</f>
        <v/>
      </c>
      <c r="B99" s="18">
        <f>'Schedule_Data_Option_A'!B100</f>
        <v/>
      </c>
      <c r="C99" s="18">
        <f>'Schedule_Data_Option_A'!C100</f>
        <v/>
      </c>
      <c r="D99" s="25">
        <f>'Schedule_Data_Option_A'!D100</f>
        <v/>
      </c>
      <c r="E99" s="18" t="n"/>
      <c r="F99" s="18" t="n"/>
      <c r="G99" s="18" t="n"/>
      <c r="H99" s="18" t="n"/>
      <c r="I99" s="18" t="n"/>
      <c r="J99" s="18" t="n"/>
      <c r="K99" s="18" t="n"/>
      <c r="L99" s="18" t="n"/>
      <c r="M99" s="18" t="n"/>
      <c r="N99" s="18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  <c r="Y99" s="18" t="n"/>
      <c r="Z99" s="18" t="n"/>
      <c r="AA99" s="18" t="n"/>
      <c r="AB99" s="18" t="n"/>
      <c r="AC99" s="25" t="n"/>
      <c r="AD99" s="18" t="n"/>
      <c r="AE99" s="18" t="n"/>
      <c r="AF99" s="18" t="n"/>
      <c r="AG99" s="18" t="n"/>
      <c r="AH99" s="18" t="n"/>
      <c r="AI99" s="18" t="n"/>
      <c r="AJ99" s="18" t="n"/>
      <c r="AK99" s="18" t="n"/>
      <c r="AL99" s="18" t="n"/>
      <c r="AM99" s="18" t="n"/>
      <c r="AN99" s="18" t="n"/>
      <c r="AO99" s="18" t="n"/>
      <c r="AP99" s="18" t="n"/>
      <c r="AQ99" s="18" t="n"/>
      <c r="AR99" s="18" t="n"/>
      <c r="AS99" s="18" t="n"/>
      <c r="AT99" s="18" t="n"/>
      <c r="AU99" s="18" t="n"/>
      <c r="AV99" s="18" t="n"/>
      <c r="AW99" s="18" t="n"/>
      <c r="AX99" s="18" t="n"/>
      <c r="AY99" s="18" t="n"/>
      <c r="AZ99" s="18" t="n"/>
      <c r="BA99" s="18" t="n"/>
      <c r="BB99" s="18" t="n"/>
      <c r="BC99" s="18" t="n"/>
      <c r="BD99" s="18" t="n"/>
      <c r="BE99" s="18" t="n"/>
      <c r="BF99" s="18" t="n"/>
      <c r="BG99" s="18" t="n"/>
      <c r="BH99" s="18" t="n"/>
      <c r="BI99" s="18" t="n"/>
      <c r="BJ99" s="18" t="n"/>
      <c r="BK99" s="18" t="n"/>
      <c r="BL99" s="18" t="n"/>
      <c r="BM99" s="18" t="n"/>
      <c r="BN99" s="18" t="n"/>
      <c r="BO99" s="18" t="n"/>
      <c r="BP99" s="18" t="n"/>
      <c r="BQ99" s="18" t="n"/>
      <c r="BR99" s="18" t="n"/>
      <c r="BS99" s="18" t="n"/>
      <c r="BT99" s="18" t="n"/>
      <c r="BU99" s="18" t="n"/>
      <c r="BV99" s="18" t="n"/>
      <c r="BW99" s="18" t="n"/>
      <c r="BX99" s="18" t="n"/>
      <c r="BY99" s="18" t="n"/>
      <c r="BZ99" s="18" t="n"/>
      <c r="CA99" s="18" t="n"/>
      <c r="CB99" s="18" t="n"/>
      <c r="CC99" s="18" t="n"/>
      <c r="CD99" s="18" t="n"/>
      <c r="CE99" s="18" t="n"/>
      <c r="CF99" s="18" t="n"/>
      <c r="CG99" s="18" t="n"/>
      <c r="CH99" s="18" t="n"/>
      <c r="CI99" s="18" t="n"/>
      <c r="CJ99" s="18" t="n"/>
      <c r="CK99" s="18" t="n"/>
      <c r="CL99" s="18" t="n"/>
      <c r="CM99" s="18" t="n"/>
      <c r="CN99" s="18" t="n"/>
      <c r="CO99" s="18" t="n"/>
      <c r="CP99" s="18" t="n"/>
      <c r="CQ99" s="18" t="n"/>
      <c r="CR99" s="18" t="n"/>
      <c r="CS99" s="18" t="n"/>
      <c r="CT99" s="18" t="n"/>
      <c r="CU99" s="18" t="n"/>
      <c r="CV99" s="18" t="n"/>
      <c r="CW99" s="18" t="n"/>
      <c r="CX99" s="18" t="n"/>
      <c r="CY99" s="18" t="n"/>
      <c r="CZ99" s="18" t="n"/>
      <c r="DA99" s="18" t="n"/>
      <c r="DB99" s="18" t="n"/>
      <c r="DC99" s="18" t="n"/>
      <c r="DD99" s="18" t="n"/>
      <c r="DE99" s="18" t="n"/>
      <c r="DF99" s="18" t="n"/>
      <c r="DG99" s="18" t="n"/>
      <c r="DH99" s="18" t="n"/>
      <c r="DI99" s="18" t="n"/>
      <c r="DJ99" s="18" t="n"/>
      <c r="DK99" s="18" t="n"/>
      <c r="DL99" s="18" t="n"/>
      <c r="DM99" s="18" t="n"/>
      <c r="DN99" s="18" t="n"/>
      <c r="DO99" s="18" t="n"/>
      <c r="DP99" s="18" t="n"/>
      <c r="DQ99" s="18" t="n"/>
      <c r="DR99" s="18" t="n"/>
      <c r="DS99" s="18" t="n"/>
      <c r="DT99" s="18" t="n"/>
    </row>
    <row r="100">
      <c r="A100" s="18">
        <f>'Schedule_Data_Option_A'!A101</f>
        <v/>
      </c>
      <c r="B100" s="18">
        <f>'Schedule_Data_Option_A'!B101</f>
        <v/>
      </c>
      <c r="C100" s="18">
        <f>'Schedule_Data_Option_A'!C101</f>
        <v/>
      </c>
      <c r="D100" s="26">
        <f>'Schedule_Data_Option_A'!D101</f>
        <v/>
      </c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8" t="n"/>
      <c r="N100" s="18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  <c r="Y100" s="18" t="n"/>
      <c r="Z100" s="18" t="n"/>
      <c r="AA100" s="18" t="n"/>
      <c r="AB100" s="18" t="n"/>
      <c r="AC100" s="18" t="n"/>
      <c r="AD100" s="26" t="n"/>
      <c r="AE100" s="18" t="n"/>
      <c r="AF100" s="18" t="n"/>
      <c r="AG100" s="18" t="n"/>
      <c r="AH100" s="18" t="n"/>
      <c r="AI100" s="18" t="n"/>
      <c r="AJ100" s="18" t="n"/>
      <c r="AK100" s="18" t="n"/>
      <c r="AL100" s="18" t="n"/>
      <c r="AM100" s="18" t="n"/>
      <c r="AN100" s="18" t="n"/>
      <c r="AO100" s="18" t="n"/>
      <c r="AP100" s="18" t="n"/>
      <c r="AQ100" s="18" t="n"/>
      <c r="AR100" s="18" t="n"/>
      <c r="AS100" s="18" t="n"/>
      <c r="AT100" s="18" t="n"/>
      <c r="AU100" s="18" t="n"/>
      <c r="AV100" s="18" t="n"/>
      <c r="AW100" s="18" t="n"/>
      <c r="AX100" s="18" t="n"/>
      <c r="AY100" s="18" t="n"/>
      <c r="AZ100" s="18" t="n"/>
      <c r="BA100" s="18" t="n"/>
      <c r="BB100" s="18" t="n"/>
      <c r="BC100" s="18" t="n"/>
      <c r="BD100" s="18" t="n"/>
      <c r="BE100" s="18" t="n"/>
      <c r="BF100" s="18" t="n"/>
      <c r="BG100" s="18" t="n"/>
      <c r="BH100" s="18" t="n"/>
      <c r="BI100" s="18" t="n"/>
      <c r="BJ100" s="18" t="n"/>
      <c r="BK100" s="18" t="n"/>
      <c r="BL100" s="18" t="n"/>
      <c r="BM100" s="18" t="n"/>
      <c r="BN100" s="18" t="n"/>
      <c r="BO100" s="18" t="n"/>
      <c r="BP100" s="18" t="n"/>
      <c r="BQ100" s="18" t="n"/>
      <c r="BR100" s="18" t="n"/>
      <c r="BS100" s="18" t="n"/>
      <c r="BT100" s="18" t="n"/>
      <c r="BU100" s="18" t="n"/>
      <c r="BV100" s="18" t="n"/>
      <c r="BW100" s="18" t="n"/>
      <c r="BX100" s="18" t="n"/>
      <c r="BY100" s="18" t="n"/>
      <c r="BZ100" s="18" t="n"/>
      <c r="CA100" s="18" t="n"/>
      <c r="CB100" s="18" t="n"/>
      <c r="CC100" s="18" t="n"/>
      <c r="CD100" s="18" t="n"/>
      <c r="CE100" s="18" t="n"/>
      <c r="CF100" s="18" t="n"/>
      <c r="CG100" s="18" t="n"/>
      <c r="CH100" s="18" t="n"/>
      <c r="CI100" s="18" t="n"/>
      <c r="CJ100" s="18" t="n"/>
      <c r="CK100" s="18" t="n"/>
      <c r="CL100" s="18" t="n"/>
      <c r="CM100" s="18" t="n"/>
      <c r="CN100" s="18" t="n"/>
      <c r="CO100" s="18" t="n"/>
      <c r="CP100" s="18" t="n"/>
      <c r="CQ100" s="18" t="n"/>
      <c r="CR100" s="18" t="n"/>
      <c r="CS100" s="18" t="n"/>
      <c r="CT100" s="18" t="n"/>
      <c r="CU100" s="18" t="n"/>
      <c r="CV100" s="18" t="n"/>
      <c r="CW100" s="18" t="n"/>
      <c r="CX100" s="18" t="n"/>
      <c r="CY100" s="18" t="n"/>
      <c r="CZ100" s="18" t="n"/>
      <c r="DA100" s="18" t="n"/>
      <c r="DB100" s="18" t="n"/>
      <c r="DC100" s="18" t="n"/>
      <c r="DD100" s="18" t="n"/>
      <c r="DE100" s="18" t="n"/>
      <c r="DF100" s="18" t="n"/>
      <c r="DG100" s="18" t="n"/>
      <c r="DH100" s="18" t="n"/>
      <c r="DI100" s="18" t="n"/>
      <c r="DJ100" s="18" t="n"/>
      <c r="DK100" s="18" t="n"/>
      <c r="DL100" s="18" t="n"/>
      <c r="DM100" s="18" t="n"/>
      <c r="DN100" s="18" t="n"/>
      <c r="DO100" s="18" t="n"/>
      <c r="DP100" s="18" t="n"/>
      <c r="DQ100" s="18" t="n"/>
      <c r="DR100" s="18" t="n"/>
      <c r="DS100" s="18" t="n"/>
      <c r="DT100" s="18" t="n"/>
    </row>
    <row r="101">
      <c r="A101" s="18">
        <f>'Schedule_Data_Option_A'!A102</f>
        <v/>
      </c>
      <c r="B101" s="18">
        <f>'Schedule_Data_Option_A'!B102</f>
        <v/>
      </c>
      <c r="C101" s="18">
        <f>'Schedule_Data_Option_A'!C102</f>
        <v/>
      </c>
      <c r="D101" s="21">
        <f>'Schedule_Data_Option_A'!D102</f>
        <v/>
      </c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8" t="n"/>
      <c r="N101" s="18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  <c r="Y101" s="18" t="n"/>
      <c r="Z101" s="18" t="n"/>
      <c r="AA101" s="18" t="n"/>
      <c r="AB101" s="18" t="n"/>
      <c r="AC101" s="18" t="n"/>
      <c r="AD101" s="21" t="n"/>
      <c r="AE101" s="18" t="n"/>
      <c r="AF101" s="18" t="n"/>
      <c r="AG101" s="18" t="n"/>
      <c r="AH101" s="18" t="n"/>
      <c r="AI101" s="18" t="n"/>
      <c r="AJ101" s="18" t="n"/>
      <c r="AK101" s="18" t="n"/>
      <c r="AL101" s="18" t="n"/>
      <c r="AM101" s="18" t="n"/>
      <c r="AN101" s="18" t="n"/>
      <c r="AO101" s="18" t="n"/>
      <c r="AP101" s="18" t="n"/>
      <c r="AQ101" s="18" t="n"/>
      <c r="AR101" s="18" t="n"/>
      <c r="AS101" s="18" t="n"/>
      <c r="AT101" s="18" t="n"/>
      <c r="AU101" s="18" t="n"/>
      <c r="AV101" s="18" t="n"/>
      <c r="AW101" s="18" t="n"/>
      <c r="AX101" s="18" t="n"/>
      <c r="AY101" s="18" t="n"/>
      <c r="AZ101" s="18" t="n"/>
      <c r="BA101" s="18" t="n"/>
      <c r="BB101" s="18" t="n"/>
      <c r="BC101" s="18" t="n"/>
      <c r="BD101" s="18" t="n"/>
      <c r="BE101" s="18" t="n"/>
      <c r="BF101" s="18" t="n"/>
      <c r="BG101" s="18" t="n"/>
      <c r="BH101" s="18" t="n"/>
      <c r="BI101" s="18" t="n"/>
      <c r="BJ101" s="18" t="n"/>
      <c r="BK101" s="18" t="n"/>
      <c r="BL101" s="18" t="n"/>
      <c r="BM101" s="18" t="n"/>
      <c r="BN101" s="18" t="n"/>
      <c r="BO101" s="18" t="n"/>
      <c r="BP101" s="18" t="n"/>
      <c r="BQ101" s="18" t="n"/>
      <c r="BR101" s="18" t="n"/>
      <c r="BS101" s="18" t="n"/>
      <c r="BT101" s="18" t="n"/>
      <c r="BU101" s="18" t="n"/>
      <c r="BV101" s="18" t="n"/>
      <c r="BW101" s="18" t="n"/>
      <c r="BX101" s="18" t="n"/>
      <c r="BY101" s="18" t="n"/>
      <c r="BZ101" s="18" t="n"/>
      <c r="CA101" s="18" t="n"/>
      <c r="CB101" s="18" t="n"/>
      <c r="CC101" s="18" t="n"/>
      <c r="CD101" s="18" t="n"/>
      <c r="CE101" s="18" t="n"/>
      <c r="CF101" s="18" t="n"/>
      <c r="CG101" s="18" t="n"/>
      <c r="CH101" s="18" t="n"/>
      <c r="CI101" s="18" t="n"/>
      <c r="CJ101" s="18" t="n"/>
      <c r="CK101" s="18" t="n"/>
      <c r="CL101" s="18" t="n"/>
      <c r="CM101" s="18" t="n"/>
      <c r="CN101" s="18" t="n"/>
      <c r="CO101" s="18" t="n"/>
      <c r="CP101" s="18" t="n"/>
      <c r="CQ101" s="18" t="n"/>
      <c r="CR101" s="18" t="n"/>
      <c r="CS101" s="18" t="n"/>
      <c r="CT101" s="18" t="n"/>
      <c r="CU101" s="18" t="n"/>
      <c r="CV101" s="18" t="n"/>
      <c r="CW101" s="18" t="n"/>
      <c r="CX101" s="18" t="n"/>
      <c r="CY101" s="18" t="n"/>
      <c r="CZ101" s="18" t="n"/>
      <c r="DA101" s="18" t="n"/>
      <c r="DB101" s="18" t="n"/>
      <c r="DC101" s="18" t="n"/>
      <c r="DD101" s="18" t="n"/>
      <c r="DE101" s="18" t="n"/>
      <c r="DF101" s="18" t="n"/>
      <c r="DG101" s="18" t="n"/>
      <c r="DH101" s="18" t="n"/>
      <c r="DI101" s="18" t="n"/>
      <c r="DJ101" s="18" t="n"/>
      <c r="DK101" s="18" t="n"/>
      <c r="DL101" s="18" t="n"/>
      <c r="DM101" s="18" t="n"/>
      <c r="DN101" s="18" t="n"/>
      <c r="DO101" s="18" t="n"/>
      <c r="DP101" s="18" t="n"/>
      <c r="DQ101" s="18" t="n"/>
      <c r="DR101" s="18" t="n"/>
      <c r="DS101" s="18" t="n"/>
      <c r="DT101" s="18" t="n"/>
    </row>
    <row r="102">
      <c r="A102" s="18">
        <f>'Schedule_Data_Option_A'!A103</f>
        <v/>
      </c>
      <c r="B102" s="18">
        <f>'Schedule_Data_Option_A'!B103</f>
        <v/>
      </c>
      <c r="C102" s="18">
        <f>'Schedule_Data_Option_A'!C103</f>
        <v/>
      </c>
      <c r="D102" s="23">
        <f>'Schedule_Data_Option_A'!D103</f>
        <v/>
      </c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8" t="n"/>
      <c r="N102" s="18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  <c r="Y102" s="18" t="n"/>
      <c r="Z102" s="18" t="n"/>
      <c r="AA102" s="18" t="n"/>
      <c r="AB102" s="18" t="n"/>
      <c r="AC102" s="18" t="n"/>
      <c r="AD102" s="18" t="n"/>
      <c r="AE102" s="23" t="n"/>
      <c r="AF102" s="18" t="n"/>
      <c r="AG102" s="18" t="n"/>
      <c r="AH102" s="18" t="n"/>
      <c r="AI102" s="18" t="n"/>
      <c r="AJ102" s="18" t="n"/>
      <c r="AK102" s="18" t="n"/>
      <c r="AL102" s="18" t="n"/>
      <c r="AM102" s="18" t="n"/>
      <c r="AN102" s="18" t="n"/>
      <c r="AO102" s="18" t="n"/>
      <c r="AP102" s="18" t="n"/>
      <c r="AQ102" s="18" t="n"/>
      <c r="AR102" s="18" t="n"/>
      <c r="AS102" s="18" t="n"/>
      <c r="AT102" s="18" t="n"/>
      <c r="AU102" s="18" t="n"/>
      <c r="AV102" s="18" t="n"/>
      <c r="AW102" s="18" t="n"/>
      <c r="AX102" s="18" t="n"/>
      <c r="AY102" s="18" t="n"/>
      <c r="AZ102" s="18" t="n"/>
      <c r="BA102" s="18" t="n"/>
      <c r="BB102" s="18" t="n"/>
      <c r="BC102" s="18" t="n"/>
      <c r="BD102" s="18" t="n"/>
      <c r="BE102" s="18" t="n"/>
      <c r="BF102" s="18" t="n"/>
      <c r="BG102" s="18" t="n"/>
      <c r="BH102" s="18" t="n"/>
      <c r="BI102" s="18" t="n"/>
      <c r="BJ102" s="18" t="n"/>
      <c r="BK102" s="18" t="n"/>
      <c r="BL102" s="18" t="n"/>
      <c r="BM102" s="18" t="n"/>
      <c r="BN102" s="18" t="n"/>
      <c r="BO102" s="18" t="n"/>
      <c r="BP102" s="18" t="n"/>
      <c r="BQ102" s="18" t="n"/>
      <c r="BR102" s="18" t="n"/>
      <c r="BS102" s="18" t="n"/>
      <c r="BT102" s="18" t="n"/>
      <c r="BU102" s="18" t="n"/>
      <c r="BV102" s="18" t="n"/>
      <c r="BW102" s="18" t="n"/>
      <c r="BX102" s="18" t="n"/>
      <c r="BY102" s="18" t="n"/>
      <c r="BZ102" s="18" t="n"/>
      <c r="CA102" s="18" t="n"/>
      <c r="CB102" s="18" t="n"/>
      <c r="CC102" s="18" t="n"/>
      <c r="CD102" s="18" t="n"/>
      <c r="CE102" s="18" t="n"/>
      <c r="CF102" s="18" t="n"/>
      <c r="CG102" s="18" t="n"/>
      <c r="CH102" s="18" t="n"/>
      <c r="CI102" s="18" t="n"/>
      <c r="CJ102" s="18" t="n"/>
      <c r="CK102" s="18" t="n"/>
      <c r="CL102" s="18" t="n"/>
      <c r="CM102" s="18" t="n"/>
      <c r="CN102" s="18" t="n"/>
      <c r="CO102" s="18" t="n"/>
      <c r="CP102" s="18" t="n"/>
      <c r="CQ102" s="18" t="n"/>
      <c r="CR102" s="18" t="n"/>
      <c r="CS102" s="18" t="n"/>
      <c r="CT102" s="18" t="n"/>
      <c r="CU102" s="18" t="n"/>
      <c r="CV102" s="18" t="n"/>
      <c r="CW102" s="18" t="n"/>
      <c r="CX102" s="18" t="n"/>
      <c r="CY102" s="18" t="n"/>
      <c r="CZ102" s="18" t="n"/>
      <c r="DA102" s="18" t="n"/>
      <c r="DB102" s="18" t="n"/>
      <c r="DC102" s="18" t="n"/>
      <c r="DD102" s="18" t="n"/>
      <c r="DE102" s="18" t="n"/>
      <c r="DF102" s="18" t="n"/>
      <c r="DG102" s="18" t="n"/>
      <c r="DH102" s="18" t="n"/>
      <c r="DI102" s="18" t="n"/>
      <c r="DJ102" s="18" t="n"/>
      <c r="DK102" s="18" t="n"/>
      <c r="DL102" s="18" t="n"/>
      <c r="DM102" s="18" t="n"/>
      <c r="DN102" s="18" t="n"/>
      <c r="DO102" s="18" t="n"/>
      <c r="DP102" s="18" t="n"/>
      <c r="DQ102" s="18" t="n"/>
      <c r="DR102" s="18" t="n"/>
      <c r="DS102" s="18" t="n"/>
      <c r="DT102" s="18" t="n"/>
    </row>
    <row r="103">
      <c r="A103" s="18">
        <f>'Schedule_Data_Option_A'!A104</f>
        <v/>
      </c>
      <c r="B103" s="18">
        <f>'Schedule_Data_Option_A'!B104</f>
        <v/>
      </c>
      <c r="C103" s="18">
        <f>'Schedule_Data_Option_A'!C104</f>
        <v/>
      </c>
      <c r="D103" s="23">
        <f>'Schedule_Data_Option_A'!D104</f>
        <v/>
      </c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8" t="n"/>
      <c r="N103" s="18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  <c r="Y103" s="18" t="n"/>
      <c r="Z103" s="18" t="n"/>
      <c r="AA103" s="18" t="n"/>
      <c r="AB103" s="18" t="n"/>
      <c r="AC103" s="18" t="n"/>
      <c r="AD103" s="18" t="n"/>
      <c r="AE103" s="18" t="n"/>
      <c r="AF103" s="23" t="n"/>
      <c r="AG103" s="18" t="n"/>
      <c r="AH103" s="18" t="n"/>
      <c r="AI103" s="18" t="n"/>
      <c r="AJ103" s="18" t="n"/>
      <c r="AK103" s="18" t="n"/>
      <c r="AL103" s="18" t="n"/>
      <c r="AM103" s="18" t="n"/>
      <c r="AN103" s="18" t="n"/>
      <c r="AO103" s="18" t="n"/>
      <c r="AP103" s="18" t="n"/>
      <c r="AQ103" s="18" t="n"/>
      <c r="AR103" s="18" t="n"/>
      <c r="AS103" s="18" t="n"/>
      <c r="AT103" s="18" t="n"/>
      <c r="AU103" s="18" t="n"/>
      <c r="AV103" s="18" t="n"/>
      <c r="AW103" s="18" t="n"/>
      <c r="AX103" s="18" t="n"/>
      <c r="AY103" s="18" t="n"/>
      <c r="AZ103" s="18" t="n"/>
      <c r="BA103" s="18" t="n"/>
      <c r="BB103" s="18" t="n"/>
      <c r="BC103" s="18" t="n"/>
      <c r="BD103" s="18" t="n"/>
      <c r="BE103" s="18" t="n"/>
      <c r="BF103" s="18" t="n"/>
      <c r="BG103" s="18" t="n"/>
      <c r="BH103" s="18" t="n"/>
      <c r="BI103" s="18" t="n"/>
      <c r="BJ103" s="18" t="n"/>
      <c r="BK103" s="18" t="n"/>
      <c r="BL103" s="18" t="n"/>
      <c r="BM103" s="18" t="n"/>
      <c r="BN103" s="18" t="n"/>
      <c r="BO103" s="18" t="n"/>
      <c r="BP103" s="18" t="n"/>
      <c r="BQ103" s="18" t="n"/>
      <c r="BR103" s="18" t="n"/>
      <c r="BS103" s="18" t="n"/>
      <c r="BT103" s="18" t="n"/>
      <c r="BU103" s="18" t="n"/>
      <c r="BV103" s="18" t="n"/>
      <c r="BW103" s="18" t="n"/>
      <c r="BX103" s="18" t="n"/>
      <c r="BY103" s="18" t="n"/>
      <c r="BZ103" s="18" t="n"/>
      <c r="CA103" s="18" t="n"/>
      <c r="CB103" s="18" t="n"/>
      <c r="CC103" s="18" t="n"/>
      <c r="CD103" s="18" t="n"/>
      <c r="CE103" s="18" t="n"/>
      <c r="CF103" s="18" t="n"/>
      <c r="CG103" s="18" t="n"/>
      <c r="CH103" s="18" t="n"/>
      <c r="CI103" s="18" t="n"/>
      <c r="CJ103" s="18" t="n"/>
      <c r="CK103" s="18" t="n"/>
      <c r="CL103" s="18" t="n"/>
      <c r="CM103" s="18" t="n"/>
      <c r="CN103" s="18" t="n"/>
      <c r="CO103" s="18" t="n"/>
      <c r="CP103" s="18" t="n"/>
      <c r="CQ103" s="18" t="n"/>
      <c r="CR103" s="18" t="n"/>
      <c r="CS103" s="18" t="n"/>
      <c r="CT103" s="18" t="n"/>
      <c r="CU103" s="18" t="n"/>
      <c r="CV103" s="18" t="n"/>
      <c r="CW103" s="18" t="n"/>
      <c r="CX103" s="18" t="n"/>
      <c r="CY103" s="18" t="n"/>
      <c r="CZ103" s="18" t="n"/>
      <c r="DA103" s="18" t="n"/>
      <c r="DB103" s="18" t="n"/>
      <c r="DC103" s="18" t="n"/>
      <c r="DD103" s="18" t="n"/>
      <c r="DE103" s="18" t="n"/>
      <c r="DF103" s="18" t="n"/>
      <c r="DG103" s="18" t="n"/>
      <c r="DH103" s="18" t="n"/>
      <c r="DI103" s="18" t="n"/>
      <c r="DJ103" s="18" t="n"/>
      <c r="DK103" s="18" t="n"/>
      <c r="DL103" s="18" t="n"/>
      <c r="DM103" s="18" t="n"/>
      <c r="DN103" s="18" t="n"/>
      <c r="DO103" s="18" t="n"/>
      <c r="DP103" s="18" t="n"/>
      <c r="DQ103" s="18" t="n"/>
      <c r="DR103" s="18" t="n"/>
      <c r="DS103" s="18" t="n"/>
      <c r="DT103" s="18" t="n"/>
    </row>
    <row r="104">
      <c r="A104" s="18">
        <f>'Schedule_Data_Option_A'!A105</f>
        <v/>
      </c>
      <c r="B104" s="18">
        <f>'Schedule_Data_Option_A'!B105</f>
        <v/>
      </c>
      <c r="C104" s="18">
        <f>'Schedule_Data_Option_A'!C105</f>
        <v/>
      </c>
      <c r="D104" s="25">
        <f>'Schedule_Data_Option_A'!D105</f>
        <v/>
      </c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8" t="n"/>
      <c r="N104" s="18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  <c r="Y104" s="18" t="n"/>
      <c r="Z104" s="18" t="n"/>
      <c r="AA104" s="18" t="n"/>
      <c r="AB104" s="18" t="n"/>
      <c r="AC104" s="18" t="n"/>
      <c r="AD104" s="18" t="n"/>
      <c r="AE104" s="18" t="n"/>
      <c r="AF104" s="18" t="n"/>
      <c r="AG104" s="25" t="n"/>
      <c r="AH104" s="18" t="n"/>
      <c r="AI104" s="18" t="n"/>
      <c r="AJ104" s="18" t="n"/>
      <c r="AK104" s="18" t="n"/>
      <c r="AL104" s="18" t="n"/>
      <c r="AM104" s="18" t="n"/>
      <c r="AN104" s="18" t="n"/>
      <c r="AO104" s="18" t="n"/>
      <c r="AP104" s="18" t="n"/>
      <c r="AQ104" s="18" t="n"/>
      <c r="AR104" s="18" t="n"/>
      <c r="AS104" s="18" t="n"/>
      <c r="AT104" s="18" t="n"/>
      <c r="AU104" s="18" t="n"/>
      <c r="AV104" s="18" t="n"/>
      <c r="AW104" s="18" t="n"/>
      <c r="AX104" s="18" t="n"/>
      <c r="AY104" s="18" t="n"/>
      <c r="AZ104" s="18" t="n"/>
      <c r="BA104" s="18" t="n"/>
      <c r="BB104" s="18" t="n"/>
      <c r="BC104" s="18" t="n"/>
      <c r="BD104" s="18" t="n"/>
      <c r="BE104" s="18" t="n"/>
      <c r="BF104" s="18" t="n"/>
      <c r="BG104" s="18" t="n"/>
      <c r="BH104" s="18" t="n"/>
      <c r="BI104" s="18" t="n"/>
      <c r="BJ104" s="18" t="n"/>
      <c r="BK104" s="18" t="n"/>
      <c r="BL104" s="18" t="n"/>
      <c r="BM104" s="18" t="n"/>
      <c r="BN104" s="18" t="n"/>
      <c r="BO104" s="18" t="n"/>
      <c r="BP104" s="18" t="n"/>
      <c r="BQ104" s="18" t="n"/>
      <c r="BR104" s="18" t="n"/>
      <c r="BS104" s="18" t="n"/>
      <c r="BT104" s="18" t="n"/>
      <c r="BU104" s="18" t="n"/>
      <c r="BV104" s="18" t="n"/>
      <c r="BW104" s="18" t="n"/>
      <c r="BX104" s="18" t="n"/>
      <c r="BY104" s="18" t="n"/>
      <c r="BZ104" s="18" t="n"/>
      <c r="CA104" s="18" t="n"/>
      <c r="CB104" s="18" t="n"/>
      <c r="CC104" s="18" t="n"/>
      <c r="CD104" s="18" t="n"/>
      <c r="CE104" s="18" t="n"/>
      <c r="CF104" s="18" t="n"/>
      <c r="CG104" s="18" t="n"/>
      <c r="CH104" s="18" t="n"/>
      <c r="CI104" s="18" t="n"/>
      <c r="CJ104" s="18" t="n"/>
      <c r="CK104" s="18" t="n"/>
      <c r="CL104" s="18" t="n"/>
      <c r="CM104" s="18" t="n"/>
      <c r="CN104" s="18" t="n"/>
      <c r="CO104" s="18" t="n"/>
      <c r="CP104" s="18" t="n"/>
      <c r="CQ104" s="18" t="n"/>
      <c r="CR104" s="18" t="n"/>
      <c r="CS104" s="18" t="n"/>
      <c r="CT104" s="18" t="n"/>
      <c r="CU104" s="18" t="n"/>
      <c r="CV104" s="18" t="n"/>
      <c r="CW104" s="18" t="n"/>
      <c r="CX104" s="18" t="n"/>
      <c r="CY104" s="18" t="n"/>
      <c r="CZ104" s="18" t="n"/>
      <c r="DA104" s="18" t="n"/>
      <c r="DB104" s="18" t="n"/>
      <c r="DC104" s="18" t="n"/>
      <c r="DD104" s="18" t="n"/>
      <c r="DE104" s="18" t="n"/>
      <c r="DF104" s="18" t="n"/>
      <c r="DG104" s="18" t="n"/>
      <c r="DH104" s="18" t="n"/>
      <c r="DI104" s="18" t="n"/>
      <c r="DJ104" s="18" t="n"/>
      <c r="DK104" s="18" t="n"/>
      <c r="DL104" s="18" t="n"/>
      <c r="DM104" s="18" t="n"/>
      <c r="DN104" s="18" t="n"/>
      <c r="DO104" s="18" t="n"/>
      <c r="DP104" s="18" t="n"/>
      <c r="DQ104" s="18" t="n"/>
      <c r="DR104" s="18" t="n"/>
      <c r="DS104" s="18" t="n"/>
      <c r="DT104" s="18" t="n"/>
    </row>
    <row r="105">
      <c r="A105" s="18">
        <f>'Schedule_Data_Option_A'!A106</f>
        <v/>
      </c>
      <c r="B105" s="18">
        <f>'Schedule_Data_Option_A'!B106</f>
        <v/>
      </c>
      <c r="C105" s="18">
        <f>'Schedule_Data_Option_A'!C106</f>
        <v/>
      </c>
      <c r="D105" s="21">
        <f>'Schedule_Data_Option_A'!D106</f>
        <v/>
      </c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8" t="n"/>
      <c r="N105" s="18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  <c r="Y105" s="18" t="n"/>
      <c r="Z105" s="18" t="n"/>
      <c r="AA105" s="18" t="n"/>
      <c r="AB105" s="18" t="n"/>
      <c r="AC105" s="18" t="n"/>
      <c r="AD105" s="18" t="n"/>
      <c r="AE105" s="18" t="n"/>
      <c r="AF105" s="18" t="n"/>
      <c r="AG105" s="18" t="n"/>
      <c r="AH105" s="18" t="n"/>
      <c r="AI105" s="18" t="n"/>
      <c r="AJ105" s="18" t="n"/>
      <c r="AK105" s="18" t="n"/>
      <c r="AL105" s="18" t="n"/>
      <c r="AM105" s="18" t="n"/>
      <c r="AN105" s="18" t="n"/>
      <c r="AO105" s="18" t="n"/>
      <c r="AP105" s="18" t="n"/>
      <c r="AQ105" s="18" t="n"/>
      <c r="AR105" s="18" t="n"/>
      <c r="AS105" s="18" t="n"/>
      <c r="AT105" s="18" t="n"/>
      <c r="AU105" s="18" t="n"/>
      <c r="AV105" s="18" t="n"/>
      <c r="AW105" s="18" t="n"/>
      <c r="AX105" s="18" t="n"/>
      <c r="AY105" s="18" t="n"/>
      <c r="AZ105" s="18" t="n"/>
      <c r="BA105" s="18" t="n"/>
      <c r="BB105" s="18" t="n"/>
      <c r="BC105" s="18" t="n"/>
      <c r="BD105" s="18" t="n"/>
      <c r="BE105" s="18" t="n"/>
      <c r="BF105" s="18" t="n"/>
      <c r="BG105" s="18" t="n"/>
      <c r="BH105" s="18" t="n"/>
      <c r="BI105" s="18" t="n"/>
      <c r="BJ105" s="18" t="n"/>
      <c r="BK105" s="18" t="n"/>
      <c r="BL105" s="18" t="n"/>
      <c r="BM105" s="18" t="n"/>
      <c r="BN105" s="18" t="n"/>
      <c r="BO105" s="18" t="n"/>
      <c r="BP105" s="18" t="n"/>
      <c r="BQ105" s="18" t="n"/>
      <c r="BR105" s="18" t="n"/>
      <c r="BS105" s="18" t="n"/>
      <c r="BT105" s="18" t="n"/>
      <c r="BU105" s="18" t="n"/>
      <c r="BV105" s="18" t="n"/>
      <c r="BW105" s="18" t="n"/>
      <c r="BX105" s="18" t="n"/>
      <c r="BY105" s="18" t="n"/>
      <c r="BZ105" s="18" t="n"/>
      <c r="CA105" s="18" t="n"/>
      <c r="CB105" s="18" t="n"/>
      <c r="CC105" s="18" t="n"/>
      <c r="CD105" s="18" t="n"/>
      <c r="CE105" s="18" t="n"/>
      <c r="CF105" s="18" t="n"/>
      <c r="CG105" s="18" t="n"/>
      <c r="CH105" s="18" t="n"/>
      <c r="CI105" s="18" t="n"/>
      <c r="CJ105" s="18" t="n"/>
      <c r="CK105" s="18" t="n"/>
      <c r="CL105" s="18" t="n"/>
      <c r="CM105" s="18" t="n"/>
      <c r="CN105" s="18" t="n"/>
      <c r="CO105" s="18" t="n"/>
      <c r="CP105" s="18" t="n"/>
      <c r="CQ105" s="18" t="n"/>
      <c r="CR105" s="18" t="n"/>
      <c r="CS105" s="18" t="n"/>
      <c r="CT105" s="18" t="n"/>
      <c r="CU105" s="18" t="n"/>
      <c r="CV105" s="18" t="n"/>
      <c r="CW105" s="18" t="n"/>
      <c r="CX105" s="18" t="n"/>
      <c r="CY105" s="18" t="n"/>
      <c r="CZ105" s="18" t="n"/>
      <c r="DA105" s="18" t="n"/>
      <c r="DB105" s="18" t="n"/>
      <c r="DC105" s="18" t="n"/>
      <c r="DD105" s="18" t="n"/>
      <c r="DE105" s="18" t="n"/>
      <c r="DF105" s="18" t="n"/>
      <c r="DG105" s="18" t="n"/>
      <c r="DH105" s="18" t="n"/>
      <c r="DI105" s="18" t="n"/>
      <c r="DJ105" s="18" t="n"/>
      <c r="DK105" s="18" t="n"/>
      <c r="DL105" s="18" t="n"/>
      <c r="DM105" s="18" t="n"/>
      <c r="DN105" s="18" t="n"/>
      <c r="DO105" s="18" t="n"/>
      <c r="DP105" s="18" t="n"/>
      <c r="DQ105" s="18" t="n"/>
      <c r="DR105" s="18" t="n"/>
      <c r="DS105" s="18" t="n"/>
      <c r="DT105" s="18" t="n"/>
    </row>
    <row r="106">
      <c r="A106" s="18">
        <f>'Schedule_Data_Option_A'!A107</f>
        <v/>
      </c>
      <c r="B106" s="18">
        <f>'Schedule_Data_Option_A'!B107</f>
        <v/>
      </c>
      <c r="C106" s="18">
        <f>'Schedule_Data_Option_A'!C107</f>
        <v/>
      </c>
      <c r="D106" s="21">
        <f>'Schedule_Data_Option_A'!D107</f>
        <v/>
      </c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8" t="n"/>
      <c r="N106" s="18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  <c r="Y106" s="18" t="n"/>
      <c r="Z106" s="18" t="n"/>
      <c r="AA106" s="18" t="n"/>
      <c r="AB106" s="18" t="n"/>
      <c r="AC106" s="18" t="n"/>
      <c r="AD106" s="18" t="n"/>
      <c r="AE106" s="18" t="n"/>
      <c r="AF106" s="18" t="n"/>
      <c r="AG106" s="18" t="n"/>
      <c r="AH106" s="18" t="n"/>
      <c r="AI106" s="18" t="n"/>
      <c r="AJ106" s="18" t="n"/>
      <c r="AK106" s="18" t="n"/>
      <c r="AL106" s="18" t="n"/>
      <c r="AM106" s="18" t="n"/>
      <c r="AN106" s="18" t="n"/>
      <c r="AO106" s="18" t="n"/>
      <c r="AP106" s="18" t="n"/>
      <c r="AQ106" s="18" t="n"/>
      <c r="AR106" s="18" t="n"/>
      <c r="AS106" s="18" t="n"/>
      <c r="AT106" s="18" t="n"/>
      <c r="AU106" s="18" t="n"/>
      <c r="AV106" s="18" t="n"/>
      <c r="AW106" s="18" t="n"/>
      <c r="AX106" s="18" t="n"/>
      <c r="AY106" s="18" t="n"/>
      <c r="AZ106" s="18" t="n"/>
      <c r="BA106" s="18" t="n"/>
      <c r="BB106" s="18" t="n"/>
      <c r="BC106" s="18" t="n"/>
      <c r="BD106" s="18" t="n"/>
      <c r="BE106" s="18" t="n"/>
      <c r="BF106" s="18" t="n"/>
      <c r="BG106" s="18" t="n"/>
      <c r="BH106" s="18" t="n"/>
      <c r="BI106" s="18" t="n"/>
      <c r="BJ106" s="18" t="n"/>
      <c r="BK106" s="18" t="n"/>
      <c r="BL106" s="18" t="n"/>
      <c r="BM106" s="18" t="n"/>
      <c r="BN106" s="18" t="n"/>
      <c r="BO106" s="18" t="n"/>
      <c r="BP106" s="18" t="n"/>
      <c r="BQ106" s="18" t="n"/>
      <c r="BR106" s="18" t="n"/>
      <c r="BS106" s="18" t="n"/>
      <c r="BT106" s="18" t="n"/>
      <c r="BU106" s="18" t="n"/>
      <c r="BV106" s="18" t="n"/>
      <c r="BW106" s="18" t="n"/>
      <c r="BX106" s="18" t="n"/>
      <c r="BY106" s="18" t="n"/>
      <c r="BZ106" s="18" t="n"/>
      <c r="CA106" s="18" t="n"/>
      <c r="CB106" s="18" t="n"/>
      <c r="CC106" s="18" t="n"/>
      <c r="CD106" s="18" t="n"/>
      <c r="CE106" s="18" t="n"/>
      <c r="CF106" s="18" t="n"/>
      <c r="CG106" s="18" t="n"/>
      <c r="CH106" s="18" t="n"/>
      <c r="CI106" s="18" t="n"/>
      <c r="CJ106" s="18" t="n"/>
      <c r="CK106" s="18" t="n"/>
      <c r="CL106" s="18" t="n"/>
      <c r="CM106" s="18" t="n"/>
      <c r="CN106" s="18" t="n"/>
      <c r="CO106" s="18" t="n"/>
      <c r="CP106" s="18" t="n"/>
      <c r="CQ106" s="18" t="n"/>
      <c r="CR106" s="18" t="n"/>
      <c r="CS106" s="18" t="n"/>
      <c r="CT106" s="18" t="n"/>
      <c r="CU106" s="18" t="n"/>
      <c r="CV106" s="18" t="n"/>
      <c r="CW106" s="18" t="n"/>
      <c r="CX106" s="18" t="n"/>
      <c r="CY106" s="18" t="n"/>
      <c r="CZ106" s="18" t="n"/>
      <c r="DA106" s="18" t="n"/>
      <c r="DB106" s="18" t="n"/>
      <c r="DC106" s="18" t="n"/>
      <c r="DD106" s="18" t="n"/>
      <c r="DE106" s="18" t="n"/>
      <c r="DF106" s="18" t="n"/>
      <c r="DG106" s="18" t="n"/>
      <c r="DH106" s="18" t="n"/>
      <c r="DI106" s="18" t="n"/>
      <c r="DJ106" s="18" t="n"/>
      <c r="DK106" s="18" t="n"/>
      <c r="DL106" s="18" t="n"/>
      <c r="DM106" s="18" t="n"/>
      <c r="DN106" s="18" t="n"/>
      <c r="DO106" s="18" t="n"/>
      <c r="DP106" s="18" t="n"/>
      <c r="DQ106" s="18" t="n"/>
      <c r="DR106" s="18" t="n"/>
      <c r="DS106" s="18" t="n"/>
      <c r="DT106" s="18" t="n"/>
    </row>
    <row r="107">
      <c r="A107" s="18">
        <f>'Schedule_Data_Option_A'!A108</f>
        <v/>
      </c>
      <c r="B107" s="18">
        <f>'Schedule_Data_Option_A'!B108</f>
        <v/>
      </c>
      <c r="C107" s="18">
        <f>'Schedule_Data_Option_A'!C108</f>
        <v/>
      </c>
      <c r="D107" s="27">
        <f>'Schedule_Data_Option_A'!D108</f>
        <v/>
      </c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8" t="n"/>
      <c r="N107" s="18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  <c r="Y107" s="18" t="n"/>
      <c r="Z107" s="18" t="n"/>
      <c r="AA107" s="18" t="n"/>
      <c r="AB107" s="18" t="n"/>
      <c r="AC107" s="18" t="n"/>
      <c r="AD107" s="18" t="n"/>
      <c r="AE107" s="18" t="n"/>
      <c r="AF107" s="18" t="n"/>
      <c r="AG107" s="18" t="n"/>
      <c r="AH107" s="27" t="n"/>
      <c r="AI107" s="18" t="n"/>
      <c r="AJ107" s="18" t="n"/>
      <c r="AK107" s="18" t="n"/>
      <c r="AL107" s="18" t="n"/>
      <c r="AM107" s="18" t="n"/>
      <c r="AN107" s="18" t="n"/>
      <c r="AO107" s="18" t="n"/>
      <c r="AP107" s="18" t="n"/>
      <c r="AQ107" s="18" t="n"/>
      <c r="AR107" s="18" t="n"/>
      <c r="AS107" s="18" t="n"/>
      <c r="AT107" s="18" t="n"/>
      <c r="AU107" s="18" t="n"/>
      <c r="AV107" s="18" t="n"/>
      <c r="AW107" s="18" t="n"/>
      <c r="AX107" s="18" t="n"/>
      <c r="AY107" s="18" t="n"/>
      <c r="AZ107" s="18" t="n"/>
      <c r="BA107" s="18" t="n"/>
      <c r="BB107" s="18" t="n"/>
      <c r="BC107" s="18" t="n"/>
      <c r="BD107" s="18" t="n"/>
      <c r="BE107" s="18" t="n"/>
      <c r="BF107" s="18" t="n"/>
      <c r="BG107" s="18" t="n"/>
      <c r="BH107" s="18" t="n"/>
      <c r="BI107" s="18" t="n"/>
      <c r="BJ107" s="18" t="n"/>
      <c r="BK107" s="18" t="n"/>
      <c r="BL107" s="18" t="n"/>
      <c r="BM107" s="18" t="n"/>
      <c r="BN107" s="18" t="n"/>
      <c r="BO107" s="18" t="n"/>
      <c r="BP107" s="18" t="n"/>
      <c r="BQ107" s="18" t="n"/>
      <c r="BR107" s="18" t="n"/>
      <c r="BS107" s="18" t="n"/>
      <c r="BT107" s="18" t="n"/>
      <c r="BU107" s="18" t="n"/>
      <c r="BV107" s="18" t="n"/>
      <c r="BW107" s="18" t="n"/>
      <c r="BX107" s="18" t="n"/>
      <c r="BY107" s="18" t="n"/>
      <c r="BZ107" s="18" t="n"/>
      <c r="CA107" s="18" t="n"/>
      <c r="CB107" s="18" t="n"/>
      <c r="CC107" s="18" t="n"/>
      <c r="CD107" s="18" t="n"/>
      <c r="CE107" s="18" t="n"/>
      <c r="CF107" s="18" t="n"/>
      <c r="CG107" s="18" t="n"/>
      <c r="CH107" s="18" t="n"/>
      <c r="CI107" s="18" t="n"/>
      <c r="CJ107" s="18" t="n"/>
      <c r="CK107" s="18" t="n"/>
      <c r="CL107" s="18" t="n"/>
      <c r="CM107" s="18" t="n"/>
      <c r="CN107" s="18" t="n"/>
      <c r="CO107" s="18" t="n"/>
      <c r="CP107" s="18" t="n"/>
      <c r="CQ107" s="18" t="n"/>
      <c r="CR107" s="18" t="n"/>
      <c r="CS107" s="18" t="n"/>
      <c r="CT107" s="18" t="n"/>
      <c r="CU107" s="18" t="n"/>
      <c r="CV107" s="18" t="n"/>
      <c r="CW107" s="18" t="n"/>
      <c r="CX107" s="18" t="n"/>
      <c r="CY107" s="18" t="n"/>
      <c r="CZ107" s="18" t="n"/>
      <c r="DA107" s="18" t="n"/>
      <c r="DB107" s="18" t="n"/>
      <c r="DC107" s="18" t="n"/>
      <c r="DD107" s="18" t="n"/>
      <c r="DE107" s="18" t="n"/>
      <c r="DF107" s="18" t="n"/>
      <c r="DG107" s="18" t="n"/>
      <c r="DH107" s="18" t="n"/>
      <c r="DI107" s="18" t="n"/>
      <c r="DJ107" s="18" t="n"/>
      <c r="DK107" s="18" t="n"/>
      <c r="DL107" s="18" t="n"/>
      <c r="DM107" s="18" t="n"/>
      <c r="DN107" s="18" t="n"/>
      <c r="DO107" s="18" t="n"/>
      <c r="DP107" s="18" t="n"/>
      <c r="DQ107" s="18" t="n"/>
      <c r="DR107" s="18" t="n"/>
      <c r="DS107" s="18" t="n"/>
      <c r="DT107" s="18" t="n"/>
    </row>
    <row r="108">
      <c r="A108" s="18">
        <f>'Schedule_Data_Option_A'!A109</f>
        <v/>
      </c>
      <c r="B108" s="18">
        <f>'Schedule_Data_Option_A'!B109</f>
        <v/>
      </c>
      <c r="C108" s="18">
        <f>'Schedule_Data_Option_A'!C109</f>
        <v/>
      </c>
      <c r="D108" s="38">
        <f>'Schedule_Data_Option_A'!D109</f>
        <v/>
      </c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8" t="n"/>
      <c r="N108" s="18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  <c r="Y108" s="18" t="n"/>
      <c r="Z108" s="18" t="n"/>
      <c r="AA108" s="18" t="n"/>
      <c r="AB108" s="18" t="n"/>
      <c r="AC108" s="18" t="n"/>
      <c r="AD108" s="18" t="n"/>
      <c r="AE108" s="18" t="n"/>
      <c r="AF108" s="18" t="n"/>
      <c r="AG108" s="18" t="n"/>
      <c r="AH108" s="18" t="n"/>
      <c r="AI108" s="18" t="n"/>
      <c r="AJ108" s="18" t="n"/>
      <c r="AK108" s="38" t="n"/>
      <c r="AL108" s="18" t="n"/>
      <c r="AM108" s="18" t="n"/>
      <c r="AN108" s="18" t="n"/>
      <c r="AO108" s="18" t="n"/>
      <c r="AP108" s="18" t="n"/>
      <c r="AQ108" s="18" t="n"/>
      <c r="AR108" s="18" t="n"/>
      <c r="AS108" s="18" t="n"/>
      <c r="AT108" s="18" t="n"/>
      <c r="AU108" s="18" t="n"/>
      <c r="AV108" s="18" t="n"/>
      <c r="AW108" s="18" t="n"/>
      <c r="AX108" s="18" t="n"/>
      <c r="AY108" s="18" t="n"/>
      <c r="AZ108" s="18" t="n"/>
      <c r="BA108" s="18" t="n"/>
      <c r="BB108" s="18" t="n"/>
      <c r="BC108" s="18" t="n"/>
      <c r="BD108" s="18" t="n"/>
      <c r="BE108" s="18" t="n"/>
      <c r="BF108" s="18" t="n"/>
      <c r="BG108" s="18" t="n"/>
      <c r="BH108" s="18" t="n"/>
      <c r="BI108" s="18" t="n"/>
      <c r="BJ108" s="18" t="n"/>
      <c r="BK108" s="18" t="n"/>
      <c r="BL108" s="18" t="n"/>
      <c r="BM108" s="18" t="n"/>
      <c r="BN108" s="18" t="n"/>
      <c r="BO108" s="18" t="n"/>
      <c r="BP108" s="18" t="n"/>
      <c r="BQ108" s="18" t="n"/>
      <c r="BR108" s="18" t="n"/>
      <c r="BS108" s="18" t="n"/>
      <c r="BT108" s="18" t="n"/>
      <c r="BU108" s="18" t="n"/>
      <c r="BV108" s="18" t="n"/>
      <c r="BW108" s="18" t="n"/>
      <c r="BX108" s="18" t="n"/>
      <c r="BY108" s="18" t="n"/>
      <c r="BZ108" s="18" t="n"/>
      <c r="CA108" s="18" t="n"/>
      <c r="CB108" s="18" t="n"/>
      <c r="CC108" s="18" t="n"/>
      <c r="CD108" s="18" t="n"/>
      <c r="CE108" s="18" t="n"/>
      <c r="CF108" s="18" t="n"/>
      <c r="CG108" s="18" t="n"/>
      <c r="CH108" s="18" t="n"/>
      <c r="CI108" s="18" t="n"/>
      <c r="CJ108" s="18" t="n"/>
      <c r="CK108" s="18" t="n"/>
      <c r="CL108" s="18" t="n"/>
      <c r="CM108" s="18" t="n"/>
      <c r="CN108" s="18" t="n"/>
      <c r="CO108" s="18" t="n"/>
      <c r="CP108" s="18" t="n"/>
      <c r="CQ108" s="18" t="n"/>
      <c r="CR108" s="18" t="n"/>
      <c r="CS108" s="18" t="n"/>
      <c r="CT108" s="18" t="n"/>
      <c r="CU108" s="18" t="n"/>
      <c r="CV108" s="18" t="n"/>
      <c r="CW108" s="18" t="n"/>
      <c r="CX108" s="18" t="n"/>
      <c r="CY108" s="18" t="n"/>
      <c r="CZ108" s="18" t="n"/>
      <c r="DA108" s="18" t="n"/>
      <c r="DB108" s="18" t="n"/>
      <c r="DC108" s="18" t="n"/>
      <c r="DD108" s="18" t="n"/>
      <c r="DE108" s="18" t="n"/>
      <c r="DF108" s="18" t="n"/>
      <c r="DG108" s="18" t="n"/>
      <c r="DH108" s="18" t="n"/>
      <c r="DI108" s="18" t="n"/>
      <c r="DJ108" s="18" t="n"/>
      <c r="DK108" s="18" t="n"/>
      <c r="DL108" s="18" t="n"/>
      <c r="DM108" s="18" t="n"/>
      <c r="DN108" s="18" t="n"/>
      <c r="DO108" s="18" t="n"/>
      <c r="DP108" s="18" t="n"/>
      <c r="DQ108" s="18" t="n"/>
      <c r="DR108" s="18" t="n"/>
      <c r="DS108" s="18" t="n"/>
      <c r="DT108" s="18" t="n"/>
    </row>
    <row r="109">
      <c r="A109" s="18">
        <f>'Schedule_Data_Option_A'!A110</f>
        <v/>
      </c>
      <c r="B109" s="18">
        <f>'Schedule_Data_Option_A'!B110</f>
        <v/>
      </c>
      <c r="C109" s="18">
        <f>'Schedule_Data_Option_A'!C110</f>
        <v/>
      </c>
      <c r="D109" s="21">
        <f>'Schedule_Data_Option_A'!D110</f>
        <v/>
      </c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8" t="n"/>
      <c r="N109" s="18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  <c r="Y109" s="18" t="n"/>
      <c r="Z109" s="18" t="n"/>
      <c r="AA109" s="18" t="n"/>
      <c r="AB109" s="18" t="n"/>
      <c r="AC109" s="18" t="n"/>
      <c r="AD109" s="18" t="n"/>
      <c r="AE109" s="18" t="n"/>
      <c r="AF109" s="18" t="n"/>
      <c r="AG109" s="18" t="n"/>
      <c r="AH109" s="18" t="n"/>
      <c r="AI109" s="18" t="n"/>
      <c r="AJ109" s="18" t="n"/>
      <c r="AK109" s="18" t="n"/>
      <c r="AL109" s="18" t="n"/>
      <c r="AM109" s="18" t="n"/>
      <c r="AN109" s="18" t="n"/>
      <c r="AO109" s="18" t="n"/>
      <c r="AP109" s="18" t="n"/>
      <c r="AQ109" s="18" t="n"/>
      <c r="AR109" s="18" t="n"/>
      <c r="AS109" s="18" t="n"/>
      <c r="AT109" s="18" t="n"/>
      <c r="AU109" s="18" t="n"/>
      <c r="AV109" s="18" t="n"/>
      <c r="AW109" s="18" t="n"/>
      <c r="AX109" s="18" t="n"/>
      <c r="AY109" s="18" t="n"/>
      <c r="AZ109" s="18" t="n"/>
      <c r="BA109" s="18" t="n"/>
      <c r="BB109" s="18" t="n"/>
      <c r="BC109" s="18" t="n"/>
      <c r="BD109" s="18" t="n"/>
      <c r="BE109" s="18" t="n"/>
      <c r="BF109" s="18" t="n"/>
      <c r="BG109" s="18" t="n"/>
      <c r="BH109" s="18" t="n"/>
      <c r="BI109" s="18" t="n"/>
      <c r="BJ109" s="18" t="n"/>
      <c r="BK109" s="18" t="n"/>
      <c r="BL109" s="18" t="n"/>
      <c r="BM109" s="18" t="n"/>
      <c r="BN109" s="18" t="n"/>
      <c r="BO109" s="18" t="n"/>
      <c r="BP109" s="18" t="n"/>
      <c r="BQ109" s="18" t="n"/>
      <c r="BR109" s="18" t="n"/>
      <c r="BS109" s="18" t="n"/>
      <c r="BT109" s="18" t="n"/>
      <c r="BU109" s="18" t="n"/>
      <c r="BV109" s="18" t="n"/>
      <c r="BW109" s="18" t="n"/>
      <c r="BX109" s="18" t="n"/>
      <c r="BY109" s="18" t="n"/>
      <c r="BZ109" s="18" t="n"/>
      <c r="CA109" s="18" t="n"/>
      <c r="CB109" s="18" t="n"/>
      <c r="CC109" s="18" t="n"/>
      <c r="CD109" s="18" t="n"/>
      <c r="CE109" s="18" t="n"/>
      <c r="CF109" s="18" t="n"/>
      <c r="CG109" s="18" t="n"/>
      <c r="CH109" s="18" t="n"/>
      <c r="CI109" s="18" t="n"/>
      <c r="CJ109" s="18" t="n"/>
      <c r="CK109" s="18" t="n"/>
      <c r="CL109" s="18" t="n"/>
      <c r="CM109" s="18" t="n"/>
      <c r="CN109" s="18" t="n"/>
      <c r="CO109" s="18" t="n"/>
      <c r="CP109" s="18" t="n"/>
      <c r="CQ109" s="18" t="n"/>
      <c r="CR109" s="18" t="n"/>
      <c r="CS109" s="18" t="n"/>
      <c r="CT109" s="18" t="n"/>
      <c r="CU109" s="18" t="n"/>
      <c r="CV109" s="18" t="n"/>
      <c r="CW109" s="18" t="n"/>
      <c r="CX109" s="18" t="n"/>
      <c r="CY109" s="18" t="n"/>
      <c r="CZ109" s="18" t="n"/>
      <c r="DA109" s="18" t="n"/>
      <c r="DB109" s="18" t="n"/>
      <c r="DC109" s="18" t="n"/>
      <c r="DD109" s="18" t="n"/>
      <c r="DE109" s="18" t="n"/>
      <c r="DF109" s="18" t="n"/>
      <c r="DG109" s="18" t="n"/>
      <c r="DH109" s="18" t="n"/>
      <c r="DI109" s="18" t="n"/>
      <c r="DJ109" s="18" t="n"/>
      <c r="DK109" s="18" t="n"/>
      <c r="DL109" s="18" t="n"/>
      <c r="DM109" s="18" t="n"/>
      <c r="DN109" s="18" t="n"/>
      <c r="DO109" s="18" t="n"/>
      <c r="DP109" s="18" t="n"/>
      <c r="DQ109" s="18" t="n"/>
      <c r="DR109" s="18" t="n"/>
      <c r="DS109" s="18" t="n"/>
      <c r="DT109" s="18" t="n"/>
    </row>
    <row r="110">
      <c r="A110" s="18">
        <f>'Schedule_Data_Option_A'!A111</f>
        <v/>
      </c>
      <c r="B110" s="18">
        <f>'Schedule_Data_Option_A'!B111</f>
        <v/>
      </c>
      <c r="C110" s="18">
        <f>'Schedule_Data_Option_A'!C111</f>
        <v/>
      </c>
      <c r="D110" s="21">
        <f>'Schedule_Data_Option_A'!D111</f>
        <v/>
      </c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8" t="n"/>
      <c r="N110" s="18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  <c r="Y110" s="18" t="n"/>
      <c r="Z110" s="18" t="n"/>
      <c r="AA110" s="18" t="n"/>
      <c r="AB110" s="18" t="n"/>
      <c r="AC110" s="18" t="n"/>
      <c r="AD110" s="18" t="n"/>
      <c r="AE110" s="18" t="n"/>
      <c r="AF110" s="18" t="n"/>
      <c r="AG110" s="18" t="n"/>
      <c r="AH110" s="18" t="n"/>
      <c r="AI110" s="18" t="n"/>
      <c r="AJ110" s="18" t="n"/>
      <c r="AK110" s="18" t="n"/>
      <c r="AL110" s="18" t="n"/>
      <c r="AM110" s="18" t="n"/>
      <c r="AN110" s="18" t="n"/>
      <c r="AO110" s="18" t="n"/>
      <c r="AP110" s="18" t="n"/>
      <c r="AQ110" s="18" t="n"/>
      <c r="AR110" s="18" t="n"/>
      <c r="AS110" s="18" t="n"/>
      <c r="AT110" s="18" t="n"/>
      <c r="AU110" s="18" t="n"/>
      <c r="AV110" s="18" t="n"/>
      <c r="AW110" s="18" t="n"/>
      <c r="AX110" s="18" t="n"/>
      <c r="AY110" s="18" t="n"/>
      <c r="AZ110" s="18" t="n"/>
      <c r="BA110" s="18" t="n"/>
      <c r="BB110" s="18" t="n"/>
      <c r="BC110" s="18" t="n"/>
      <c r="BD110" s="18" t="n"/>
      <c r="BE110" s="18" t="n"/>
      <c r="BF110" s="18" t="n"/>
      <c r="BG110" s="18" t="n"/>
      <c r="BH110" s="18" t="n"/>
      <c r="BI110" s="18" t="n"/>
      <c r="BJ110" s="18" t="n"/>
      <c r="BK110" s="18" t="n"/>
      <c r="BL110" s="18" t="n"/>
      <c r="BM110" s="18" t="n"/>
      <c r="BN110" s="18" t="n"/>
      <c r="BO110" s="18" t="n"/>
      <c r="BP110" s="18" t="n"/>
      <c r="BQ110" s="18" t="n"/>
      <c r="BR110" s="18" t="n"/>
      <c r="BS110" s="18" t="n"/>
      <c r="BT110" s="18" t="n"/>
      <c r="BU110" s="18" t="n"/>
      <c r="BV110" s="18" t="n"/>
      <c r="BW110" s="18" t="n"/>
      <c r="BX110" s="18" t="n"/>
      <c r="BY110" s="18" t="n"/>
      <c r="BZ110" s="18" t="n"/>
      <c r="CA110" s="18" t="n"/>
      <c r="CB110" s="18" t="n"/>
      <c r="CC110" s="18" t="n"/>
      <c r="CD110" s="18" t="n"/>
      <c r="CE110" s="18" t="n"/>
      <c r="CF110" s="18" t="n"/>
      <c r="CG110" s="18" t="n"/>
      <c r="CH110" s="18" t="n"/>
      <c r="CI110" s="18" t="n"/>
      <c r="CJ110" s="18" t="n"/>
      <c r="CK110" s="18" t="n"/>
      <c r="CL110" s="18" t="n"/>
      <c r="CM110" s="18" t="n"/>
      <c r="CN110" s="18" t="n"/>
      <c r="CO110" s="18" t="n"/>
      <c r="CP110" s="18" t="n"/>
      <c r="CQ110" s="18" t="n"/>
      <c r="CR110" s="18" t="n"/>
      <c r="CS110" s="18" t="n"/>
      <c r="CT110" s="18" t="n"/>
      <c r="CU110" s="18" t="n"/>
      <c r="CV110" s="18" t="n"/>
      <c r="CW110" s="18" t="n"/>
      <c r="CX110" s="18" t="n"/>
      <c r="CY110" s="18" t="n"/>
      <c r="CZ110" s="18" t="n"/>
      <c r="DA110" s="18" t="n"/>
      <c r="DB110" s="18" t="n"/>
      <c r="DC110" s="18" t="n"/>
      <c r="DD110" s="18" t="n"/>
      <c r="DE110" s="18" t="n"/>
      <c r="DF110" s="18" t="n"/>
      <c r="DG110" s="18" t="n"/>
      <c r="DH110" s="18" t="n"/>
      <c r="DI110" s="18" t="n"/>
      <c r="DJ110" s="18" t="n"/>
      <c r="DK110" s="18" t="n"/>
      <c r="DL110" s="18" t="n"/>
      <c r="DM110" s="18" t="n"/>
      <c r="DN110" s="18" t="n"/>
      <c r="DO110" s="18" t="n"/>
      <c r="DP110" s="18" t="n"/>
      <c r="DQ110" s="18" t="n"/>
      <c r="DR110" s="18" t="n"/>
      <c r="DS110" s="18" t="n"/>
      <c r="DT110" s="18" t="n"/>
    </row>
    <row r="111">
      <c r="A111" s="18">
        <f>'Schedule_Data_Option_A'!A112</f>
        <v/>
      </c>
      <c r="B111" s="18">
        <f>'Schedule_Data_Option_A'!B112</f>
        <v/>
      </c>
      <c r="C111" s="18">
        <f>'Schedule_Data_Option_A'!C112</f>
        <v/>
      </c>
      <c r="D111" s="27">
        <f>'Schedule_Data_Option_A'!D112</f>
        <v/>
      </c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8" t="n"/>
      <c r="N111" s="18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  <c r="Y111" s="18" t="n"/>
      <c r="Z111" s="18" t="n"/>
      <c r="AA111" s="18" t="n"/>
      <c r="AB111" s="18" t="n"/>
      <c r="AC111" s="18" t="n"/>
      <c r="AD111" s="18" t="n"/>
      <c r="AE111" s="18" t="n"/>
      <c r="AF111" s="18" t="n"/>
      <c r="AG111" s="18" t="n"/>
      <c r="AH111" s="18" t="n"/>
      <c r="AI111" s="18" t="n"/>
      <c r="AJ111" s="18" t="n"/>
      <c r="AK111" s="18" t="n"/>
      <c r="AL111" s="27" t="n"/>
      <c r="AM111" s="18" t="n"/>
      <c r="AN111" s="18" t="n"/>
      <c r="AO111" s="18" t="n"/>
      <c r="AP111" s="18" t="n"/>
      <c r="AQ111" s="18" t="n"/>
      <c r="AR111" s="18" t="n"/>
      <c r="AS111" s="18" t="n"/>
      <c r="AT111" s="18" t="n"/>
      <c r="AU111" s="18" t="n"/>
      <c r="AV111" s="18" t="n"/>
      <c r="AW111" s="18" t="n"/>
      <c r="AX111" s="18" t="n"/>
      <c r="AY111" s="18" t="n"/>
      <c r="AZ111" s="18" t="n"/>
      <c r="BA111" s="18" t="n"/>
      <c r="BB111" s="18" t="n"/>
      <c r="BC111" s="18" t="n"/>
      <c r="BD111" s="18" t="n"/>
      <c r="BE111" s="18" t="n"/>
      <c r="BF111" s="18" t="n"/>
      <c r="BG111" s="18" t="n"/>
      <c r="BH111" s="18" t="n"/>
      <c r="BI111" s="18" t="n"/>
      <c r="BJ111" s="18" t="n"/>
      <c r="BK111" s="18" t="n"/>
      <c r="BL111" s="18" t="n"/>
      <c r="BM111" s="18" t="n"/>
      <c r="BN111" s="18" t="n"/>
      <c r="BO111" s="18" t="n"/>
      <c r="BP111" s="18" t="n"/>
      <c r="BQ111" s="18" t="n"/>
      <c r="BR111" s="18" t="n"/>
      <c r="BS111" s="18" t="n"/>
      <c r="BT111" s="18" t="n"/>
      <c r="BU111" s="18" t="n"/>
      <c r="BV111" s="18" t="n"/>
      <c r="BW111" s="18" t="n"/>
      <c r="BX111" s="18" t="n"/>
      <c r="BY111" s="18" t="n"/>
      <c r="BZ111" s="18" t="n"/>
      <c r="CA111" s="18" t="n"/>
      <c r="CB111" s="18" t="n"/>
      <c r="CC111" s="18" t="n"/>
      <c r="CD111" s="18" t="n"/>
      <c r="CE111" s="18" t="n"/>
      <c r="CF111" s="18" t="n"/>
      <c r="CG111" s="18" t="n"/>
      <c r="CH111" s="18" t="n"/>
      <c r="CI111" s="18" t="n"/>
      <c r="CJ111" s="18" t="n"/>
      <c r="CK111" s="18" t="n"/>
      <c r="CL111" s="18" t="n"/>
      <c r="CM111" s="18" t="n"/>
      <c r="CN111" s="18" t="n"/>
      <c r="CO111" s="18" t="n"/>
      <c r="CP111" s="18" t="n"/>
      <c r="CQ111" s="18" t="n"/>
      <c r="CR111" s="18" t="n"/>
      <c r="CS111" s="18" t="n"/>
      <c r="CT111" s="18" t="n"/>
      <c r="CU111" s="18" t="n"/>
      <c r="CV111" s="18" t="n"/>
      <c r="CW111" s="18" t="n"/>
      <c r="CX111" s="18" t="n"/>
      <c r="CY111" s="18" t="n"/>
      <c r="CZ111" s="18" t="n"/>
      <c r="DA111" s="18" t="n"/>
      <c r="DB111" s="18" t="n"/>
      <c r="DC111" s="18" t="n"/>
      <c r="DD111" s="18" t="n"/>
      <c r="DE111" s="18" t="n"/>
      <c r="DF111" s="18" t="n"/>
      <c r="DG111" s="18" t="n"/>
      <c r="DH111" s="18" t="n"/>
      <c r="DI111" s="18" t="n"/>
      <c r="DJ111" s="18" t="n"/>
      <c r="DK111" s="18" t="n"/>
      <c r="DL111" s="18" t="n"/>
      <c r="DM111" s="18" t="n"/>
      <c r="DN111" s="18" t="n"/>
      <c r="DO111" s="18" t="n"/>
      <c r="DP111" s="18" t="n"/>
      <c r="DQ111" s="18" t="n"/>
      <c r="DR111" s="18" t="n"/>
      <c r="DS111" s="18" t="n"/>
      <c r="DT111" s="18" t="n"/>
    </row>
    <row r="112">
      <c r="A112" s="18">
        <f>'Schedule_Data_Option_A'!A113</f>
        <v/>
      </c>
      <c r="B112" s="18">
        <f>'Schedule_Data_Option_A'!B113</f>
        <v/>
      </c>
      <c r="C112" s="18">
        <f>'Schedule_Data_Option_A'!C113</f>
        <v/>
      </c>
      <c r="D112" s="21">
        <f>'Schedule_Data_Option_A'!D113</f>
        <v/>
      </c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8" t="n"/>
      <c r="N112" s="18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  <c r="Y112" s="18" t="n"/>
      <c r="Z112" s="18" t="n"/>
      <c r="AA112" s="18" t="n"/>
      <c r="AB112" s="18" t="n"/>
      <c r="AC112" s="18" t="n"/>
      <c r="AD112" s="18" t="n"/>
      <c r="AE112" s="18" t="n"/>
      <c r="AF112" s="18" t="n"/>
      <c r="AG112" s="18" t="n"/>
      <c r="AH112" s="18" t="n"/>
      <c r="AI112" s="18" t="n"/>
      <c r="AJ112" s="18" t="n"/>
      <c r="AK112" s="18" t="n"/>
      <c r="AL112" s="18" t="n"/>
      <c r="AM112" s="21" t="n"/>
      <c r="AN112" s="18" t="n"/>
      <c r="AO112" s="18" t="n"/>
      <c r="AP112" s="18" t="n"/>
      <c r="AQ112" s="18" t="n"/>
      <c r="AR112" s="18" t="n"/>
      <c r="AS112" s="18" t="n"/>
      <c r="AT112" s="18" t="n"/>
      <c r="AU112" s="18" t="n"/>
      <c r="AV112" s="18" t="n"/>
      <c r="AW112" s="18" t="n"/>
      <c r="AX112" s="18" t="n"/>
      <c r="AY112" s="18" t="n"/>
      <c r="AZ112" s="18" t="n"/>
      <c r="BA112" s="18" t="n"/>
      <c r="BB112" s="18" t="n"/>
      <c r="BC112" s="18" t="n"/>
      <c r="BD112" s="18" t="n"/>
      <c r="BE112" s="18" t="n"/>
      <c r="BF112" s="18" t="n"/>
      <c r="BG112" s="18" t="n"/>
      <c r="BH112" s="18" t="n"/>
      <c r="BI112" s="18" t="n"/>
      <c r="BJ112" s="18" t="n"/>
      <c r="BK112" s="18" t="n"/>
      <c r="BL112" s="18" t="n"/>
      <c r="BM112" s="18" t="n"/>
      <c r="BN112" s="18" t="n"/>
      <c r="BO112" s="18" t="n"/>
      <c r="BP112" s="18" t="n"/>
      <c r="BQ112" s="18" t="n"/>
      <c r="BR112" s="18" t="n"/>
      <c r="BS112" s="18" t="n"/>
      <c r="BT112" s="18" t="n"/>
      <c r="BU112" s="18" t="n"/>
      <c r="BV112" s="18" t="n"/>
      <c r="BW112" s="18" t="n"/>
      <c r="BX112" s="18" t="n"/>
      <c r="BY112" s="18" t="n"/>
      <c r="BZ112" s="18" t="n"/>
      <c r="CA112" s="18" t="n"/>
      <c r="CB112" s="18" t="n"/>
      <c r="CC112" s="18" t="n"/>
      <c r="CD112" s="18" t="n"/>
      <c r="CE112" s="18" t="n"/>
      <c r="CF112" s="18" t="n"/>
      <c r="CG112" s="18" t="n"/>
      <c r="CH112" s="18" t="n"/>
      <c r="CI112" s="18" t="n"/>
      <c r="CJ112" s="18" t="n"/>
      <c r="CK112" s="18" t="n"/>
      <c r="CL112" s="18" t="n"/>
      <c r="CM112" s="18" t="n"/>
      <c r="CN112" s="18" t="n"/>
      <c r="CO112" s="18" t="n"/>
      <c r="CP112" s="18" t="n"/>
      <c r="CQ112" s="18" t="n"/>
      <c r="CR112" s="18" t="n"/>
      <c r="CS112" s="18" t="n"/>
      <c r="CT112" s="18" t="n"/>
      <c r="CU112" s="18" t="n"/>
      <c r="CV112" s="18" t="n"/>
      <c r="CW112" s="18" t="n"/>
      <c r="CX112" s="18" t="n"/>
      <c r="CY112" s="18" t="n"/>
      <c r="CZ112" s="18" t="n"/>
      <c r="DA112" s="18" t="n"/>
      <c r="DB112" s="18" t="n"/>
      <c r="DC112" s="18" t="n"/>
      <c r="DD112" s="18" t="n"/>
      <c r="DE112" s="18" t="n"/>
      <c r="DF112" s="18" t="n"/>
      <c r="DG112" s="18" t="n"/>
      <c r="DH112" s="18" t="n"/>
      <c r="DI112" s="18" t="n"/>
      <c r="DJ112" s="18" t="n"/>
      <c r="DK112" s="18" t="n"/>
      <c r="DL112" s="18" t="n"/>
      <c r="DM112" s="18" t="n"/>
      <c r="DN112" s="18" t="n"/>
      <c r="DO112" s="18" t="n"/>
      <c r="DP112" s="18" t="n"/>
      <c r="DQ112" s="18" t="n"/>
      <c r="DR112" s="18" t="n"/>
      <c r="DS112" s="18" t="n"/>
      <c r="DT112" s="18" t="n"/>
    </row>
    <row r="113">
      <c r="A113" s="18">
        <f>'Schedule_Data_Option_A'!A114</f>
        <v/>
      </c>
      <c r="B113" s="18">
        <f>'Schedule_Data_Option_A'!B114</f>
        <v/>
      </c>
      <c r="C113" s="18">
        <f>'Schedule_Data_Option_A'!C114</f>
        <v/>
      </c>
      <c r="D113" s="38">
        <f>'Schedule_Data_Option_A'!D114</f>
        <v/>
      </c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8" t="n"/>
      <c r="N113" s="18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  <c r="Y113" s="18" t="n"/>
      <c r="Z113" s="18" t="n"/>
      <c r="AA113" s="18" t="n"/>
      <c r="AB113" s="18" t="n"/>
      <c r="AC113" s="18" t="n"/>
      <c r="AD113" s="18" t="n"/>
      <c r="AE113" s="18" t="n"/>
      <c r="AF113" s="18" t="n"/>
      <c r="AG113" s="18" t="n"/>
      <c r="AH113" s="18" t="n"/>
      <c r="AI113" s="18" t="n"/>
      <c r="AJ113" s="18" t="n"/>
      <c r="AK113" s="18" t="n"/>
      <c r="AL113" s="18" t="n"/>
      <c r="AM113" s="18" t="n"/>
      <c r="AN113" s="18" t="n"/>
      <c r="AO113" s="38" t="n"/>
      <c r="AP113" s="18" t="n"/>
      <c r="AQ113" s="18" t="n"/>
      <c r="AR113" s="18" t="n"/>
      <c r="AS113" s="18" t="n"/>
      <c r="AT113" s="18" t="n"/>
      <c r="AU113" s="18" t="n"/>
      <c r="AV113" s="18" t="n"/>
      <c r="AW113" s="18" t="n"/>
      <c r="AX113" s="18" t="n"/>
      <c r="AY113" s="18" t="n"/>
      <c r="AZ113" s="18" t="n"/>
      <c r="BA113" s="18" t="n"/>
      <c r="BB113" s="18" t="n"/>
      <c r="BC113" s="18" t="n"/>
      <c r="BD113" s="18" t="n"/>
      <c r="BE113" s="18" t="n"/>
      <c r="BF113" s="18" t="n"/>
      <c r="BG113" s="18" t="n"/>
      <c r="BH113" s="18" t="n"/>
      <c r="BI113" s="18" t="n"/>
      <c r="BJ113" s="18" t="n"/>
      <c r="BK113" s="18" t="n"/>
      <c r="BL113" s="18" t="n"/>
      <c r="BM113" s="18" t="n"/>
      <c r="BN113" s="18" t="n"/>
      <c r="BO113" s="18" t="n"/>
      <c r="BP113" s="18" t="n"/>
      <c r="BQ113" s="18" t="n"/>
      <c r="BR113" s="18" t="n"/>
      <c r="BS113" s="18" t="n"/>
      <c r="BT113" s="18" t="n"/>
      <c r="BU113" s="18" t="n"/>
      <c r="BV113" s="18" t="n"/>
      <c r="BW113" s="18" t="n"/>
      <c r="BX113" s="18" t="n"/>
      <c r="BY113" s="18" t="n"/>
      <c r="BZ113" s="18" t="n"/>
      <c r="CA113" s="18" t="n"/>
      <c r="CB113" s="18" t="n"/>
      <c r="CC113" s="18" t="n"/>
      <c r="CD113" s="18" t="n"/>
      <c r="CE113" s="18" t="n"/>
      <c r="CF113" s="18" t="n"/>
      <c r="CG113" s="18" t="n"/>
      <c r="CH113" s="18" t="n"/>
      <c r="CI113" s="18" t="n"/>
      <c r="CJ113" s="18" t="n"/>
      <c r="CK113" s="18" t="n"/>
      <c r="CL113" s="18" t="n"/>
      <c r="CM113" s="18" t="n"/>
      <c r="CN113" s="18" t="n"/>
      <c r="CO113" s="18" t="n"/>
      <c r="CP113" s="18" t="n"/>
      <c r="CQ113" s="18" t="n"/>
      <c r="CR113" s="18" t="n"/>
      <c r="CS113" s="18" t="n"/>
      <c r="CT113" s="18" t="n"/>
      <c r="CU113" s="18" t="n"/>
      <c r="CV113" s="18" t="n"/>
      <c r="CW113" s="18" t="n"/>
      <c r="CX113" s="18" t="n"/>
      <c r="CY113" s="18" t="n"/>
      <c r="CZ113" s="18" t="n"/>
      <c r="DA113" s="18" t="n"/>
      <c r="DB113" s="18" t="n"/>
      <c r="DC113" s="18" t="n"/>
      <c r="DD113" s="18" t="n"/>
      <c r="DE113" s="18" t="n"/>
      <c r="DF113" s="18" t="n"/>
      <c r="DG113" s="18" t="n"/>
      <c r="DH113" s="18" t="n"/>
      <c r="DI113" s="18" t="n"/>
      <c r="DJ113" s="18" t="n"/>
      <c r="DK113" s="18" t="n"/>
      <c r="DL113" s="18" t="n"/>
      <c r="DM113" s="18" t="n"/>
      <c r="DN113" s="18" t="n"/>
      <c r="DO113" s="18" t="n"/>
      <c r="DP113" s="18" t="n"/>
      <c r="DQ113" s="18" t="n"/>
      <c r="DR113" s="18" t="n"/>
      <c r="DS113" s="18" t="n"/>
      <c r="DT113" s="18" t="n"/>
    </row>
    <row r="114">
      <c r="A114" s="18">
        <f>'Schedule_Data_Option_A'!A115</f>
        <v/>
      </c>
      <c r="B114" s="18">
        <f>'Schedule_Data_Option_A'!B115</f>
        <v/>
      </c>
      <c r="C114" s="18">
        <f>'Schedule_Data_Option_A'!C115</f>
        <v/>
      </c>
      <c r="D114" s="21">
        <f>'Schedule_Data_Option_A'!D115</f>
        <v/>
      </c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8" t="n"/>
      <c r="N114" s="18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  <c r="Y114" s="18" t="n"/>
      <c r="Z114" s="18" t="n"/>
      <c r="AA114" s="18" t="n"/>
      <c r="AB114" s="18" t="n"/>
      <c r="AC114" s="18" t="n"/>
      <c r="AD114" s="18" t="n"/>
      <c r="AE114" s="18" t="n"/>
      <c r="AF114" s="18" t="n"/>
      <c r="AG114" s="18" t="n"/>
      <c r="AH114" s="36" t="inlineStr">
        <is>
          <t>*</t>
        </is>
      </c>
      <c r="AI114" s="18" t="n"/>
      <c r="AJ114" s="18" t="n"/>
      <c r="AK114" s="18" t="n"/>
      <c r="AL114" s="18" t="n"/>
      <c r="AM114" s="18" t="n"/>
      <c r="AN114" s="18" t="n"/>
      <c r="AO114" s="18" t="n"/>
      <c r="AP114" s="18" t="n"/>
      <c r="AQ114" s="18" t="n"/>
      <c r="AR114" s="18" t="n"/>
      <c r="AS114" s="18" t="n"/>
      <c r="AT114" s="18" t="n"/>
      <c r="AU114" s="18" t="n"/>
      <c r="AV114" s="18" t="n"/>
      <c r="AW114" s="18" t="n"/>
      <c r="AX114" s="18" t="n"/>
      <c r="AY114" s="18" t="n"/>
      <c r="AZ114" s="18" t="n"/>
      <c r="BA114" s="18" t="n"/>
      <c r="BB114" s="18" t="n"/>
      <c r="BC114" s="18" t="n"/>
      <c r="BD114" s="18" t="n"/>
      <c r="BE114" s="18" t="n"/>
      <c r="BF114" s="18" t="n"/>
      <c r="BG114" s="18" t="n"/>
      <c r="BH114" s="18" t="n"/>
      <c r="BI114" s="18" t="n"/>
      <c r="BJ114" s="18" t="n"/>
      <c r="BK114" s="18" t="n"/>
      <c r="BL114" s="18" t="n"/>
      <c r="BM114" s="18" t="n"/>
      <c r="BN114" s="18" t="n"/>
      <c r="BO114" s="18" t="n"/>
      <c r="BP114" s="18" t="n"/>
      <c r="BQ114" s="18" t="n"/>
      <c r="BR114" s="18" t="n"/>
      <c r="BS114" s="18" t="n"/>
      <c r="BT114" s="18" t="n"/>
      <c r="BU114" s="18" t="n"/>
      <c r="BV114" s="18" t="n"/>
      <c r="BW114" s="18" t="n"/>
      <c r="BX114" s="18" t="n"/>
      <c r="BY114" s="18" t="n"/>
      <c r="BZ114" s="18" t="n"/>
      <c r="CA114" s="18" t="n"/>
      <c r="CB114" s="18" t="n"/>
      <c r="CC114" s="18" t="n"/>
      <c r="CD114" s="18" t="n"/>
      <c r="CE114" s="18" t="n"/>
      <c r="CF114" s="18" t="n"/>
      <c r="CG114" s="18" t="n"/>
      <c r="CH114" s="18" t="n"/>
      <c r="CI114" s="18" t="n"/>
      <c r="CJ114" s="18" t="n"/>
      <c r="CK114" s="18" t="n"/>
      <c r="CL114" s="18" t="n"/>
      <c r="CM114" s="18" t="n"/>
      <c r="CN114" s="18" t="n"/>
      <c r="CO114" s="18" t="n"/>
      <c r="CP114" s="18" t="n"/>
      <c r="CQ114" s="18" t="n"/>
      <c r="CR114" s="18" t="n"/>
      <c r="CS114" s="18" t="n"/>
      <c r="CT114" s="18" t="n"/>
      <c r="CU114" s="18" t="n"/>
      <c r="CV114" s="18" t="n"/>
      <c r="CW114" s="18" t="n"/>
      <c r="CX114" s="18" t="n"/>
      <c r="CY114" s="18" t="n"/>
      <c r="CZ114" s="18" t="n"/>
      <c r="DA114" s="18" t="n"/>
      <c r="DB114" s="18" t="n"/>
      <c r="DC114" s="18" t="n"/>
      <c r="DD114" s="18" t="n"/>
      <c r="DE114" s="18" t="n"/>
      <c r="DF114" s="18" t="n"/>
      <c r="DG114" s="18" t="n"/>
      <c r="DH114" s="18" t="n"/>
      <c r="DI114" s="18" t="n"/>
      <c r="DJ114" s="18" t="n"/>
      <c r="DK114" s="18" t="n"/>
      <c r="DL114" s="18" t="n"/>
      <c r="DM114" s="18" t="n"/>
      <c r="DN114" s="18" t="n"/>
      <c r="DO114" s="18" t="n"/>
      <c r="DP114" s="18" t="n"/>
      <c r="DQ114" s="18" t="n"/>
      <c r="DR114" s="18" t="n"/>
      <c r="DS114" s="18" t="n"/>
      <c r="DT114" s="18" t="n"/>
    </row>
    <row r="115">
      <c r="A115" s="18">
        <f>'Schedule_Data_Option_A'!A116</f>
        <v/>
      </c>
      <c r="B115" s="18">
        <f>'Schedule_Data_Option_A'!B116</f>
        <v/>
      </c>
      <c r="C115" s="18">
        <f>'Schedule_Data_Option_A'!C116</f>
        <v/>
      </c>
      <c r="D115" s="22">
        <f>'Schedule_Data_Option_A'!D116</f>
        <v/>
      </c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8" t="n"/>
      <c r="N115" s="18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  <c r="Y115" s="18" t="n"/>
      <c r="Z115" s="18" t="n"/>
      <c r="AA115" s="18" t="n"/>
      <c r="AB115" s="18" t="n"/>
      <c r="AC115" s="18" t="n"/>
      <c r="AD115" s="18" t="n"/>
      <c r="AE115" s="18" t="n"/>
      <c r="AF115" s="18" t="n"/>
      <c r="AG115" s="18" t="n"/>
      <c r="AH115" s="22" t="n"/>
      <c r="AI115" s="18" t="n"/>
      <c r="AJ115" s="18" t="n"/>
      <c r="AK115" s="18" t="n"/>
      <c r="AL115" s="18" t="n"/>
      <c r="AM115" s="18" t="n"/>
      <c r="AN115" s="18" t="n"/>
      <c r="AO115" s="18" t="n"/>
      <c r="AP115" s="18" t="n"/>
      <c r="AQ115" s="18" t="n"/>
      <c r="AR115" s="18" t="n"/>
      <c r="AS115" s="18" t="n"/>
      <c r="AT115" s="18" t="n"/>
      <c r="AU115" s="18" t="n"/>
      <c r="AV115" s="18" t="n"/>
      <c r="AW115" s="18" t="n"/>
      <c r="AX115" s="18" t="n"/>
      <c r="AY115" s="18" t="n"/>
      <c r="AZ115" s="18" t="n"/>
      <c r="BA115" s="18" t="n"/>
      <c r="BB115" s="18" t="n"/>
      <c r="BC115" s="18" t="n"/>
      <c r="BD115" s="18" t="n"/>
      <c r="BE115" s="18" t="n"/>
      <c r="BF115" s="18" t="n"/>
      <c r="BG115" s="18" t="n"/>
      <c r="BH115" s="18" t="n"/>
      <c r="BI115" s="18" t="n"/>
      <c r="BJ115" s="18" t="n"/>
      <c r="BK115" s="18" t="n"/>
      <c r="BL115" s="18" t="n"/>
      <c r="BM115" s="18" t="n"/>
      <c r="BN115" s="18" t="n"/>
      <c r="BO115" s="18" t="n"/>
      <c r="BP115" s="18" t="n"/>
      <c r="BQ115" s="18" t="n"/>
      <c r="BR115" s="18" t="n"/>
      <c r="BS115" s="18" t="n"/>
      <c r="BT115" s="18" t="n"/>
      <c r="BU115" s="18" t="n"/>
      <c r="BV115" s="18" t="n"/>
      <c r="BW115" s="18" t="n"/>
      <c r="BX115" s="18" t="n"/>
      <c r="BY115" s="18" t="n"/>
      <c r="BZ115" s="18" t="n"/>
      <c r="CA115" s="18" t="n"/>
      <c r="CB115" s="18" t="n"/>
      <c r="CC115" s="18" t="n"/>
      <c r="CD115" s="18" t="n"/>
      <c r="CE115" s="18" t="n"/>
      <c r="CF115" s="18" t="n"/>
      <c r="CG115" s="18" t="n"/>
      <c r="CH115" s="18" t="n"/>
      <c r="CI115" s="18" t="n"/>
      <c r="CJ115" s="18" t="n"/>
      <c r="CK115" s="18" t="n"/>
      <c r="CL115" s="18" t="n"/>
      <c r="CM115" s="18" t="n"/>
      <c r="CN115" s="18" t="n"/>
      <c r="CO115" s="18" t="n"/>
      <c r="CP115" s="18" t="n"/>
      <c r="CQ115" s="18" t="n"/>
      <c r="CR115" s="18" t="n"/>
      <c r="CS115" s="18" t="n"/>
      <c r="CT115" s="18" t="n"/>
      <c r="CU115" s="18" t="n"/>
      <c r="CV115" s="18" t="n"/>
      <c r="CW115" s="18" t="n"/>
      <c r="CX115" s="18" t="n"/>
      <c r="CY115" s="18" t="n"/>
      <c r="CZ115" s="18" t="n"/>
      <c r="DA115" s="18" t="n"/>
      <c r="DB115" s="18" t="n"/>
      <c r="DC115" s="18" t="n"/>
      <c r="DD115" s="18" t="n"/>
      <c r="DE115" s="18" t="n"/>
      <c r="DF115" s="18" t="n"/>
      <c r="DG115" s="18" t="n"/>
      <c r="DH115" s="18" t="n"/>
      <c r="DI115" s="18" t="n"/>
      <c r="DJ115" s="18" t="n"/>
      <c r="DK115" s="18" t="n"/>
      <c r="DL115" s="18" t="n"/>
      <c r="DM115" s="18" t="n"/>
      <c r="DN115" s="18" t="n"/>
      <c r="DO115" s="18" t="n"/>
      <c r="DP115" s="18" t="n"/>
      <c r="DQ115" s="18" t="n"/>
      <c r="DR115" s="18" t="n"/>
      <c r="DS115" s="18" t="n"/>
      <c r="DT115" s="18" t="n"/>
    </row>
    <row r="116">
      <c r="A116" s="18">
        <f>'Schedule_Data_Option_A'!A117</f>
        <v/>
      </c>
      <c r="B116" s="18">
        <f>'Schedule_Data_Option_A'!B117</f>
        <v/>
      </c>
      <c r="C116" s="18">
        <f>'Schedule_Data_Option_A'!C117</f>
        <v/>
      </c>
      <c r="D116" s="21">
        <f>'Schedule_Data_Option_A'!D117</f>
        <v/>
      </c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8" t="n"/>
      <c r="N116" s="18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  <c r="Y116" s="18" t="n"/>
      <c r="Z116" s="18" t="n"/>
      <c r="AA116" s="18" t="n"/>
      <c r="AB116" s="18" t="n"/>
      <c r="AC116" s="18" t="n"/>
      <c r="AD116" s="18" t="n"/>
      <c r="AE116" s="18" t="n"/>
      <c r="AF116" s="18" t="n"/>
      <c r="AG116" s="18" t="n"/>
      <c r="AH116" s="18" t="n"/>
      <c r="AI116" s="18" t="n"/>
      <c r="AJ116" s="18" t="n"/>
      <c r="AK116" s="18" t="n"/>
      <c r="AL116" s="18" t="n"/>
      <c r="AM116" s="18" t="n"/>
      <c r="AN116" s="18" t="n"/>
      <c r="AO116" s="18" t="n"/>
      <c r="AP116" s="18" t="n"/>
      <c r="AQ116" s="18" t="n"/>
      <c r="AR116" s="18" t="n"/>
      <c r="AS116" s="18" t="n"/>
      <c r="AT116" s="18" t="n"/>
      <c r="AU116" s="18" t="n"/>
      <c r="AV116" s="18" t="n"/>
      <c r="AW116" s="18" t="n"/>
      <c r="AX116" s="18" t="n"/>
      <c r="AY116" s="18" t="n"/>
      <c r="AZ116" s="18" t="n"/>
      <c r="BA116" s="18" t="n"/>
      <c r="BB116" s="18" t="n"/>
      <c r="BC116" s="18" t="n"/>
      <c r="BD116" s="18" t="n"/>
      <c r="BE116" s="18" t="n"/>
      <c r="BF116" s="18" t="n"/>
      <c r="BG116" s="18" t="n"/>
      <c r="BH116" s="18" t="n"/>
      <c r="BI116" s="18" t="n"/>
      <c r="BJ116" s="18" t="n"/>
      <c r="BK116" s="18" t="n"/>
      <c r="BL116" s="18" t="n"/>
      <c r="BM116" s="18" t="n"/>
      <c r="BN116" s="18" t="n"/>
      <c r="BO116" s="18" t="n"/>
      <c r="BP116" s="18" t="n"/>
      <c r="BQ116" s="18" t="n"/>
      <c r="BR116" s="18" t="n"/>
      <c r="BS116" s="18" t="n"/>
      <c r="BT116" s="18" t="n"/>
      <c r="BU116" s="18" t="n"/>
      <c r="BV116" s="18" t="n"/>
      <c r="BW116" s="18" t="n"/>
      <c r="BX116" s="18" t="n"/>
      <c r="BY116" s="18" t="n"/>
      <c r="BZ116" s="18" t="n"/>
      <c r="CA116" s="18" t="n"/>
      <c r="CB116" s="18" t="n"/>
      <c r="CC116" s="18" t="n"/>
      <c r="CD116" s="18" t="n"/>
      <c r="CE116" s="18" t="n"/>
      <c r="CF116" s="18" t="n"/>
      <c r="CG116" s="18" t="n"/>
      <c r="CH116" s="18" t="n"/>
      <c r="CI116" s="18" t="n"/>
      <c r="CJ116" s="18" t="n"/>
      <c r="CK116" s="18" t="n"/>
      <c r="CL116" s="18" t="n"/>
      <c r="CM116" s="18" t="n"/>
      <c r="CN116" s="18" t="n"/>
      <c r="CO116" s="18" t="n"/>
      <c r="CP116" s="18" t="n"/>
      <c r="CQ116" s="18" t="n"/>
      <c r="CR116" s="18" t="n"/>
      <c r="CS116" s="18" t="n"/>
      <c r="CT116" s="18" t="n"/>
      <c r="CU116" s="18" t="n"/>
      <c r="CV116" s="18" t="n"/>
      <c r="CW116" s="18" t="n"/>
      <c r="CX116" s="18" t="n"/>
      <c r="CY116" s="18" t="n"/>
      <c r="CZ116" s="18" t="n"/>
      <c r="DA116" s="18" t="n"/>
      <c r="DB116" s="18" t="n"/>
      <c r="DC116" s="18" t="n"/>
      <c r="DD116" s="18" t="n"/>
      <c r="DE116" s="18" t="n"/>
      <c r="DF116" s="18" t="n"/>
      <c r="DG116" s="18" t="n"/>
      <c r="DH116" s="18" t="n"/>
      <c r="DI116" s="18" t="n"/>
      <c r="DJ116" s="18" t="n"/>
      <c r="DK116" s="18" t="n"/>
      <c r="DL116" s="18" t="n"/>
      <c r="DM116" s="18" t="n"/>
      <c r="DN116" s="18" t="n"/>
      <c r="DO116" s="18" t="n"/>
      <c r="DP116" s="18" t="n"/>
      <c r="DQ116" s="18" t="n"/>
      <c r="DR116" s="18" t="n"/>
      <c r="DS116" s="18" t="n"/>
      <c r="DT116" s="18" t="n"/>
    </row>
    <row r="117">
      <c r="A117" s="18">
        <f>'Schedule_Data_Option_A'!A118</f>
        <v/>
      </c>
      <c r="B117" s="18">
        <f>'Schedule_Data_Option_A'!B118</f>
        <v/>
      </c>
      <c r="C117" s="18">
        <f>'Schedule_Data_Option_A'!C118</f>
        <v/>
      </c>
      <c r="D117" s="21">
        <f>'Schedule_Data_Option_A'!D118</f>
        <v/>
      </c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8" t="n"/>
      <c r="N117" s="18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  <c r="Y117" s="18" t="n"/>
      <c r="Z117" s="18" t="n"/>
      <c r="AA117" s="18" t="n"/>
      <c r="AB117" s="18" t="n"/>
      <c r="AC117" s="18" t="n"/>
      <c r="AD117" s="18" t="n"/>
      <c r="AE117" s="18" t="n"/>
      <c r="AF117" s="18" t="n"/>
      <c r="AG117" s="18" t="n"/>
      <c r="AH117" s="18" t="n"/>
      <c r="AI117" s="18" t="n"/>
      <c r="AJ117" s="18" t="n"/>
      <c r="AK117" s="18" t="n"/>
      <c r="AL117" s="18" t="n"/>
      <c r="AM117" s="18" t="n"/>
      <c r="AN117" s="18" t="n"/>
      <c r="AO117" s="18" t="n"/>
      <c r="AP117" s="18" t="n"/>
      <c r="AQ117" s="18" t="n"/>
      <c r="AR117" s="18" t="n"/>
      <c r="AS117" s="18" t="n"/>
      <c r="AT117" s="18" t="n"/>
      <c r="AU117" s="18" t="n"/>
      <c r="AV117" s="18" t="n"/>
      <c r="AW117" s="18" t="n"/>
      <c r="AX117" s="18" t="n"/>
      <c r="AY117" s="18" t="n"/>
      <c r="AZ117" s="18" t="n"/>
      <c r="BA117" s="18" t="n"/>
      <c r="BB117" s="18" t="n"/>
      <c r="BC117" s="18" t="n"/>
      <c r="BD117" s="18" t="n"/>
      <c r="BE117" s="18" t="n"/>
      <c r="BF117" s="18" t="n"/>
      <c r="BG117" s="18" t="n"/>
      <c r="BH117" s="18" t="n"/>
      <c r="BI117" s="18" t="n"/>
      <c r="BJ117" s="18" t="n"/>
      <c r="BK117" s="18" t="n"/>
      <c r="BL117" s="18" t="n"/>
      <c r="BM117" s="18" t="n"/>
      <c r="BN117" s="18" t="n"/>
      <c r="BO117" s="18" t="n"/>
      <c r="BP117" s="18" t="n"/>
      <c r="BQ117" s="18" t="n"/>
      <c r="BR117" s="18" t="n"/>
      <c r="BS117" s="18" t="n"/>
      <c r="BT117" s="18" t="n"/>
      <c r="BU117" s="18" t="n"/>
      <c r="BV117" s="18" t="n"/>
      <c r="BW117" s="18" t="n"/>
      <c r="BX117" s="18" t="n"/>
      <c r="BY117" s="18" t="n"/>
      <c r="BZ117" s="18" t="n"/>
      <c r="CA117" s="18" t="n"/>
      <c r="CB117" s="18" t="n"/>
      <c r="CC117" s="18" t="n"/>
      <c r="CD117" s="18" t="n"/>
      <c r="CE117" s="18" t="n"/>
      <c r="CF117" s="18" t="n"/>
      <c r="CG117" s="18" t="n"/>
      <c r="CH117" s="18" t="n"/>
      <c r="CI117" s="18" t="n"/>
      <c r="CJ117" s="18" t="n"/>
      <c r="CK117" s="18" t="n"/>
      <c r="CL117" s="18" t="n"/>
      <c r="CM117" s="18" t="n"/>
      <c r="CN117" s="18" t="n"/>
      <c r="CO117" s="18" t="n"/>
      <c r="CP117" s="18" t="n"/>
      <c r="CQ117" s="18" t="n"/>
      <c r="CR117" s="18" t="n"/>
      <c r="CS117" s="18" t="n"/>
      <c r="CT117" s="18" t="n"/>
      <c r="CU117" s="18" t="n"/>
      <c r="CV117" s="18" t="n"/>
      <c r="CW117" s="18" t="n"/>
      <c r="CX117" s="18" t="n"/>
      <c r="CY117" s="18" t="n"/>
      <c r="CZ117" s="18" t="n"/>
      <c r="DA117" s="18" t="n"/>
      <c r="DB117" s="18" t="n"/>
      <c r="DC117" s="18" t="n"/>
      <c r="DD117" s="18" t="n"/>
      <c r="DE117" s="18" t="n"/>
      <c r="DF117" s="18" t="n"/>
      <c r="DG117" s="18" t="n"/>
      <c r="DH117" s="18" t="n"/>
      <c r="DI117" s="18" t="n"/>
      <c r="DJ117" s="18" t="n"/>
      <c r="DK117" s="18" t="n"/>
      <c r="DL117" s="18" t="n"/>
      <c r="DM117" s="18" t="n"/>
      <c r="DN117" s="18" t="n"/>
      <c r="DO117" s="18" t="n"/>
      <c r="DP117" s="18" t="n"/>
      <c r="DQ117" s="18" t="n"/>
      <c r="DR117" s="18" t="n"/>
      <c r="DS117" s="18" t="n"/>
      <c r="DT117" s="18" t="n"/>
    </row>
    <row r="118">
      <c r="A118" s="18">
        <f>'Schedule_Data_Option_A'!A119</f>
        <v/>
      </c>
      <c r="B118" s="18">
        <f>'Schedule_Data_Option_A'!B119</f>
        <v/>
      </c>
      <c r="C118" s="18">
        <f>'Schedule_Data_Option_A'!C119</f>
        <v/>
      </c>
      <c r="D118" s="23">
        <f>'Schedule_Data_Option_A'!D119</f>
        <v/>
      </c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8" t="n"/>
      <c r="N118" s="18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  <c r="Y118" s="18" t="n"/>
      <c r="Z118" s="18" t="n"/>
      <c r="AA118" s="18" t="n"/>
      <c r="AB118" s="18" t="n"/>
      <c r="AC118" s="18" t="n"/>
      <c r="AD118" s="18" t="n"/>
      <c r="AE118" s="18" t="n"/>
      <c r="AF118" s="18" t="n"/>
      <c r="AG118" s="18" t="n"/>
      <c r="AH118" s="18" t="n"/>
      <c r="AI118" s="18" t="n"/>
      <c r="AJ118" s="18" t="n"/>
      <c r="AK118" s="18" t="n"/>
      <c r="AL118" s="18" t="n"/>
      <c r="AM118" s="18" t="n"/>
      <c r="AN118" s="18" t="n"/>
      <c r="AO118" s="18" t="n"/>
      <c r="AP118" s="18" t="n"/>
      <c r="AQ118" s="18" t="n"/>
      <c r="AR118" s="18" t="n"/>
      <c r="AS118" s="18" t="n"/>
      <c r="AT118" s="18" t="n"/>
      <c r="AU118" s="18" t="n"/>
      <c r="AV118" s="18" t="n"/>
      <c r="AW118" s="18" t="n"/>
      <c r="AX118" s="18" t="n"/>
      <c r="AY118" s="18" t="n"/>
      <c r="AZ118" s="18" t="n"/>
      <c r="BA118" s="18" t="n"/>
      <c r="BB118" s="18" t="n"/>
      <c r="BC118" s="18" t="n"/>
      <c r="BD118" s="18" t="n"/>
      <c r="BE118" s="18" t="n"/>
      <c r="BF118" s="18" t="n"/>
      <c r="BG118" s="18" t="n"/>
      <c r="BH118" s="18" t="n"/>
      <c r="BI118" s="18" t="n"/>
      <c r="BJ118" s="18" t="n"/>
      <c r="BK118" s="18" t="n"/>
      <c r="BL118" s="18" t="n"/>
      <c r="BM118" s="18" t="n"/>
      <c r="BN118" s="18" t="n"/>
      <c r="BO118" s="18" t="n"/>
      <c r="BP118" s="18" t="n"/>
      <c r="BQ118" s="18" t="n"/>
      <c r="BR118" s="18" t="n"/>
      <c r="BS118" s="18" t="n"/>
      <c r="BT118" s="18" t="n"/>
      <c r="BU118" s="18" t="n"/>
      <c r="BV118" s="18" t="n"/>
      <c r="BW118" s="18" t="n"/>
      <c r="BX118" s="18" t="n"/>
      <c r="BY118" s="18" t="n"/>
      <c r="BZ118" s="18" t="n"/>
      <c r="CA118" s="18" t="n"/>
      <c r="CB118" s="18" t="n"/>
      <c r="CC118" s="18" t="n"/>
      <c r="CD118" s="18" t="n"/>
      <c r="CE118" s="18" t="n"/>
      <c r="CF118" s="18" t="n"/>
      <c r="CG118" s="18" t="n"/>
      <c r="CH118" s="18" t="n"/>
      <c r="CI118" s="18" t="n"/>
      <c r="CJ118" s="18" t="n"/>
      <c r="CK118" s="18" t="n"/>
      <c r="CL118" s="18" t="n"/>
      <c r="CM118" s="18" t="n"/>
      <c r="CN118" s="18" t="n"/>
      <c r="CO118" s="18" t="n"/>
      <c r="CP118" s="18" t="n"/>
      <c r="CQ118" s="18" t="n"/>
      <c r="CR118" s="18" t="n"/>
      <c r="CS118" s="18" t="n"/>
      <c r="CT118" s="18" t="n"/>
      <c r="CU118" s="18" t="n"/>
      <c r="CV118" s="18" t="n"/>
      <c r="CW118" s="18" t="n"/>
      <c r="CX118" s="18" t="n"/>
      <c r="CY118" s="18" t="n"/>
      <c r="CZ118" s="18" t="n"/>
      <c r="DA118" s="18" t="n"/>
      <c r="DB118" s="18" t="n"/>
      <c r="DC118" s="18" t="n"/>
      <c r="DD118" s="18" t="n"/>
      <c r="DE118" s="18" t="n"/>
      <c r="DF118" s="18" t="n"/>
      <c r="DG118" s="18" t="n"/>
      <c r="DH118" s="18" t="n"/>
      <c r="DI118" s="18" t="n"/>
      <c r="DJ118" s="18" t="n"/>
      <c r="DK118" s="18" t="n"/>
      <c r="DL118" s="18" t="n"/>
      <c r="DM118" s="18" t="n"/>
      <c r="DN118" s="18" t="n"/>
      <c r="DO118" s="18" t="n"/>
      <c r="DP118" s="18" t="n"/>
      <c r="DQ118" s="18" t="n"/>
      <c r="DR118" s="18" t="n"/>
      <c r="DS118" s="18" t="n"/>
      <c r="DT118" s="18" t="n"/>
    </row>
    <row r="119">
      <c r="A119" s="18">
        <f>'Schedule_Data_Option_A'!A120</f>
        <v/>
      </c>
      <c r="B119" s="18">
        <f>'Schedule_Data_Option_A'!B120</f>
        <v/>
      </c>
      <c r="C119" s="18">
        <f>'Schedule_Data_Option_A'!C120</f>
        <v/>
      </c>
      <c r="D119" s="24">
        <f>'Schedule_Data_Option_A'!D120</f>
        <v/>
      </c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8" t="n"/>
      <c r="N119" s="18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  <c r="Y119" s="18" t="n"/>
      <c r="Z119" s="18" t="n"/>
      <c r="AA119" s="18" t="n"/>
      <c r="AB119" s="18" t="n"/>
      <c r="AC119" s="18" t="n"/>
      <c r="AD119" s="18" t="n"/>
      <c r="AE119" s="18" t="n"/>
      <c r="AF119" s="18" t="n"/>
      <c r="AG119" s="18" t="n"/>
      <c r="AH119" s="18" t="n"/>
      <c r="AI119" s="24" t="n"/>
      <c r="AJ119" s="18" t="n"/>
      <c r="AK119" s="18" t="n"/>
      <c r="AL119" s="18" t="n"/>
      <c r="AM119" s="18" t="n"/>
      <c r="AN119" s="18" t="n"/>
      <c r="AO119" s="18" t="n"/>
      <c r="AP119" s="18" t="n"/>
      <c r="AQ119" s="18" t="n"/>
      <c r="AR119" s="18" t="n"/>
      <c r="AS119" s="18" t="n"/>
      <c r="AT119" s="18" t="n"/>
      <c r="AU119" s="18" t="n"/>
      <c r="AV119" s="18" t="n"/>
      <c r="AW119" s="18" t="n"/>
      <c r="AX119" s="18" t="n"/>
      <c r="AY119" s="18" t="n"/>
      <c r="AZ119" s="18" t="n"/>
      <c r="BA119" s="18" t="n"/>
      <c r="BB119" s="18" t="n"/>
      <c r="BC119" s="18" t="n"/>
      <c r="BD119" s="18" t="n"/>
      <c r="BE119" s="18" t="n"/>
      <c r="BF119" s="18" t="n"/>
      <c r="BG119" s="18" t="n"/>
      <c r="BH119" s="18" t="n"/>
      <c r="BI119" s="18" t="n"/>
      <c r="BJ119" s="18" t="n"/>
      <c r="BK119" s="18" t="n"/>
      <c r="BL119" s="18" t="n"/>
      <c r="BM119" s="18" t="n"/>
      <c r="BN119" s="18" t="n"/>
      <c r="BO119" s="18" t="n"/>
      <c r="BP119" s="18" t="n"/>
      <c r="BQ119" s="18" t="n"/>
      <c r="BR119" s="18" t="n"/>
      <c r="BS119" s="18" t="n"/>
      <c r="BT119" s="18" t="n"/>
      <c r="BU119" s="18" t="n"/>
      <c r="BV119" s="18" t="n"/>
      <c r="BW119" s="18" t="n"/>
      <c r="BX119" s="18" t="n"/>
      <c r="BY119" s="18" t="n"/>
      <c r="BZ119" s="18" t="n"/>
      <c r="CA119" s="18" t="n"/>
      <c r="CB119" s="18" t="n"/>
      <c r="CC119" s="18" t="n"/>
      <c r="CD119" s="18" t="n"/>
      <c r="CE119" s="18" t="n"/>
      <c r="CF119" s="18" t="n"/>
      <c r="CG119" s="18" t="n"/>
      <c r="CH119" s="18" t="n"/>
      <c r="CI119" s="18" t="n"/>
      <c r="CJ119" s="18" t="n"/>
      <c r="CK119" s="18" t="n"/>
      <c r="CL119" s="18" t="n"/>
      <c r="CM119" s="18" t="n"/>
      <c r="CN119" s="18" t="n"/>
      <c r="CO119" s="18" t="n"/>
      <c r="CP119" s="18" t="n"/>
      <c r="CQ119" s="18" t="n"/>
      <c r="CR119" s="18" t="n"/>
      <c r="CS119" s="18" t="n"/>
      <c r="CT119" s="18" t="n"/>
      <c r="CU119" s="18" t="n"/>
      <c r="CV119" s="18" t="n"/>
      <c r="CW119" s="18" t="n"/>
      <c r="CX119" s="18" t="n"/>
      <c r="CY119" s="18" t="n"/>
      <c r="CZ119" s="18" t="n"/>
      <c r="DA119" s="18" t="n"/>
      <c r="DB119" s="18" t="n"/>
      <c r="DC119" s="18" t="n"/>
      <c r="DD119" s="18" t="n"/>
      <c r="DE119" s="18" t="n"/>
      <c r="DF119" s="18" t="n"/>
      <c r="DG119" s="18" t="n"/>
      <c r="DH119" s="18" t="n"/>
      <c r="DI119" s="18" t="n"/>
      <c r="DJ119" s="18" t="n"/>
      <c r="DK119" s="18" t="n"/>
      <c r="DL119" s="18" t="n"/>
      <c r="DM119" s="18" t="n"/>
      <c r="DN119" s="18" t="n"/>
      <c r="DO119" s="18" t="n"/>
      <c r="DP119" s="18" t="n"/>
      <c r="DQ119" s="18" t="n"/>
      <c r="DR119" s="18" t="n"/>
      <c r="DS119" s="18" t="n"/>
      <c r="DT119" s="18" t="n"/>
    </row>
    <row r="120">
      <c r="A120" s="18">
        <f>'Schedule_Data_Option_A'!A121</f>
        <v/>
      </c>
      <c r="B120" s="18">
        <f>'Schedule_Data_Option_A'!B121</f>
        <v/>
      </c>
      <c r="C120" s="18">
        <f>'Schedule_Data_Option_A'!C121</f>
        <v/>
      </c>
      <c r="D120" s="21">
        <f>'Schedule_Data_Option_A'!D121</f>
        <v/>
      </c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8" t="n"/>
      <c r="N120" s="18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  <c r="Y120" s="18" t="n"/>
      <c r="Z120" s="18" t="n"/>
      <c r="AA120" s="18" t="n"/>
      <c r="AB120" s="18" t="n"/>
      <c r="AC120" s="18" t="n"/>
      <c r="AD120" s="18" t="n"/>
      <c r="AE120" s="18" t="n"/>
      <c r="AF120" s="18" t="n"/>
      <c r="AG120" s="18" t="n"/>
      <c r="AH120" s="18" t="n"/>
      <c r="AI120" s="18" t="n"/>
      <c r="AJ120" s="21" t="n"/>
      <c r="AK120" s="18" t="n"/>
      <c r="AL120" s="18" t="n"/>
      <c r="AM120" s="18" t="n"/>
      <c r="AN120" s="18" t="n"/>
      <c r="AO120" s="18" t="n"/>
      <c r="AP120" s="18" t="n"/>
      <c r="AQ120" s="18" t="n"/>
      <c r="AR120" s="18" t="n"/>
      <c r="AS120" s="18" t="n"/>
      <c r="AT120" s="18" t="n"/>
      <c r="AU120" s="18" t="n"/>
      <c r="AV120" s="18" t="n"/>
      <c r="AW120" s="18" t="n"/>
      <c r="AX120" s="18" t="n"/>
      <c r="AY120" s="18" t="n"/>
      <c r="AZ120" s="18" t="n"/>
      <c r="BA120" s="18" t="n"/>
      <c r="BB120" s="18" t="n"/>
      <c r="BC120" s="18" t="n"/>
      <c r="BD120" s="18" t="n"/>
      <c r="BE120" s="18" t="n"/>
      <c r="BF120" s="18" t="n"/>
      <c r="BG120" s="18" t="n"/>
      <c r="BH120" s="18" t="n"/>
      <c r="BI120" s="18" t="n"/>
      <c r="BJ120" s="18" t="n"/>
      <c r="BK120" s="18" t="n"/>
      <c r="BL120" s="18" t="n"/>
      <c r="BM120" s="18" t="n"/>
      <c r="BN120" s="18" t="n"/>
      <c r="BO120" s="18" t="n"/>
      <c r="BP120" s="18" t="n"/>
      <c r="BQ120" s="18" t="n"/>
      <c r="BR120" s="18" t="n"/>
      <c r="BS120" s="18" t="n"/>
      <c r="BT120" s="18" t="n"/>
      <c r="BU120" s="18" t="n"/>
      <c r="BV120" s="18" t="n"/>
      <c r="BW120" s="18" t="n"/>
      <c r="BX120" s="18" t="n"/>
      <c r="BY120" s="18" t="n"/>
      <c r="BZ120" s="18" t="n"/>
      <c r="CA120" s="18" t="n"/>
      <c r="CB120" s="18" t="n"/>
      <c r="CC120" s="18" t="n"/>
      <c r="CD120" s="18" t="n"/>
      <c r="CE120" s="18" t="n"/>
      <c r="CF120" s="18" t="n"/>
      <c r="CG120" s="18" t="n"/>
      <c r="CH120" s="18" t="n"/>
      <c r="CI120" s="18" t="n"/>
      <c r="CJ120" s="18" t="n"/>
      <c r="CK120" s="18" t="n"/>
      <c r="CL120" s="18" t="n"/>
      <c r="CM120" s="18" t="n"/>
      <c r="CN120" s="18" t="n"/>
      <c r="CO120" s="18" t="n"/>
      <c r="CP120" s="18" t="n"/>
      <c r="CQ120" s="18" t="n"/>
      <c r="CR120" s="18" t="n"/>
      <c r="CS120" s="18" t="n"/>
      <c r="CT120" s="18" t="n"/>
      <c r="CU120" s="18" t="n"/>
      <c r="CV120" s="18" t="n"/>
      <c r="CW120" s="18" t="n"/>
      <c r="CX120" s="18" t="n"/>
      <c r="CY120" s="18" t="n"/>
      <c r="CZ120" s="18" t="n"/>
      <c r="DA120" s="18" t="n"/>
      <c r="DB120" s="18" t="n"/>
      <c r="DC120" s="18" t="n"/>
      <c r="DD120" s="18" t="n"/>
      <c r="DE120" s="18" t="n"/>
      <c r="DF120" s="18" t="n"/>
      <c r="DG120" s="18" t="n"/>
      <c r="DH120" s="18" t="n"/>
      <c r="DI120" s="18" t="n"/>
      <c r="DJ120" s="18" t="n"/>
      <c r="DK120" s="18" t="n"/>
      <c r="DL120" s="18" t="n"/>
      <c r="DM120" s="18" t="n"/>
      <c r="DN120" s="18" t="n"/>
      <c r="DO120" s="18" t="n"/>
      <c r="DP120" s="18" t="n"/>
      <c r="DQ120" s="18" t="n"/>
      <c r="DR120" s="18" t="n"/>
      <c r="DS120" s="18" t="n"/>
      <c r="DT120" s="18" t="n"/>
    </row>
    <row r="121">
      <c r="A121" s="18">
        <f>'Schedule_Data_Option_A'!A122</f>
        <v/>
      </c>
      <c r="B121" s="18">
        <f>'Schedule_Data_Option_A'!B122</f>
        <v/>
      </c>
      <c r="C121" s="18">
        <f>'Schedule_Data_Option_A'!C122</f>
        <v/>
      </c>
      <c r="D121" s="25">
        <f>'Schedule_Data_Option_A'!D122</f>
        <v/>
      </c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8" t="n"/>
      <c r="N121" s="18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  <c r="Y121" s="18" t="n"/>
      <c r="Z121" s="18" t="n"/>
      <c r="AA121" s="18" t="n"/>
      <c r="AB121" s="18" t="n"/>
      <c r="AC121" s="18" t="n"/>
      <c r="AD121" s="18" t="n"/>
      <c r="AE121" s="18" t="n"/>
      <c r="AF121" s="18" t="n"/>
      <c r="AG121" s="18" t="n"/>
      <c r="AH121" s="18" t="n"/>
      <c r="AI121" s="18" t="n"/>
      <c r="AJ121" s="18" t="n"/>
      <c r="AK121" s="25" t="n"/>
      <c r="AL121" s="18" t="n"/>
      <c r="AM121" s="18" t="n"/>
      <c r="AN121" s="18" t="n"/>
      <c r="AO121" s="18" t="n"/>
      <c r="AP121" s="18" t="n"/>
      <c r="AQ121" s="18" t="n"/>
      <c r="AR121" s="18" t="n"/>
      <c r="AS121" s="18" t="n"/>
      <c r="AT121" s="18" t="n"/>
      <c r="AU121" s="18" t="n"/>
      <c r="AV121" s="18" t="n"/>
      <c r="AW121" s="18" t="n"/>
      <c r="AX121" s="18" t="n"/>
      <c r="AY121" s="18" t="n"/>
      <c r="AZ121" s="18" t="n"/>
      <c r="BA121" s="18" t="n"/>
      <c r="BB121" s="18" t="n"/>
      <c r="BC121" s="18" t="n"/>
      <c r="BD121" s="18" t="n"/>
      <c r="BE121" s="18" t="n"/>
      <c r="BF121" s="18" t="n"/>
      <c r="BG121" s="18" t="n"/>
      <c r="BH121" s="18" t="n"/>
      <c r="BI121" s="18" t="n"/>
      <c r="BJ121" s="18" t="n"/>
      <c r="BK121" s="18" t="n"/>
      <c r="BL121" s="18" t="n"/>
      <c r="BM121" s="18" t="n"/>
      <c r="BN121" s="18" t="n"/>
      <c r="BO121" s="18" t="n"/>
      <c r="BP121" s="18" t="n"/>
      <c r="BQ121" s="18" t="n"/>
      <c r="BR121" s="18" t="n"/>
      <c r="BS121" s="18" t="n"/>
      <c r="BT121" s="18" t="n"/>
      <c r="BU121" s="18" t="n"/>
      <c r="BV121" s="18" t="n"/>
      <c r="BW121" s="18" t="n"/>
      <c r="BX121" s="18" t="n"/>
      <c r="BY121" s="18" t="n"/>
      <c r="BZ121" s="18" t="n"/>
      <c r="CA121" s="18" t="n"/>
      <c r="CB121" s="18" t="n"/>
      <c r="CC121" s="18" t="n"/>
      <c r="CD121" s="18" t="n"/>
      <c r="CE121" s="18" t="n"/>
      <c r="CF121" s="18" t="n"/>
      <c r="CG121" s="18" t="n"/>
      <c r="CH121" s="18" t="n"/>
      <c r="CI121" s="18" t="n"/>
      <c r="CJ121" s="18" t="n"/>
      <c r="CK121" s="18" t="n"/>
      <c r="CL121" s="18" t="n"/>
      <c r="CM121" s="18" t="n"/>
      <c r="CN121" s="18" t="n"/>
      <c r="CO121" s="18" t="n"/>
      <c r="CP121" s="18" t="n"/>
      <c r="CQ121" s="18" t="n"/>
      <c r="CR121" s="18" t="n"/>
      <c r="CS121" s="18" t="n"/>
      <c r="CT121" s="18" t="n"/>
      <c r="CU121" s="18" t="n"/>
      <c r="CV121" s="18" t="n"/>
      <c r="CW121" s="18" t="n"/>
      <c r="CX121" s="18" t="n"/>
      <c r="CY121" s="18" t="n"/>
      <c r="CZ121" s="18" t="n"/>
      <c r="DA121" s="18" t="n"/>
      <c r="DB121" s="18" t="n"/>
      <c r="DC121" s="18" t="n"/>
      <c r="DD121" s="18" t="n"/>
      <c r="DE121" s="18" t="n"/>
      <c r="DF121" s="18" t="n"/>
      <c r="DG121" s="18" t="n"/>
      <c r="DH121" s="18" t="n"/>
      <c r="DI121" s="18" t="n"/>
      <c r="DJ121" s="18" t="n"/>
      <c r="DK121" s="18" t="n"/>
      <c r="DL121" s="18" t="n"/>
      <c r="DM121" s="18" t="n"/>
      <c r="DN121" s="18" t="n"/>
      <c r="DO121" s="18" t="n"/>
      <c r="DP121" s="18" t="n"/>
      <c r="DQ121" s="18" t="n"/>
      <c r="DR121" s="18" t="n"/>
      <c r="DS121" s="18" t="n"/>
      <c r="DT121" s="18" t="n"/>
    </row>
    <row r="122">
      <c r="A122" s="18">
        <f>'Schedule_Data_Option_A'!A123</f>
        <v/>
      </c>
      <c r="B122" s="18">
        <f>'Schedule_Data_Option_A'!B123</f>
        <v/>
      </c>
      <c r="C122" s="18">
        <f>'Schedule_Data_Option_A'!C123</f>
        <v/>
      </c>
      <c r="D122" s="26">
        <f>'Schedule_Data_Option_A'!D123</f>
        <v/>
      </c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8" t="n"/>
      <c r="N122" s="18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  <c r="Y122" s="18" t="n"/>
      <c r="Z122" s="18" t="n"/>
      <c r="AA122" s="18" t="n"/>
      <c r="AB122" s="18" t="n"/>
      <c r="AC122" s="18" t="n"/>
      <c r="AD122" s="18" t="n"/>
      <c r="AE122" s="18" t="n"/>
      <c r="AF122" s="18" t="n"/>
      <c r="AG122" s="18" t="n"/>
      <c r="AH122" s="18" t="n"/>
      <c r="AI122" s="18" t="n"/>
      <c r="AJ122" s="18" t="n"/>
      <c r="AK122" s="18" t="n"/>
      <c r="AL122" s="26" t="n"/>
      <c r="AM122" s="18" t="n"/>
      <c r="AN122" s="18" t="n"/>
      <c r="AO122" s="18" t="n"/>
      <c r="AP122" s="18" t="n"/>
      <c r="AQ122" s="18" t="n"/>
      <c r="AR122" s="18" t="n"/>
      <c r="AS122" s="18" t="n"/>
      <c r="AT122" s="18" t="n"/>
      <c r="AU122" s="18" t="n"/>
      <c r="AV122" s="18" t="n"/>
      <c r="AW122" s="18" t="n"/>
      <c r="AX122" s="18" t="n"/>
      <c r="AY122" s="18" t="n"/>
      <c r="AZ122" s="18" t="n"/>
      <c r="BA122" s="18" t="n"/>
      <c r="BB122" s="18" t="n"/>
      <c r="BC122" s="18" t="n"/>
      <c r="BD122" s="18" t="n"/>
      <c r="BE122" s="18" t="n"/>
      <c r="BF122" s="18" t="n"/>
      <c r="BG122" s="18" t="n"/>
      <c r="BH122" s="18" t="n"/>
      <c r="BI122" s="18" t="n"/>
      <c r="BJ122" s="18" t="n"/>
      <c r="BK122" s="18" t="n"/>
      <c r="BL122" s="18" t="n"/>
      <c r="BM122" s="18" t="n"/>
      <c r="BN122" s="18" t="n"/>
      <c r="BO122" s="18" t="n"/>
      <c r="BP122" s="18" t="n"/>
      <c r="BQ122" s="18" t="n"/>
      <c r="BR122" s="18" t="n"/>
      <c r="BS122" s="18" t="n"/>
      <c r="BT122" s="18" t="n"/>
      <c r="BU122" s="18" t="n"/>
      <c r="BV122" s="18" t="n"/>
      <c r="BW122" s="18" t="n"/>
      <c r="BX122" s="18" t="n"/>
      <c r="BY122" s="18" t="n"/>
      <c r="BZ122" s="18" t="n"/>
      <c r="CA122" s="18" t="n"/>
      <c r="CB122" s="18" t="n"/>
      <c r="CC122" s="18" t="n"/>
      <c r="CD122" s="18" t="n"/>
      <c r="CE122" s="18" t="n"/>
      <c r="CF122" s="18" t="n"/>
      <c r="CG122" s="18" t="n"/>
      <c r="CH122" s="18" t="n"/>
      <c r="CI122" s="18" t="n"/>
      <c r="CJ122" s="18" t="n"/>
      <c r="CK122" s="18" t="n"/>
      <c r="CL122" s="18" t="n"/>
      <c r="CM122" s="18" t="n"/>
      <c r="CN122" s="18" t="n"/>
      <c r="CO122" s="18" t="n"/>
      <c r="CP122" s="18" t="n"/>
      <c r="CQ122" s="18" t="n"/>
      <c r="CR122" s="18" t="n"/>
      <c r="CS122" s="18" t="n"/>
      <c r="CT122" s="18" t="n"/>
      <c r="CU122" s="18" t="n"/>
      <c r="CV122" s="18" t="n"/>
      <c r="CW122" s="18" t="n"/>
      <c r="CX122" s="18" t="n"/>
      <c r="CY122" s="18" t="n"/>
      <c r="CZ122" s="18" t="n"/>
      <c r="DA122" s="18" t="n"/>
      <c r="DB122" s="18" t="n"/>
      <c r="DC122" s="18" t="n"/>
      <c r="DD122" s="18" t="n"/>
      <c r="DE122" s="18" t="n"/>
      <c r="DF122" s="18" t="n"/>
      <c r="DG122" s="18" t="n"/>
      <c r="DH122" s="18" t="n"/>
      <c r="DI122" s="18" t="n"/>
      <c r="DJ122" s="18" t="n"/>
      <c r="DK122" s="18" t="n"/>
      <c r="DL122" s="18" t="n"/>
      <c r="DM122" s="18" t="n"/>
      <c r="DN122" s="18" t="n"/>
      <c r="DO122" s="18" t="n"/>
      <c r="DP122" s="18" t="n"/>
      <c r="DQ122" s="18" t="n"/>
      <c r="DR122" s="18" t="n"/>
      <c r="DS122" s="18" t="n"/>
      <c r="DT122" s="18" t="n"/>
    </row>
    <row r="123">
      <c r="A123" s="18">
        <f>'Schedule_Data_Option_A'!A124</f>
        <v/>
      </c>
      <c r="B123" s="18">
        <f>'Schedule_Data_Option_A'!B124</f>
        <v/>
      </c>
      <c r="C123" s="18">
        <f>'Schedule_Data_Option_A'!C124</f>
        <v/>
      </c>
      <c r="D123" s="21">
        <f>'Schedule_Data_Option_A'!D124</f>
        <v/>
      </c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8" t="n"/>
      <c r="N123" s="18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  <c r="Y123" s="18" t="n"/>
      <c r="Z123" s="18" t="n"/>
      <c r="AA123" s="18" t="n"/>
      <c r="AB123" s="18" t="n"/>
      <c r="AC123" s="18" t="n"/>
      <c r="AD123" s="18" t="n"/>
      <c r="AE123" s="18" t="n"/>
      <c r="AF123" s="18" t="n"/>
      <c r="AG123" s="18" t="n"/>
      <c r="AH123" s="18" t="n"/>
      <c r="AI123" s="18" t="n"/>
      <c r="AJ123" s="18" t="n"/>
      <c r="AK123" s="18" t="n"/>
      <c r="AL123" s="21" t="n"/>
      <c r="AM123" s="18" t="n"/>
      <c r="AN123" s="18" t="n"/>
      <c r="AO123" s="18" t="n"/>
      <c r="AP123" s="18" t="n"/>
      <c r="AQ123" s="18" t="n"/>
      <c r="AR123" s="18" t="n"/>
      <c r="AS123" s="18" t="n"/>
      <c r="AT123" s="18" t="n"/>
      <c r="AU123" s="18" t="n"/>
      <c r="AV123" s="18" t="n"/>
      <c r="AW123" s="18" t="n"/>
      <c r="AX123" s="18" t="n"/>
      <c r="AY123" s="18" t="n"/>
      <c r="AZ123" s="18" t="n"/>
      <c r="BA123" s="18" t="n"/>
      <c r="BB123" s="18" t="n"/>
      <c r="BC123" s="18" t="n"/>
      <c r="BD123" s="18" t="n"/>
      <c r="BE123" s="18" t="n"/>
      <c r="BF123" s="18" t="n"/>
      <c r="BG123" s="18" t="n"/>
      <c r="BH123" s="18" t="n"/>
      <c r="BI123" s="18" t="n"/>
      <c r="BJ123" s="18" t="n"/>
      <c r="BK123" s="18" t="n"/>
      <c r="BL123" s="18" t="n"/>
      <c r="BM123" s="18" t="n"/>
      <c r="BN123" s="18" t="n"/>
      <c r="BO123" s="18" t="n"/>
      <c r="BP123" s="18" t="n"/>
      <c r="BQ123" s="18" t="n"/>
      <c r="BR123" s="18" t="n"/>
      <c r="BS123" s="18" t="n"/>
      <c r="BT123" s="18" t="n"/>
      <c r="BU123" s="18" t="n"/>
      <c r="BV123" s="18" t="n"/>
      <c r="BW123" s="18" t="n"/>
      <c r="BX123" s="18" t="n"/>
      <c r="BY123" s="18" t="n"/>
      <c r="BZ123" s="18" t="n"/>
      <c r="CA123" s="18" t="n"/>
      <c r="CB123" s="18" t="n"/>
      <c r="CC123" s="18" t="n"/>
      <c r="CD123" s="18" t="n"/>
      <c r="CE123" s="18" t="n"/>
      <c r="CF123" s="18" t="n"/>
      <c r="CG123" s="18" t="n"/>
      <c r="CH123" s="18" t="n"/>
      <c r="CI123" s="18" t="n"/>
      <c r="CJ123" s="18" t="n"/>
      <c r="CK123" s="18" t="n"/>
      <c r="CL123" s="18" t="n"/>
      <c r="CM123" s="18" t="n"/>
      <c r="CN123" s="18" t="n"/>
      <c r="CO123" s="18" t="n"/>
      <c r="CP123" s="18" t="n"/>
      <c r="CQ123" s="18" t="n"/>
      <c r="CR123" s="18" t="n"/>
      <c r="CS123" s="18" t="n"/>
      <c r="CT123" s="18" t="n"/>
      <c r="CU123" s="18" t="n"/>
      <c r="CV123" s="18" t="n"/>
      <c r="CW123" s="18" t="n"/>
      <c r="CX123" s="18" t="n"/>
      <c r="CY123" s="18" t="n"/>
      <c r="CZ123" s="18" t="n"/>
      <c r="DA123" s="18" t="n"/>
      <c r="DB123" s="18" t="n"/>
      <c r="DC123" s="18" t="n"/>
      <c r="DD123" s="18" t="n"/>
      <c r="DE123" s="18" t="n"/>
      <c r="DF123" s="18" t="n"/>
      <c r="DG123" s="18" t="n"/>
      <c r="DH123" s="18" t="n"/>
      <c r="DI123" s="18" t="n"/>
      <c r="DJ123" s="18" t="n"/>
      <c r="DK123" s="18" t="n"/>
      <c r="DL123" s="18" t="n"/>
      <c r="DM123" s="18" t="n"/>
      <c r="DN123" s="18" t="n"/>
      <c r="DO123" s="18" t="n"/>
      <c r="DP123" s="18" t="n"/>
      <c r="DQ123" s="18" t="n"/>
      <c r="DR123" s="18" t="n"/>
      <c r="DS123" s="18" t="n"/>
      <c r="DT123" s="18" t="n"/>
    </row>
    <row r="124">
      <c r="A124" s="18">
        <f>'Schedule_Data_Option_A'!A125</f>
        <v/>
      </c>
      <c r="B124" s="18">
        <f>'Schedule_Data_Option_A'!B125</f>
        <v/>
      </c>
      <c r="C124" s="18">
        <f>'Schedule_Data_Option_A'!C125</f>
        <v/>
      </c>
      <c r="D124" s="23">
        <f>'Schedule_Data_Option_A'!D125</f>
        <v/>
      </c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8" t="n"/>
      <c r="N124" s="18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  <c r="Y124" s="18" t="n"/>
      <c r="Z124" s="18" t="n"/>
      <c r="AA124" s="18" t="n"/>
      <c r="AB124" s="18" t="n"/>
      <c r="AC124" s="18" t="n"/>
      <c r="AD124" s="18" t="n"/>
      <c r="AE124" s="18" t="n"/>
      <c r="AF124" s="18" t="n"/>
      <c r="AG124" s="18" t="n"/>
      <c r="AH124" s="18" t="n"/>
      <c r="AI124" s="18" t="n"/>
      <c r="AJ124" s="18" t="n"/>
      <c r="AK124" s="18" t="n"/>
      <c r="AL124" s="18" t="n"/>
      <c r="AM124" s="23" t="n"/>
      <c r="AN124" s="18" t="n"/>
      <c r="AO124" s="18" t="n"/>
      <c r="AP124" s="18" t="n"/>
      <c r="AQ124" s="18" t="n"/>
      <c r="AR124" s="18" t="n"/>
      <c r="AS124" s="18" t="n"/>
      <c r="AT124" s="18" t="n"/>
      <c r="AU124" s="18" t="n"/>
      <c r="AV124" s="18" t="n"/>
      <c r="AW124" s="18" t="n"/>
      <c r="AX124" s="18" t="n"/>
      <c r="AY124" s="18" t="n"/>
      <c r="AZ124" s="18" t="n"/>
      <c r="BA124" s="18" t="n"/>
      <c r="BB124" s="18" t="n"/>
      <c r="BC124" s="18" t="n"/>
      <c r="BD124" s="18" t="n"/>
      <c r="BE124" s="18" t="n"/>
      <c r="BF124" s="18" t="n"/>
      <c r="BG124" s="18" t="n"/>
      <c r="BH124" s="18" t="n"/>
      <c r="BI124" s="18" t="n"/>
      <c r="BJ124" s="18" t="n"/>
      <c r="BK124" s="18" t="n"/>
      <c r="BL124" s="18" t="n"/>
      <c r="BM124" s="18" t="n"/>
      <c r="BN124" s="18" t="n"/>
      <c r="BO124" s="18" t="n"/>
      <c r="BP124" s="18" t="n"/>
      <c r="BQ124" s="18" t="n"/>
      <c r="BR124" s="18" t="n"/>
      <c r="BS124" s="18" t="n"/>
      <c r="BT124" s="18" t="n"/>
      <c r="BU124" s="18" t="n"/>
      <c r="BV124" s="18" t="n"/>
      <c r="BW124" s="18" t="n"/>
      <c r="BX124" s="18" t="n"/>
      <c r="BY124" s="18" t="n"/>
      <c r="BZ124" s="18" t="n"/>
      <c r="CA124" s="18" t="n"/>
      <c r="CB124" s="18" t="n"/>
      <c r="CC124" s="18" t="n"/>
      <c r="CD124" s="18" t="n"/>
      <c r="CE124" s="18" t="n"/>
      <c r="CF124" s="18" t="n"/>
      <c r="CG124" s="18" t="n"/>
      <c r="CH124" s="18" t="n"/>
      <c r="CI124" s="18" t="n"/>
      <c r="CJ124" s="18" t="n"/>
      <c r="CK124" s="18" t="n"/>
      <c r="CL124" s="18" t="n"/>
      <c r="CM124" s="18" t="n"/>
      <c r="CN124" s="18" t="n"/>
      <c r="CO124" s="18" t="n"/>
      <c r="CP124" s="18" t="n"/>
      <c r="CQ124" s="18" t="n"/>
      <c r="CR124" s="18" t="n"/>
      <c r="CS124" s="18" t="n"/>
      <c r="CT124" s="18" t="n"/>
      <c r="CU124" s="18" t="n"/>
      <c r="CV124" s="18" t="n"/>
      <c r="CW124" s="18" t="n"/>
      <c r="CX124" s="18" t="n"/>
      <c r="CY124" s="18" t="n"/>
      <c r="CZ124" s="18" t="n"/>
      <c r="DA124" s="18" t="n"/>
      <c r="DB124" s="18" t="n"/>
      <c r="DC124" s="18" t="n"/>
      <c r="DD124" s="18" t="n"/>
      <c r="DE124" s="18" t="n"/>
      <c r="DF124" s="18" t="n"/>
      <c r="DG124" s="18" t="n"/>
      <c r="DH124" s="18" t="n"/>
      <c r="DI124" s="18" t="n"/>
      <c r="DJ124" s="18" t="n"/>
      <c r="DK124" s="18" t="n"/>
      <c r="DL124" s="18" t="n"/>
      <c r="DM124" s="18" t="n"/>
      <c r="DN124" s="18" t="n"/>
      <c r="DO124" s="18" t="n"/>
      <c r="DP124" s="18" t="n"/>
      <c r="DQ124" s="18" t="n"/>
      <c r="DR124" s="18" t="n"/>
      <c r="DS124" s="18" t="n"/>
      <c r="DT124" s="18" t="n"/>
    </row>
    <row r="125">
      <c r="A125" s="18">
        <f>'Schedule_Data_Option_A'!A126</f>
        <v/>
      </c>
      <c r="B125" s="18">
        <f>'Schedule_Data_Option_A'!B126</f>
        <v/>
      </c>
      <c r="C125" s="18">
        <f>'Schedule_Data_Option_A'!C126</f>
        <v/>
      </c>
      <c r="D125" s="21">
        <f>'Schedule_Data_Option_A'!D126</f>
        <v/>
      </c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8" t="n"/>
      <c r="N125" s="18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  <c r="Y125" s="18" t="n"/>
      <c r="Z125" s="18" t="n"/>
      <c r="AA125" s="18" t="n"/>
      <c r="AB125" s="18" t="n"/>
      <c r="AC125" s="18" t="n"/>
      <c r="AD125" s="18" t="n"/>
      <c r="AE125" s="18" t="n"/>
      <c r="AF125" s="18" t="n"/>
      <c r="AG125" s="18" t="n"/>
      <c r="AH125" s="18" t="n"/>
      <c r="AI125" s="18" t="n"/>
      <c r="AJ125" s="18" t="n"/>
      <c r="AK125" s="18" t="n"/>
      <c r="AL125" s="18" t="n"/>
      <c r="AM125" s="18" t="n"/>
      <c r="AN125" s="18" t="n"/>
      <c r="AO125" s="18" t="n"/>
      <c r="AP125" s="18" t="n"/>
      <c r="AQ125" s="18" t="n"/>
      <c r="AR125" s="18" t="n"/>
      <c r="AS125" s="18" t="n"/>
      <c r="AT125" s="18" t="n"/>
      <c r="AU125" s="18" t="n"/>
      <c r="AV125" s="18" t="n"/>
      <c r="AW125" s="18" t="n"/>
      <c r="AX125" s="18" t="n"/>
      <c r="AY125" s="18" t="n"/>
      <c r="AZ125" s="18" t="n"/>
      <c r="BA125" s="18" t="n"/>
      <c r="BB125" s="18" t="n"/>
      <c r="BC125" s="18" t="n"/>
      <c r="BD125" s="18" t="n"/>
      <c r="BE125" s="18" t="n"/>
      <c r="BF125" s="18" t="n"/>
      <c r="BG125" s="18" t="n"/>
      <c r="BH125" s="18" t="n"/>
      <c r="BI125" s="18" t="n"/>
      <c r="BJ125" s="18" t="n"/>
      <c r="BK125" s="18" t="n"/>
      <c r="BL125" s="18" t="n"/>
      <c r="BM125" s="18" t="n"/>
      <c r="BN125" s="18" t="n"/>
      <c r="BO125" s="18" t="n"/>
      <c r="BP125" s="18" t="n"/>
      <c r="BQ125" s="18" t="n"/>
      <c r="BR125" s="18" t="n"/>
      <c r="BS125" s="18" t="n"/>
      <c r="BT125" s="18" t="n"/>
      <c r="BU125" s="18" t="n"/>
      <c r="BV125" s="18" t="n"/>
      <c r="BW125" s="18" t="n"/>
      <c r="BX125" s="18" t="n"/>
      <c r="BY125" s="18" t="n"/>
      <c r="BZ125" s="18" t="n"/>
      <c r="CA125" s="18" t="n"/>
      <c r="CB125" s="18" t="n"/>
      <c r="CC125" s="18" t="n"/>
      <c r="CD125" s="18" t="n"/>
      <c r="CE125" s="18" t="n"/>
      <c r="CF125" s="18" t="n"/>
      <c r="CG125" s="18" t="n"/>
      <c r="CH125" s="18" t="n"/>
      <c r="CI125" s="18" t="n"/>
      <c r="CJ125" s="18" t="n"/>
      <c r="CK125" s="18" t="n"/>
      <c r="CL125" s="18" t="n"/>
      <c r="CM125" s="18" t="n"/>
      <c r="CN125" s="18" t="n"/>
      <c r="CO125" s="18" t="n"/>
      <c r="CP125" s="18" t="n"/>
      <c r="CQ125" s="18" t="n"/>
      <c r="CR125" s="18" t="n"/>
      <c r="CS125" s="18" t="n"/>
      <c r="CT125" s="18" t="n"/>
      <c r="CU125" s="18" t="n"/>
      <c r="CV125" s="18" t="n"/>
      <c r="CW125" s="18" t="n"/>
      <c r="CX125" s="18" t="n"/>
      <c r="CY125" s="18" t="n"/>
      <c r="CZ125" s="18" t="n"/>
      <c r="DA125" s="18" t="n"/>
      <c r="DB125" s="18" t="n"/>
      <c r="DC125" s="18" t="n"/>
      <c r="DD125" s="18" t="n"/>
      <c r="DE125" s="18" t="n"/>
      <c r="DF125" s="18" t="n"/>
      <c r="DG125" s="18" t="n"/>
      <c r="DH125" s="18" t="n"/>
      <c r="DI125" s="18" t="n"/>
      <c r="DJ125" s="18" t="n"/>
      <c r="DK125" s="18" t="n"/>
      <c r="DL125" s="18" t="n"/>
      <c r="DM125" s="18" t="n"/>
      <c r="DN125" s="18" t="n"/>
      <c r="DO125" s="18" t="n"/>
      <c r="DP125" s="18" t="n"/>
      <c r="DQ125" s="18" t="n"/>
      <c r="DR125" s="18" t="n"/>
      <c r="DS125" s="18" t="n"/>
      <c r="DT125" s="18" t="n"/>
    </row>
    <row r="126">
      <c r="A126" s="18">
        <f>'Schedule_Data_Option_A'!A127</f>
        <v/>
      </c>
      <c r="B126" s="18">
        <f>'Schedule_Data_Option_A'!B127</f>
        <v/>
      </c>
      <c r="C126" s="18">
        <f>'Schedule_Data_Option_A'!C127</f>
        <v/>
      </c>
      <c r="D126" s="21">
        <f>'Schedule_Data_Option_A'!D127</f>
        <v/>
      </c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8" t="n"/>
      <c r="N126" s="18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  <c r="Y126" s="18" t="n"/>
      <c r="Z126" s="18" t="n"/>
      <c r="AA126" s="18" t="n"/>
      <c r="AB126" s="18" t="n"/>
      <c r="AC126" s="18" t="n"/>
      <c r="AD126" s="18" t="n"/>
      <c r="AE126" s="18" t="n"/>
      <c r="AF126" s="18" t="n"/>
      <c r="AG126" s="18" t="n"/>
      <c r="AH126" s="18" t="n"/>
      <c r="AI126" s="18" t="n"/>
      <c r="AJ126" s="18" t="n"/>
      <c r="AK126" s="18" t="n"/>
      <c r="AL126" s="18" t="n"/>
      <c r="AM126" s="18" t="n"/>
      <c r="AN126" s="18" t="n"/>
      <c r="AO126" s="18" t="n"/>
      <c r="AP126" s="18" t="n"/>
      <c r="AQ126" s="18" t="n"/>
      <c r="AR126" s="18" t="n"/>
      <c r="AS126" s="18" t="n"/>
      <c r="AT126" s="18" t="n"/>
      <c r="AU126" s="18" t="n"/>
      <c r="AV126" s="18" t="n"/>
      <c r="AW126" s="18" t="n"/>
      <c r="AX126" s="18" t="n"/>
      <c r="AY126" s="18" t="n"/>
      <c r="AZ126" s="18" t="n"/>
      <c r="BA126" s="18" t="n"/>
      <c r="BB126" s="18" t="n"/>
      <c r="BC126" s="18" t="n"/>
      <c r="BD126" s="18" t="n"/>
      <c r="BE126" s="18" t="n"/>
      <c r="BF126" s="18" t="n"/>
      <c r="BG126" s="18" t="n"/>
      <c r="BH126" s="18" t="n"/>
      <c r="BI126" s="18" t="n"/>
      <c r="BJ126" s="18" t="n"/>
      <c r="BK126" s="18" t="n"/>
      <c r="BL126" s="18" t="n"/>
      <c r="BM126" s="18" t="n"/>
      <c r="BN126" s="18" t="n"/>
      <c r="BO126" s="18" t="n"/>
      <c r="BP126" s="18" t="n"/>
      <c r="BQ126" s="18" t="n"/>
      <c r="BR126" s="18" t="n"/>
      <c r="BS126" s="18" t="n"/>
      <c r="BT126" s="18" t="n"/>
      <c r="BU126" s="18" t="n"/>
      <c r="BV126" s="18" t="n"/>
      <c r="BW126" s="18" t="n"/>
      <c r="BX126" s="18" t="n"/>
      <c r="BY126" s="18" t="n"/>
      <c r="BZ126" s="18" t="n"/>
      <c r="CA126" s="18" t="n"/>
      <c r="CB126" s="18" t="n"/>
      <c r="CC126" s="18" t="n"/>
      <c r="CD126" s="18" t="n"/>
      <c r="CE126" s="18" t="n"/>
      <c r="CF126" s="18" t="n"/>
      <c r="CG126" s="18" t="n"/>
      <c r="CH126" s="18" t="n"/>
      <c r="CI126" s="18" t="n"/>
      <c r="CJ126" s="18" t="n"/>
      <c r="CK126" s="18" t="n"/>
      <c r="CL126" s="18" t="n"/>
      <c r="CM126" s="18" t="n"/>
      <c r="CN126" s="18" t="n"/>
      <c r="CO126" s="18" t="n"/>
      <c r="CP126" s="18" t="n"/>
      <c r="CQ126" s="18" t="n"/>
      <c r="CR126" s="18" t="n"/>
      <c r="CS126" s="18" t="n"/>
      <c r="CT126" s="18" t="n"/>
      <c r="CU126" s="18" t="n"/>
      <c r="CV126" s="18" t="n"/>
      <c r="CW126" s="18" t="n"/>
      <c r="CX126" s="18" t="n"/>
      <c r="CY126" s="18" t="n"/>
      <c r="CZ126" s="18" t="n"/>
      <c r="DA126" s="18" t="n"/>
      <c r="DB126" s="18" t="n"/>
      <c r="DC126" s="18" t="n"/>
      <c r="DD126" s="18" t="n"/>
      <c r="DE126" s="18" t="n"/>
      <c r="DF126" s="18" t="n"/>
      <c r="DG126" s="18" t="n"/>
      <c r="DH126" s="18" t="n"/>
      <c r="DI126" s="18" t="n"/>
      <c r="DJ126" s="18" t="n"/>
      <c r="DK126" s="18" t="n"/>
      <c r="DL126" s="18" t="n"/>
      <c r="DM126" s="18" t="n"/>
      <c r="DN126" s="18" t="n"/>
      <c r="DO126" s="18" t="n"/>
      <c r="DP126" s="18" t="n"/>
      <c r="DQ126" s="18" t="n"/>
      <c r="DR126" s="18" t="n"/>
      <c r="DS126" s="18" t="n"/>
      <c r="DT126" s="18" t="n"/>
    </row>
    <row r="127">
      <c r="A127" s="18">
        <f>'Schedule_Data_Option_A'!A128</f>
        <v/>
      </c>
      <c r="B127" s="18">
        <f>'Schedule_Data_Option_A'!B128</f>
        <v/>
      </c>
      <c r="C127" s="18">
        <f>'Schedule_Data_Option_A'!C128</f>
        <v/>
      </c>
      <c r="D127" s="27">
        <f>'Schedule_Data_Option_A'!D128</f>
        <v/>
      </c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8" t="n"/>
      <c r="N127" s="18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  <c r="Y127" s="18" t="n"/>
      <c r="Z127" s="18" t="n"/>
      <c r="AA127" s="18" t="n"/>
      <c r="AB127" s="18" t="n"/>
      <c r="AC127" s="18" t="n"/>
      <c r="AD127" s="18" t="n"/>
      <c r="AE127" s="18" t="n"/>
      <c r="AF127" s="18" t="n"/>
      <c r="AG127" s="18" t="n"/>
      <c r="AH127" s="18" t="n"/>
      <c r="AI127" s="18" t="n"/>
      <c r="AJ127" s="18" t="n"/>
      <c r="AK127" s="18" t="n"/>
      <c r="AL127" s="18" t="n"/>
      <c r="AM127" s="18" t="n"/>
      <c r="AN127" s="18" t="n"/>
      <c r="AO127" s="18" t="n"/>
      <c r="AP127" s="27" t="n"/>
      <c r="AQ127" s="18" t="n"/>
      <c r="AR127" s="18" t="n"/>
      <c r="AS127" s="18" t="n"/>
      <c r="AT127" s="18" t="n"/>
      <c r="AU127" s="18" t="n"/>
      <c r="AV127" s="18" t="n"/>
      <c r="AW127" s="18" t="n"/>
      <c r="AX127" s="18" t="n"/>
      <c r="AY127" s="18" t="n"/>
      <c r="AZ127" s="18" t="n"/>
      <c r="BA127" s="18" t="n"/>
      <c r="BB127" s="18" t="n"/>
      <c r="BC127" s="18" t="n"/>
      <c r="BD127" s="18" t="n"/>
      <c r="BE127" s="18" t="n"/>
      <c r="BF127" s="18" t="n"/>
      <c r="BG127" s="18" t="n"/>
      <c r="BH127" s="18" t="n"/>
      <c r="BI127" s="18" t="n"/>
      <c r="BJ127" s="18" t="n"/>
      <c r="BK127" s="18" t="n"/>
      <c r="BL127" s="18" t="n"/>
      <c r="BM127" s="18" t="n"/>
      <c r="BN127" s="18" t="n"/>
      <c r="BO127" s="18" t="n"/>
      <c r="BP127" s="18" t="n"/>
      <c r="BQ127" s="18" t="n"/>
      <c r="BR127" s="18" t="n"/>
      <c r="BS127" s="18" t="n"/>
      <c r="BT127" s="18" t="n"/>
      <c r="BU127" s="18" t="n"/>
      <c r="BV127" s="18" t="n"/>
      <c r="BW127" s="18" t="n"/>
      <c r="BX127" s="18" t="n"/>
      <c r="BY127" s="18" t="n"/>
      <c r="BZ127" s="18" t="n"/>
      <c r="CA127" s="18" t="n"/>
      <c r="CB127" s="18" t="n"/>
      <c r="CC127" s="18" t="n"/>
      <c r="CD127" s="18" t="n"/>
      <c r="CE127" s="18" t="n"/>
      <c r="CF127" s="18" t="n"/>
      <c r="CG127" s="18" t="n"/>
      <c r="CH127" s="18" t="n"/>
      <c r="CI127" s="18" t="n"/>
      <c r="CJ127" s="18" t="n"/>
      <c r="CK127" s="18" t="n"/>
      <c r="CL127" s="18" t="n"/>
      <c r="CM127" s="18" t="n"/>
      <c r="CN127" s="18" t="n"/>
      <c r="CO127" s="18" t="n"/>
      <c r="CP127" s="18" t="n"/>
      <c r="CQ127" s="18" t="n"/>
      <c r="CR127" s="18" t="n"/>
      <c r="CS127" s="18" t="n"/>
      <c r="CT127" s="18" t="n"/>
      <c r="CU127" s="18" t="n"/>
      <c r="CV127" s="18" t="n"/>
      <c r="CW127" s="18" t="n"/>
      <c r="CX127" s="18" t="n"/>
      <c r="CY127" s="18" t="n"/>
      <c r="CZ127" s="18" t="n"/>
      <c r="DA127" s="18" t="n"/>
      <c r="DB127" s="18" t="n"/>
      <c r="DC127" s="18" t="n"/>
      <c r="DD127" s="18" t="n"/>
      <c r="DE127" s="18" t="n"/>
      <c r="DF127" s="18" t="n"/>
      <c r="DG127" s="18" t="n"/>
      <c r="DH127" s="18" t="n"/>
      <c r="DI127" s="18" t="n"/>
      <c r="DJ127" s="18" t="n"/>
      <c r="DK127" s="18" t="n"/>
      <c r="DL127" s="18" t="n"/>
      <c r="DM127" s="18" t="n"/>
      <c r="DN127" s="18" t="n"/>
      <c r="DO127" s="18" t="n"/>
      <c r="DP127" s="18" t="n"/>
      <c r="DQ127" s="18" t="n"/>
      <c r="DR127" s="18" t="n"/>
      <c r="DS127" s="18" t="n"/>
      <c r="DT127" s="18" t="n"/>
    </row>
    <row r="128">
      <c r="A128" s="18">
        <f>'Schedule_Data_Option_A'!A129</f>
        <v/>
      </c>
      <c r="B128" s="18">
        <f>'Schedule_Data_Option_A'!B129</f>
        <v/>
      </c>
      <c r="C128" s="18">
        <f>'Schedule_Data_Option_A'!C129</f>
        <v/>
      </c>
      <c r="D128" s="38">
        <f>'Schedule_Data_Option_A'!D129</f>
        <v/>
      </c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8" t="n"/>
      <c r="N128" s="18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  <c r="Y128" s="18" t="n"/>
      <c r="Z128" s="18" t="n"/>
      <c r="AA128" s="18" t="n"/>
      <c r="AB128" s="18" t="n"/>
      <c r="AC128" s="18" t="n"/>
      <c r="AD128" s="18" t="n"/>
      <c r="AE128" s="18" t="n"/>
      <c r="AF128" s="18" t="n"/>
      <c r="AG128" s="18" t="n"/>
      <c r="AH128" s="18" t="n"/>
      <c r="AI128" s="18" t="n"/>
      <c r="AJ128" s="18" t="n"/>
      <c r="AK128" s="18" t="n"/>
      <c r="AL128" s="18" t="n"/>
      <c r="AM128" s="18" t="n"/>
      <c r="AN128" s="18" t="n"/>
      <c r="AO128" s="18" t="n"/>
      <c r="AP128" s="18" t="n"/>
      <c r="AQ128" s="18" t="n"/>
      <c r="AR128" s="18" t="n"/>
      <c r="AS128" s="38" t="n"/>
      <c r="AT128" s="18" t="n"/>
      <c r="AU128" s="18" t="n"/>
      <c r="AV128" s="18" t="n"/>
      <c r="AW128" s="18" t="n"/>
      <c r="AX128" s="18" t="n"/>
      <c r="AY128" s="18" t="n"/>
      <c r="AZ128" s="18" t="n"/>
      <c r="BA128" s="18" t="n"/>
      <c r="BB128" s="18" t="n"/>
      <c r="BC128" s="18" t="n"/>
      <c r="BD128" s="18" t="n"/>
      <c r="BE128" s="18" t="n"/>
      <c r="BF128" s="18" t="n"/>
      <c r="BG128" s="18" t="n"/>
      <c r="BH128" s="18" t="n"/>
      <c r="BI128" s="18" t="n"/>
      <c r="BJ128" s="18" t="n"/>
      <c r="BK128" s="18" t="n"/>
      <c r="BL128" s="18" t="n"/>
      <c r="BM128" s="18" t="n"/>
      <c r="BN128" s="18" t="n"/>
      <c r="BO128" s="18" t="n"/>
      <c r="BP128" s="18" t="n"/>
      <c r="BQ128" s="18" t="n"/>
      <c r="BR128" s="18" t="n"/>
      <c r="BS128" s="18" t="n"/>
      <c r="BT128" s="18" t="n"/>
      <c r="BU128" s="18" t="n"/>
      <c r="BV128" s="18" t="n"/>
      <c r="BW128" s="18" t="n"/>
      <c r="BX128" s="18" t="n"/>
      <c r="BY128" s="18" t="n"/>
      <c r="BZ128" s="18" t="n"/>
      <c r="CA128" s="18" t="n"/>
      <c r="CB128" s="18" t="n"/>
      <c r="CC128" s="18" t="n"/>
      <c r="CD128" s="18" t="n"/>
      <c r="CE128" s="18" t="n"/>
      <c r="CF128" s="18" t="n"/>
      <c r="CG128" s="18" t="n"/>
      <c r="CH128" s="18" t="n"/>
      <c r="CI128" s="18" t="n"/>
      <c r="CJ128" s="18" t="n"/>
      <c r="CK128" s="18" t="n"/>
      <c r="CL128" s="18" t="n"/>
      <c r="CM128" s="18" t="n"/>
      <c r="CN128" s="18" t="n"/>
      <c r="CO128" s="18" t="n"/>
      <c r="CP128" s="18" t="n"/>
      <c r="CQ128" s="18" t="n"/>
      <c r="CR128" s="18" t="n"/>
      <c r="CS128" s="18" t="n"/>
      <c r="CT128" s="18" t="n"/>
      <c r="CU128" s="18" t="n"/>
      <c r="CV128" s="18" t="n"/>
      <c r="CW128" s="18" t="n"/>
      <c r="CX128" s="18" t="n"/>
      <c r="CY128" s="18" t="n"/>
      <c r="CZ128" s="18" t="n"/>
      <c r="DA128" s="18" t="n"/>
      <c r="DB128" s="18" t="n"/>
      <c r="DC128" s="18" t="n"/>
      <c r="DD128" s="18" t="n"/>
      <c r="DE128" s="18" t="n"/>
      <c r="DF128" s="18" t="n"/>
      <c r="DG128" s="18" t="n"/>
      <c r="DH128" s="18" t="n"/>
      <c r="DI128" s="18" t="n"/>
      <c r="DJ128" s="18" t="n"/>
      <c r="DK128" s="18" t="n"/>
      <c r="DL128" s="18" t="n"/>
      <c r="DM128" s="18" t="n"/>
      <c r="DN128" s="18" t="n"/>
      <c r="DO128" s="18" t="n"/>
      <c r="DP128" s="18" t="n"/>
      <c r="DQ128" s="18" t="n"/>
      <c r="DR128" s="18" t="n"/>
      <c r="DS128" s="18" t="n"/>
      <c r="DT128" s="18" t="n"/>
    </row>
    <row r="129">
      <c r="A129" s="18">
        <f>'Schedule_Data_Option_A'!A130</f>
        <v/>
      </c>
      <c r="B129" s="18">
        <f>'Schedule_Data_Option_A'!B130</f>
        <v/>
      </c>
      <c r="C129" s="18">
        <f>'Schedule_Data_Option_A'!C130</f>
        <v/>
      </c>
      <c r="D129" s="21">
        <f>'Schedule_Data_Option_A'!D130</f>
        <v/>
      </c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8" t="n"/>
      <c r="N129" s="18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  <c r="Y129" s="18" t="n"/>
      <c r="Z129" s="18" t="n"/>
      <c r="AA129" s="18" t="n"/>
      <c r="AB129" s="18" t="n"/>
      <c r="AC129" s="18" t="n"/>
      <c r="AD129" s="18" t="n"/>
      <c r="AE129" s="18" t="n"/>
      <c r="AF129" s="18" t="n"/>
      <c r="AG129" s="18" t="n"/>
      <c r="AH129" s="18" t="n"/>
      <c r="AI129" s="18" t="n"/>
      <c r="AJ129" s="18" t="n"/>
      <c r="AK129" s="18" t="n"/>
      <c r="AL129" s="18" t="n"/>
      <c r="AM129" s="18" t="n"/>
      <c r="AN129" s="18" t="n"/>
      <c r="AO129" s="18" t="n"/>
      <c r="AP129" s="18" t="n"/>
      <c r="AQ129" s="18" t="n"/>
      <c r="AR129" s="21" t="n"/>
      <c r="AS129" s="18" t="n"/>
      <c r="AT129" s="18" t="n"/>
      <c r="AU129" s="18" t="n"/>
      <c r="AV129" s="18" t="n"/>
      <c r="AW129" s="18" t="n"/>
      <c r="AX129" s="18" t="n"/>
      <c r="AY129" s="18" t="n"/>
      <c r="AZ129" s="18" t="n"/>
      <c r="BA129" s="18" t="n"/>
      <c r="BB129" s="18" t="n"/>
      <c r="BC129" s="18" t="n"/>
      <c r="BD129" s="18" t="n"/>
      <c r="BE129" s="18" t="n"/>
      <c r="BF129" s="18" t="n"/>
      <c r="BG129" s="18" t="n"/>
      <c r="BH129" s="18" t="n"/>
      <c r="BI129" s="18" t="n"/>
      <c r="BJ129" s="18" t="n"/>
      <c r="BK129" s="18" t="n"/>
      <c r="BL129" s="18" t="n"/>
      <c r="BM129" s="18" t="n"/>
      <c r="BN129" s="18" t="n"/>
      <c r="BO129" s="18" t="n"/>
      <c r="BP129" s="18" t="n"/>
      <c r="BQ129" s="18" t="n"/>
      <c r="BR129" s="18" t="n"/>
      <c r="BS129" s="18" t="n"/>
      <c r="BT129" s="18" t="n"/>
      <c r="BU129" s="18" t="n"/>
      <c r="BV129" s="18" t="n"/>
      <c r="BW129" s="18" t="n"/>
      <c r="BX129" s="18" t="n"/>
      <c r="BY129" s="18" t="n"/>
      <c r="BZ129" s="18" t="n"/>
      <c r="CA129" s="18" t="n"/>
      <c r="CB129" s="18" t="n"/>
      <c r="CC129" s="18" t="n"/>
      <c r="CD129" s="18" t="n"/>
      <c r="CE129" s="18" t="n"/>
      <c r="CF129" s="18" t="n"/>
      <c r="CG129" s="18" t="n"/>
      <c r="CH129" s="18" t="n"/>
      <c r="CI129" s="18" t="n"/>
      <c r="CJ129" s="18" t="n"/>
      <c r="CK129" s="18" t="n"/>
      <c r="CL129" s="18" t="n"/>
      <c r="CM129" s="18" t="n"/>
      <c r="CN129" s="18" t="n"/>
      <c r="CO129" s="18" t="n"/>
      <c r="CP129" s="18" t="n"/>
      <c r="CQ129" s="18" t="n"/>
      <c r="CR129" s="18" t="n"/>
      <c r="CS129" s="18" t="n"/>
      <c r="CT129" s="18" t="n"/>
      <c r="CU129" s="18" t="n"/>
      <c r="CV129" s="18" t="n"/>
      <c r="CW129" s="18" t="n"/>
      <c r="CX129" s="18" t="n"/>
      <c r="CY129" s="18" t="n"/>
      <c r="CZ129" s="18" t="n"/>
      <c r="DA129" s="18" t="n"/>
      <c r="DB129" s="18" t="n"/>
      <c r="DC129" s="18" t="n"/>
      <c r="DD129" s="18" t="n"/>
      <c r="DE129" s="18" t="n"/>
      <c r="DF129" s="18" t="n"/>
      <c r="DG129" s="18" t="n"/>
      <c r="DH129" s="18" t="n"/>
      <c r="DI129" s="18" t="n"/>
      <c r="DJ129" s="18" t="n"/>
      <c r="DK129" s="18" t="n"/>
      <c r="DL129" s="18" t="n"/>
      <c r="DM129" s="18" t="n"/>
      <c r="DN129" s="18" t="n"/>
      <c r="DO129" s="18" t="n"/>
      <c r="DP129" s="18" t="n"/>
      <c r="DQ129" s="18" t="n"/>
      <c r="DR129" s="18" t="n"/>
      <c r="DS129" s="18" t="n"/>
      <c r="DT129" s="18" t="n"/>
    </row>
  </sheetData>
  <mergeCells count="3">
    <mergeCell ref="A2:DT2"/>
    <mergeCell ref="A1:DT1"/>
    <mergeCell ref="A3:D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29"/>
  <sheetViews>
    <sheetView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45" customWidth="1" min="4" max="4"/>
    <col width="14" customWidth="1" min="5" max="5"/>
    <col width="14" customWidth="1" min="6" max="6"/>
    <col width="12" customWidth="1" min="7" max="7"/>
    <col width="12" customWidth="1" min="8" max="8"/>
    <col width="10" customWidth="1" min="9" max="9"/>
    <col width="40" customWidth="1" min="10" max="10"/>
  </cols>
  <sheetData>
    <row r="1">
      <c r="A1" s="1" t="inlineStr">
        <is>
          <t>AGI TR Transportation - Option_B Schedule</t>
        </is>
      </c>
    </row>
    <row r="2">
      <c r="A2" s="15" t="inlineStr">
        <is>
          <t>Start = 2026-01-26 | Auto-Updates from Control_Panel</t>
        </is>
      </c>
    </row>
    <row r="3">
      <c r="A3" s="16" t="inlineStr">
        <is>
          <t>⚠️ Winter Shamal Risk Period: Jan 15-Apr 30, 2026 | Tide ≥1.90m + Weather Gate</t>
        </is>
      </c>
    </row>
    <row r="5">
      <c r="A5" s="17" t="inlineStr">
        <is>
          <t>Type A</t>
        </is>
      </c>
      <c r="B5" s="17" t="inlineStr">
        <is>
          <t>Type B</t>
        </is>
      </c>
      <c r="C5" s="17" t="inlineStr">
        <is>
          <t>Activity ID</t>
        </is>
      </c>
      <c r="D5" s="17" t="inlineStr">
        <is>
          <t>Activity Name</t>
        </is>
      </c>
      <c r="E5" s="17" t="inlineStr">
        <is>
          <t>Phase</t>
        </is>
      </c>
      <c r="F5" s="17" t="inlineStr">
        <is>
          <t>Owner</t>
        </is>
      </c>
      <c r="G5" s="17" t="inlineStr">
        <is>
          <t>Start</t>
        </is>
      </c>
      <c r="H5" s="17" t="inlineStr">
        <is>
          <t>End</t>
        </is>
      </c>
      <c r="I5" s="17" t="inlineStr">
        <is>
          <t>Duration</t>
        </is>
      </c>
      <c r="J5" s="17" t="inlineStr">
        <is>
          <t>Notes</t>
        </is>
      </c>
    </row>
    <row r="6">
      <c r="A6" s="18" t="inlineStr">
        <is>
          <t>MOBILIZATION</t>
        </is>
      </c>
      <c r="B6" s="18" t="inlineStr"/>
      <c r="C6" s="18" t="inlineStr"/>
      <c r="D6" s="18" t="inlineStr">
        <is>
          <t>MOBILIZATION</t>
        </is>
      </c>
      <c r="E6" s="19" t="inlineStr">
        <is>
          <t>MOBILIZATION</t>
        </is>
      </c>
      <c r="F6" s="18" t="inlineStr">
        <is>
          <t>All</t>
        </is>
      </c>
      <c r="G6" s="20">
        <f>PROJECT_START+0</f>
        <v/>
      </c>
      <c r="H6" s="20">
        <f>G6+I6</f>
        <v/>
      </c>
      <c r="I6" s="18" t="n">
        <v>0</v>
      </c>
      <c r="J6" s="18" t="inlineStr"/>
    </row>
    <row r="7">
      <c r="A7" s="18" t="inlineStr">
        <is>
          <t>MOBILIZATION</t>
        </is>
      </c>
      <c r="B7" s="18" t="inlineStr">
        <is>
          <t>SPMT</t>
        </is>
      </c>
      <c r="C7" s="18" t="inlineStr"/>
      <c r="D7" s="18" t="inlineStr">
        <is>
          <t>SPMT</t>
        </is>
      </c>
      <c r="E7" s="21" t="inlineStr">
        <is>
          <t>BUFFER</t>
        </is>
      </c>
      <c r="F7" s="18" t="inlineStr">
        <is>
          <t>All</t>
        </is>
      </c>
      <c r="G7" s="20">
        <f>PROJECT_START+0</f>
        <v/>
      </c>
      <c r="H7" s="20">
        <f>G7+I7</f>
        <v/>
      </c>
      <c r="I7" s="18" t="n">
        <v>0</v>
      </c>
      <c r="J7" s="18" t="inlineStr"/>
    </row>
    <row r="8">
      <c r="A8" s="18" t="inlineStr">
        <is>
          <t>MOBILIZATION</t>
        </is>
      </c>
      <c r="B8" s="18" t="inlineStr">
        <is>
          <t>SPMT</t>
        </is>
      </c>
      <c r="C8" s="18" t="inlineStr">
        <is>
          <t>A1000</t>
        </is>
      </c>
      <c r="D8" s="18" t="inlineStr">
        <is>
          <t>Mobilization of SPMTs; Asembly + Function Test</t>
        </is>
      </c>
      <c r="E8" s="19" t="inlineStr">
        <is>
          <t>MOBILIZATION</t>
        </is>
      </c>
      <c r="F8" s="18" t="inlineStr">
        <is>
          <t>All</t>
        </is>
      </c>
      <c r="G8" s="20">
        <f>PROJECT_START+0</f>
        <v/>
      </c>
      <c r="H8" s="20">
        <f>G8+I8</f>
        <v/>
      </c>
      <c r="I8" s="18">
        <f>DUR_MOB</f>
        <v/>
      </c>
      <c r="J8" s="18" t="inlineStr"/>
    </row>
    <row r="9">
      <c r="A9" s="18" t="inlineStr">
        <is>
          <t>MOBILIZATION</t>
        </is>
      </c>
      <c r="B9" s="18" t="inlineStr">
        <is>
          <t>MARINE</t>
        </is>
      </c>
      <c r="C9" s="18" t="inlineStr"/>
      <c r="D9" s="18" t="inlineStr">
        <is>
          <t>MARINE</t>
        </is>
      </c>
      <c r="E9" s="21" t="inlineStr">
        <is>
          <t>BUFFER</t>
        </is>
      </c>
      <c r="F9" s="18" t="inlineStr">
        <is>
          <t>All</t>
        </is>
      </c>
      <c r="G9" s="20">
        <f>PROJECT_START+0</f>
        <v/>
      </c>
      <c r="H9" s="20">
        <f>G9+I9</f>
        <v/>
      </c>
      <c r="I9" s="18" t="n">
        <v>0</v>
      </c>
      <c r="J9" s="18" t="inlineStr"/>
    </row>
    <row r="10">
      <c r="A10" s="18" t="inlineStr">
        <is>
          <t>MOBILIZATION</t>
        </is>
      </c>
      <c r="B10" s="18" t="inlineStr">
        <is>
          <t>MARINE</t>
        </is>
      </c>
      <c r="C10" s="18" t="inlineStr">
        <is>
          <t>A1001</t>
        </is>
      </c>
      <c r="D10" s="18" t="inlineStr">
        <is>
          <t>Mobilization of Marine Equipment and Steelworks</t>
        </is>
      </c>
      <c r="E10" s="19" t="inlineStr">
        <is>
          <t>MOBILIZATION</t>
        </is>
      </c>
      <c r="F10" s="18" t="inlineStr">
        <is>
          <t>All</t>
        </is>
      </c>
      <c r="G10" s="20">
        <f>PROJECT_START+0</f>
        <v/>
      </c>
      <c r="H10" s="20">
        <f>G10+I10</f>
        <v/>
      </c>
      <c r="I10" s="18">
        <f>DUR_BUF</f>
        <v/>
      </c>
      <c r="J10" s="18" t="inlineStr"/>
    </row>
    <row r="11">
      <c r="A11" s="18" t="inlineStr">
        <is>
          <t>MOBILIZATION</t>
        </is>
      </c>
      <c r="B11" s="18" t="inlineStr">
        <is>
          <t>JACKING</t>
        </is>
      </c>
      <c r="C11" s="18" t="inlineStr"/>
      <c r="D11" s="18" t="inlineStr">
        <is>
          <t>JACKING</t>
        </is>
      </c>
      <c r="E11" s="21" t="inlineStr">
        <is>
          <t>BUFFER</t>
        </is>
      </c>
      <c r="F11" s="18" t="inlineStr">
        <is>
          <t>All</t>
        </is>
      </c>
      <c r="G11" s="20">
        <f>PROJECT_START+3</f>
        <v/>
      </c>
      <c r="H11" s="20">
        <f>G11+I11</f>
        <v/>
      </c>
      <c r="I11" s="18" t="n">
        <v>0</v>
      </c>
      <c r="J11" s="18" t="inlineStr"/>
    </row>
    <row r="12">
      <c r="A12" s="18" t="inlineStr">
        <is>
          <t>MOBILIZATION</t>
        </is>
      </c>
      <c r="B12" s="18" t="inlineStr">
        <is>
          <t>JACKING</t>
        </is>
      </c>
      <c r="C12" s="18" t="inlineStr">
        <is>
          <t>A2070</t>
        </is>
      </c>
      <c r="D12" s="18" t="inlineStr">
        <is>
          <t>Mobilization of Jacking Equipment, steel bridge, welfare container</t>
        </is>
      </c>
      <c r="E12" s="19" t="inlineStr">
        <is>
          <t>MOBILIZATION</t>
        </is>
      </c>
      <c r="F12" s="18" t="inlineStr">
        <is>
          <t>All</t>
        </is>
      </c>
      <c r="G12" s="20">
        <f>PROJECT_START+3</f>
        <v/>
      </c>
      <c r="H12" s="20">
        <f>G12+I12</f>
        <v/>
      </c>
      <c r="I12" s="18">
        <f>DUR_MOB</f>
        <v/>
      </c>
      <c r="J12" s="18" t="inlineStr"/>
    </row>
    <row r="13">
      <c r="A13" s="18" t="inlineStr">
        <is>
          <t>DEMOBILIZATION</t>
        </is>
      </c>
      <c r="B13" s="18" t="inlineStr"/>
      <c r="C13" s="18" t="inlineStr"/>
      <c r="D13" s="18" t="inlineStr">
        <is>
          <t>DEMOBILIZATION</t>
        </is>
      </c>
      <c r="E13" s="19" t="inlineStr">
        <is>
          <t>MOBILIZATION</t>
        </is>
      </c>
      <c r="F13" s="18" t="inlineStr">
        <is>
          <t>All</t>
        </is>
      </c>
      <c r="G13" s="20">
        <f>PROJECT_START+63</f>
        <v/>
      </c>
      <c r="H13" s="20">
        <f>G13+I13</f>
        <v/>
      </c>
      <c r="I13" s="18" t="n">
        <v>0</v>
      </c>
      <c r="J13" s="18" t="inlineStr"/>
    </row>
    <row r="14">
      <c r="A14" s="18" t="inlineStr">
        <is>
          <t>DEMOBILIZATION</t>
        </is>
      </c>
      <c r="B14" s="18" t="inlineStr">
        <is>
          <t>SPMT</t>
        </is>
      </c>
      <c r="C14" s="18" t="inlineStr"/>
      <c r="D14" s="18" t="inlineStr">
        <is>
          <t>SPMT</t>
        </is>
      </c>
      <c r="E14" s="21" t="inlineStr">
        <is>
          <t>BUFFER</t>
        </is>
      </c>
      <c r="F14" s="18" t="inlineStr">
        <is>
          <t>All</t>
        </is>
      </c>
      <c r="G14" s="20">
        <f>PROJECT_START+63</f>
        <v/>
      </c>
      <c r="H14" s="20">
        <f>G14+I14</f>
        <v/>
      </c>
      <c r="I14" s="18" t="n">
        <v>0</v>
      </c>
      <c r="J14" s="18" t="inlineStr"/>
    </row>
    <row r="15">
      <c r="A15" s="18" t="inlineStr">
        <is>
          <t>DEMOBILIZATION</t>
        </is>
      </c>
      <c r="B15" s="18" t="inlineStr">
        <is>
          <t>SPMT</t>
        </is>
      </c>
      <c r="C15" s="18" t="inlineStr">
        <is>
          <t>A2080</t>
        </is>
      </c>
      <c r="D15" s="18" t="inlineStr">
        <is>
          <t>Demobilization of SPMT</t>
        </is>
      </c>
      <c r="E15" s="19" t="inlineStr">
        <is>
          <t>MOBILIZATION</t>
        </is>
      </c>
      <c r="F15" s="18" t="inlineStr">
        <is>
          <t>All</t>
        </is>
      </c>
      <c r="G15" s="20">
        <f>PROJECT_START+63</f>
        <v/>
      </c>
      <c r="H15" s="20">
        <f>G15+I15</f>
        <v/>
      </c>
      <c r="I15" s="18">
        <f>DUR_MOB</f>
        <v/>
      </c>
      <c r="J15" s="18" t="inlineStr"/>
    </row>
    <row r="16">
      <c r="A16" s="18" t="inlineStr">
        <is>
          <t>DEMOBILIZATION</t>
        </is>
      </c>
      <c r="B16" s="18" t="inlineStr">
        <is>
          <t>MARINE</t>
        </is>
      </c>
      <c r="C16" s="18" t="inlineStr"/>
      <c r="D16" s="18" t="inlineStr">
        <is>
          <t>MARINE</t>
        </is>
      </c>
      <c r="E16" s="21" t="inlineStr">
        <is>
          <t>BUFFER</t>
        </is>
      </c>
      <c r="F16" s="18" t="inlineStr">
        <is>
          <t>All</t>
        </is>
      </c>
      <c r="G16" s="20">
        <f>PROJECT_START+64</f>
        <v/>
      </c>
      <c r="H16" s="20">
        <f>G16+I16</f>
        <v/>
      </c>
      <c r="I16" s="18" t="n">
        <v>0</v>
      </c>
      <c r="J16" s="18" t="inlineStr"/>
    </row>
    <row r="17">
      <c r="A17" s="18" t="inlineStr">
        <is>
          <t>DEMOBILIZATION</t>
        </is>
      </c>
      <c r="B17" s="18" t="inlineStr">
        <is>
          <t>MARINE</t>
        </is>
      </c>
      <c r="C17" s="18" t="inlineStr">
        <is>
          <t>A2090</t>
        </is>
      </c>
      <c r="D17" s="18" t="inlineStr">
        <is>
          <t>Demobilization of Marine Equipment</t>
        </is>
      </c>
      <c r="E17" s="19" t="inlineStr">
        <is>
          <t>MOBILIZATION</t>
        </is>
      </c>
      <c r="F17" s="18" t="inlineStr">
        <is>
          <t>All</t>
        </is>
      </c>
      <c r="G17" s="20">
        <f>PROJECT_START+64</f>
        <v/>
      </c>
      <c r="H17" s="20">
        <f>G17+I17</f>
        <v/>
      </c>
      <c r="I17" s="18">
        <f>DUR_MOB</f>
        <v/>
      </c>
      <c r="J17" s="18" t="inlineStr"/>
    </row>
    <row r="18">
      <c r="A18" s="18" t="inlineStr">
        <is>
          <t>DEMOBILIZATION</t>
        </is>
      </c>
      <c r="B18" s="18" t="inlineStr">
        <is>
          <t>JACKING</t>
        </is>
      </c>
      <c r="C18" s="18" t="inlineStr"/>
      <c r="D18" s="18" t="inlineStr">
        <is>
          <t>JACKING</t>
        </is>
      </c>
      <c r="E18" s="21" t="inlineStr">
        <is>
          <t>BUFFER</t>
        </is>
      </c>
      <c r="F18" s="18" t="inlineStr">
        <is>
          <t>All</t>
        </is>
      </c>
      <c r="G18" s="20">
        <f>PROJECT_START+63</f>
        <v/>
      </c>
      <c r="H18" s="20">
        <f>G18+I18</f>
        <v/>
      </c>
      <c r="I18" s="18" t="n">
        <v>0</v>
      </c>
      <c r="J18" s="18" t="inlineStr"/>
    </row>
    <row r="19">
      <c r="A19" s="18" t="inlineStr">
        <is>
          <t>DEMOBILIZATION</t>
        </is>
      </c>
      <c r="B19" s="18" t="inlineStr">
        <is>
          <t>JACKING</t>
        </is>
      </c>
      <c r="C19" s="18" t="inlineStr">
        <is>
          <t>A2100</t>
        </is>
      </c>
      <c r="D19" s="18" t="inlineStr">
        <is>
          <t>Demobilization of Jacking Equipment, Steel bridge, Welfare Container</t>
        </is>
      </c>
      <c r="E19" s="19" t="inlineStr">
        <is>
          <t>MOBILIZATION</t>
        </is>
      </c>
      <c r="F19" s="18" t="inlineStr">
        <is>
          <t>All</t>
        </is>
      </c>
      <c r="G19" s="20">
        <f>PROJECT_START+63</f>
        <v/>
      </c>
      <c r="H19" s="20">
        <f>G19+I19</f>
        <v/>
      </c>
      <c r="I19" s="18">
        <f>DUR_MOB</f>
        <v/>
      </c>
      <c r="J19" s="18" t="inlineStr"/>
    </row>
    <row r="20">
      <c r="A20" s="18" t="inlineStr">
        <is>
          <t>OPERATIONAL</t>
        </is>
      </c>
      <c r="B20" s="18" t="inlineStr"/>
      <c r="C20" s="18" t="inlineStr"/>
      <c r="D20" s="18" t="inlineStr">
        <is>
          <t>OPERATIONAL</t>
        </is>
      </c>
      <c r="E20" s="21" t="inlineStr">
        <is>
          <t>BUFFER</t>
        </is>
      </c>
      <c r="F20" s="18" t="inlineStr">
        <is>
          <t>All</t>
        </is>
      </c>
      <c r="G20" s="20">
        <f>PROJECT_START+1</f>
        <v/>
      </c>
      <c r="H20" s="20">
        <f>G20+I20</f>
        <v/>
      </c>
      <c r="I20" s="18" t="n">
        <v>0</v>
      </c>
      <c r="J20" s="18" t="inlineStr"/>
    </row>
    <row r="21">
      <c r="A21" s="18" t="inlineStr">
        <is>
          <t>OPERATIONAL</t>
        </is>
      </c>
      <c r="B21" s="18" t="inlineStr">
        <is>
          <t>Beam Replacement</t>
        </is>
      </c>
      <c r="C21" s="18" t="inlineStr"/>
      <c r="D21" s="18" t="inlineStr">
        <is>
          <t>Beam Replacement</t>
        </is>
      </c>
      <c r="E21" s="21" t="inlineStr">
        <is>
          <t>BUFFER</t>
        </is>
      </c>
      <c r="F21" s="18" t="inlineStr">
        <is>
          <t>All</t>
        </is>
      </c>
      <c r="G21" s="20">
        <f>PROJECT_START+1</f>
        <v/>
      </c>
      <c r="H21" s="20">
        <f>G21+I21</f>
        <v/>
      </c>
      <c r="I21" s="18" t="n">
        <v>0</v>
      </c>
      <c r="J21" s="18" t="inlineStr"/>
    </row>
    <row r="22">
      <c r="A22" s="18" t="inlineStr">
        <is>
          <t>OPERATIONAL</t>
        </is>
      </c>
      <c r="B22" s="18" t="inlineStr">
        <is>
          <t>Beam Replacement</t>
        </is>
      </c>
      <c r="C22" s="18" t="inlineStr">
        <is>
          <t>A1002</t>
        </is>
      </c>
      <c r="D22" s="18" t="inlineStr">
        <is>
          <t>Beam Replacement AGI TR Unit 1 (TR Bay 4) - Two 5t forklifts required</t>
        </is>
      </c>
      <c r="E22" s="21" t="inlineStr">
        <is>
          <t>BUFFER</t>
        </is>
      </c>
      <c r="F22" s="18" t="inlineStr">
        <is>
          <t>All</t>
        </is>
      </c>
      <c r="G22" s="20">
        <f>PROJECT_START+1</f>
        <v/>
      </c>
      <c r="H22" s="20">
        <f>G22+I22</f>
        <v/>
      </c>
      <c r="I22" s="18">
        <f>DUR_BUF</f>
        <v/>
      </c>
      <c r="J22" s="18" t="inlineStr"/>
    </row>
    <row r="23">
      <c r="A23" s="18" t="inlineStr">
        <is>
          <t>OPERATIONAL</t>
        </is>
      </c>
      <c r="B23" s="18" t="inlineStr">
        <is>
          <t>Beam Replacement</t>
        </is>
      </c>
      <c r="C23" s="18" t="inlineStr">
        <is>
          <t>A1003</t>
        </is>
      </c>
      <c r="D23" s="18" t="inlineStr">
        <is>
          <t>Beam Replacement AGI TR Unit 2 (TR Bay 3) - Two 5t forklifts required</t>
        </is>
      </c>
      <c r="E23" s="21" t="inlineStr">
        <is>
          <t>BUFFER</t>
        </is>
      </c>
      <c r="F23" s="18" t="inlineStr">
        <is>
          <t>All</t>
        </is>
      </c>
      <c r="G23" s="20">
        <f>PROJECT_START+2</f>
        <v/>
      </c>
      <c r="H23" s="20">
        <f>G23+I23</f>
        <v/>
      </c>
      <c r="I23" s="18">
        <f>DUR_BUF</f>
        <v/>
      </c>
      <c r="J23" s="18" t="inlineStr"/>
    </row>
    <row r="24">
      <c r="A24" s="18" t="inlineStr">
        <is>
          <t>OPERATIONAL</t>
        </is>
      </c>
      <c r="B24" s="18" t="inlineStr">
        <is>
          <t>Deck Preparations</t>
        </is>
      </c>
      <c r="C24" s="18" t="inlineStr"/>
      <c r="D24" s="18" t="inlineStr">
        <is>
          <t>Deck Preparations</t>
        </is>
      </c>
      <c r="E24" s="22" t="inlineStr">
        <is>
          <t>DECK_PREP</t>
        </is>
      </c>
      <c r="F24" s="18" t="inlineStr">
        <is>
          <t>All</t>
        </is>
      </c>
      <c r="G24" s="20">
        <f>PROJECT_START+1</f>
        <v/>
      </c>
      <c r="H24" s="20">
        <f>G24+I24</f>
        <v/>
      </c>
      <c r="I24" s="18" t="n">
        <v>0</v>
      </c>
      <c r="J24" s="18" t="inlineStr"/>
    </row>
    <row r="25">
      <c r="A25" s="18" t="inlineStr">
        <is>
          <t>OPERATIONAL</t>
        </is>
      </c>
      <c r="B25" s="18" t="inlineStr">
        <is>
          <t>Deck Preparations</t>
        </is>
      </c>
      <c r="C25" s="18" t="inlineStr">
        <is>
          <t>A1004</t>
        </is>
      </c>
      <c r="D25" s="18" t="inlineStr">
        <is>
          <t>Deck Preparations (D-ring cutting; marking, steel sets installation) - One 5t forklift and Crane required</t>
        </is>
      </c>
      <c r="E25" s="22" t="inlineStr">
        <is>
          <t>DECK_PREP</t>
        </is>
      </c>
      <c r="F25" s="18" t="inlineStr">
        <is>
          <t>All</t>
        </is>
      </c>
      <c r="G25" s="20">
        <f>PROJECT_START+1</f>
        <v/>
      </c>
      <c r="H25" s="20">
        <f>G25+I25</f>
        <v/>
      </c>
      <c r="I25" s="18">
        <f>DUR_BUF</f>
        <v/>
      </c>
      <c r="J25" s="18" t="inlineStr"/>
    </row>
    <row r="26">
      <c r="A26" s="18" t="inlineStr">
        <is>
          <t>OPERATIONAL</t>
        </is>
      </c>
      <c r="B26" s="18" t="inlineStr">
        <is>
          <t>Deck Preparations</t>
        </is>
      </c>
      <c r="C26" s="18" t="inlineStr">
        <is>
          <t>A1005</t>
        </is>
      </c>
      <c r="D26" s="18" t="inlineStr">
        <is>
          <t>Deck Preparations (Steel sets installation, welding) - Crane Required for steel sets installation</t>
        </is>
      </c>
      <c r="E26" s="22" t="inlineStr">
        <is>
          <t>DECK_PREP</t>
        </is>
      </c>
      <c r="F26" s="18" t="inlineStr">
        <is>
          <t>All</t>
        </is>
      </c>
      <c r="G26" s="20">
        <f>PROJECT_START+2</f>
        <v/>
      </c>
      <c r="H26" s="20">
        <f>G26+I26</f>
        <v/>
      </c>
      <c r="I26" s="18">
        <f>DUR_BUF</f>
        <v/>
      </c>
      <c r="J26" s="18" t="inlineStr"/>
    </row>
    <row r="27">
      <c r="A27" s="18" t="inlineStr">
        <is>
          <t>OPERATIONAL</t>
        </is>
      </c>
      <c r="B27" s="18" t="inlineStr">
        <is>
          <t>AGI TR Units 1-2</t>
        </is>
      </c>
      <c r="C27" s="18" t="inlineStr"/>
      <c r="D27" s="18" t="inlineStr">
        <is>
          <t>AGI TR Units 1-2</t>
        </is>
      </c>
      <c r="E27" s="21" t="inlineStr">
        <is>
          <t>BUFFER</t>
        </is>
      </c>
      <c r="F27" s="18" t="inlineStr">
        <is>
          <t>All</t>
        </is>
      </c>
      <c r="G27" s="20">
        <f>PROJECT_START+3</f>
        <v/>
      </c>
      <c r="H27" s="20">
        <f>G27+I27</f>
        <v/>
      </c>
      <c r="I27" s="18" t="n">
        <v>0</v>
      </c>
      <c r="J27" s="18" t="inlineStr"/>
    </row>
    <row r="28">
      <c r="A28" s="18" t="inlineStr">
        <is>
          <t>OPERATIONAL</t>
        </is>
      </c>
      <c r="B28" s="18" t="inlineStr">
        <is>
          <t>AGI TR Units 1-2</t>
        </is>
      </c>
      <c r="C28" s="18" t="inlineStr">
        <is>
          <t>A1030</t>
        </is>
      </c>
      <c r="D28" s="18" t="inlineStr">
        <is>
          <t>Loading of AGI TR Unit 1 on SPMT; lashing; Shifting to Mina Zayed Port RoRo Jetty area</t>
        </is>
      </c>
      <c r="E28" s="21" t="inlineStr">
        <is>
          <t>BUFFER</t>
        </is>
      </c>
      <c r="F28" s="18" t="inlineStr">
        <is>
          <t>All</t>
        </is>
      </c>
      <c r="G28" s="20">
        <f>PROJECT_START+3</f>
        <v/>
      </c>
      <c r="H28" s="20">
        <f>G28+I28</f>
        <v/>
      </c>
      <c r="I28" s="18" t="n">
        <v>0.3</v>
      </c>
      <c r="J28" s="18" t="inlineStr"/>
    </row>
    <row r="29">
      <c r="A29" s="18" t="inlineStr">
        <is>
          <t>OPERATIONAL</t>
        </is>
      </c>
      <c r="B29" s="18" t="inlineStr">
        <is>
          <t>AGI TR Units 1-2</t>
        </is>
      </c>
      <c r="C29" s="18" t="inlineStr">
        <is>
          <t>A1040</t>
        </is>
      </c>
      <c r="D29" s="18" t="inlineStr">
        <is>
          <t>RoRo Ramp Installation - 5t Frokift and Crane required</t>
        </is>
      </c>
      <c r="E29" s="21" t="inlineStr">
        <is>
          <t>BUFFER</t>
        </is>
      </c>
      <c r="F29" s="18" t="inlineStr">
        <is>
          <t>All</t>
        </is>
      </c>
      <c r="G29" s="20">
        <f>PROJECT_START+3</f>
        <v/>
      </c>
      <c r="H29" s="20">
        <f>G29+I29</f>
        <v/>
      </c>
      <c r="I29" s="18" t="n">
        <v>0.3</v>
      </c>
      <c r="J29" s="18" t="inlineStr"/>
    </row>
    <row r="30">
      <c r="A30" s="18" t="inlineStr">
        <is>
          <t>OPERATIONAL</t>
        </is>
      </c>
      <c r="B30" s="18" t="inlineStr">
        <is>
          <t>AGI TR Units 1-2</t>
        </is>
      </c>
      <c r="C30" s="18" t="inlineStr">
        <is>
          <t>A1060</t>
        </is>
      </c>
      <c r="D30" s="18" t="inlineStr">
        <is>
          <t>Load-out of AGL TR Unit 1; stool down</t>
        </is>
      </c>
      <c r="E30" s="23" t="inlineStr">
        <is>
          <t>LOADOUT</t>
        </is>
      </c>
      <c r="F30" s="18" t="inlineStr">
        <is>
          <t>All</t>
        </is>
      </c>
      <c r="G30" s="20">
        <f>PROJECT_START+3</f>
        <v/>
      </c>
      <c r="H30" s="20">
        <f>G30+I30</f>
        <v/>
      </c>
      <c r="I30" s="18" t="n">
        <v>0.2</v>
      </c>
      <c r="J30" s="18" t="inlineStr"/>
    </row>
    <row r="31">
      <c r="A31" s="18" t="inlineStr">
        <is>
          <t>OPERATIONAL</t>
        </is>
      </c>
      <c r="B31" s="18" t="inlineStr">
        <is>
          <t>AGI TR Units 1-2</t>
        </is>
      </c>
      <c r="C31" s="18" t="inlineStr">
        <is>
          <t>A1070</t>
        </is>
      </c>
      <c r="D31" s="18" t="inlineStr">
        <is>
          <t>RoRo ramp removal; Seafastening AGL TR Unit 1 - Crane required</t>
        </is>
      </c>
      <c r="E31" s="24" t="inlineStr">
        <is>
          <t>SEAFAST</t>
        </is>
      </c>
      <c r="F31" s="18" t="inlineStr">
        <is>
          <t>All</t>
        </is>
      </c>
      <c r="G31" s="20">
        <f>PROJECT_START+3</f>
        <v/>
      </c>
      <c r="H31" s="20">
        <f>G31+I31</f>
        <v/>
      </c>
      <c r="I31" s="18">
        <f>DUR_BUF</f>
        <v/>
      </c>
      <c r="J31" s="18" t="inlineStr"/>
    </row>
    <row r="32">
      <c r="A32" s="18" t="inlineStr">
        <is>
          <t>OPERATIONAL</t>
        </is>
      </c>
      <c r="B32" s="18" t="inlineStr">
        <is>
          <t>AGI TR Units 1-2</t>
        </is>
      </c>
      <c r="C32" s="18" t="inlineStr">
        <is>
          <t>A1071</t>
        </is>
      </c>
      <c r="D32" s="18" t="inlineStr">
        <is>
          <t>Loading of AGI TR Unit 2 on SPMT; lashing</t>
        </is>
      </c>
      <c r="E32" s="21" t="inlineStr">
        <is>
          <t>BUFFER</t>
        </is>
      </c>
      <c r="F32" s="18" t="inlineStr">
        <is>
          <t>All</t>
        </is>
      </c>
      <c r="G32" s="20">
        <f>PROJECT_START+3</f>
        <v/>
      </c>
      <c r="H32" s="20">
        <f>G32+I32</f>
        <v/>
      </c>
      <c r="I32" s="18">
        <f>DUR_BUF</f>
        <v/>
      </c>
      <c r="J32" s="18" t="inlineStr"/>
    </row>
    <row r="33">
      <c r="A33" s="18" t="inlineStr">
        <is>
          <t>OPERATIONAL</t>
        </is>
      </c>
      <c r="B33" s="18" t="inlineStr">
        <is>
          <t>AGI TR Units 1-2</t>
        </is>
      </c>
      <c r="C33" s="18" t="inlineStr">
        <is>
          <t>A1072</t>
        </is>
      </c>
      <c r="D33" s="18" t="inlineStr">
        <is>
          <t>Shifting of AGL TR Unit 2 to Jetty area</t>
        </is>
      </c>
      <c r="E33" s="21" t="inlineStr">
        <is>
          <t>BUFFER</t>
        </is>
      </c>
      <c r="F33" s="18" t="inlineStr">
        <is>
          <t>All</t>
        </is>
      </c>
      <c r="G33" s="20">
        <f>PROJECT_START+4</f>
        <v/>
      </c>
      <c r="H33" s="20">
        <f>G33+I33</f>
        <v/>
      </c>
      <c r="I33" s="18" t="n">
        <v>0.05</v>
      </c>
      <c r="J33" s="18" t="inlineStr"/>
    </row>
    <row r="34">
      <c r="A34" s="18" t="inlineStr">
        <is>
          <t>OPERATIONAL</t>
        </is>
      </c>
      <c r="B34" s="18" t="inlineStr">
        <is>
          <t>AGI TR Units 1-2</t>
        </is>
      </c>
      <c r="C34" s="18" t="inlineStr">
        <is>
          <t>A1073</t>
        </is>
      </c>
      <c r="D34" s="18" t="inlineStr">
        <is>
          <t>RoRo Ramp Installation - Crane required</t>
        </is>
      </c>
      <c r="E34" s="21" t="inlineStr">
        <is>
          <t>BUFFER</t>
        </is>
      </c>
      <c r="F34" s="18" t="inlineStr">
        <is>
          <t>All</t>
        </is>
      </c>
      <c r="G34" s="20">
        <f>PROJECT_START+4</f>
        <v/>
      </c>
      <c r="H34" s="20">
        <f>G34+I34</f>
        <v/>
      </c>
      <c r="I34" s="18" t="n">
        <v>0.3</v>
      </c>
      <c r="J34" s="18" t="inlineStr"/>
    </row>
    <row r="35">
      <c r="A35" s="18" t="inlineStr">
        <is>
          <t>OPERATIONAL</t>
        </is>
      </c>
      <c r="B35" s="18" t="inlineStr">
        <is>
          <t>AGI TR Units 1-2</t>
        </is>
      </c>
      <c r="C35" s="18" t="inlineStr">
        <is>
          <t>A1074</t>
        </is>
      </c>
      <c r="D35" s="18" t="inlineStr">
        <is>
          <t>Load-out of AGI TR Unit 2; stoold down; securing of SPMT</t>
        </is>
      </c>
      <c r="E35" s="23" t="inlineStr">
        <is>
          <t>LOADOUT</t>
        </is>
      </c>
      <c r="F35" s="18" t="inlineStr">
        <is>
          <t>All</t>
        </is>
      </c>
      <c r="G35" s="20">
        <f>PROJECT_START+4</f>
        <v/>
      </c>
      <c r="H35" s="20">
        <f>G35+I35</f>
        <v/>
      </c>
      <c r="I35" s="18" t="n">
        <v>0.3</v>
      </c>
      <c r="J35" s="18" t="inlineStr"/>
    </row>
    <row r="36">
      <c r="A36" s="18" t="inlineStr">
        <is>
          <t>OPERATIONAL</t>
        </is>
      </c>
      <c r="B36" s="18" t="inlineStr">
        <is>
          <t>AGI TR Units 1-2</t>
        </is>
      </c>
      <c r="C36" s="18" t="inlineStr">
        <is>
          <t>A1075</t>
        </is>
      </c>
      <c r="D36" s="18" t="inlineStr">
        <is>
          <t>Removal of RoRo Ramp; Sea fastening AGI TR Unit 2 - Crane required</t>
        </is>
      </c>
      <c r="E36" s="24" t="inlineStr">
        <is>
          <t>SEAFAST</t>
        </is>
      </c>
      <c r="F36" s="18" t="inlineStr">
        <is>
          <t>All</t>
        </is>
      </c>
      <c r="G36" s="20">
        <f>PROJECT_START+4</f>
        <v/>
      </c>
      <c r="H36" s="20">
        <f>G36+I36</f>
        <v/>
      </c>
      <c r="I36" s="18">
        <f>DUR_BUF</f>
        <v/>
      </c>
      <c r="J36" s="18" t="inlineStr"/>
    </row>
    <row r="37">
      <c r="A37" s="18" t="inlineStr">
        <is>
          <t>OPERATIONAL</t>
        </is>
      </c>
      <c r="B37" s="18" t="inlineStr">
        <is>
          <t>AGI TR Units 1-2</t>
        </is>
      </c>
      <c r="C37" s="18" t="inlineStr">
        <is>
          <t>A1081</t>
        </is>
      </c>
      <c r="D37" s="18" t="inlineStr">
        <is>
          <t>MWS + MPI + Final Preparations + Sail-away - Marine Transportation by LCT to Al Ghallan Island</t>
        </is>
      </c>
      <c r="E37" s="25" t="inlineStr">
        <is>
          <t>SAIL</t>
        </is>
      </c>
      <c r="F37" s="18" t="inlineStr">
        <is>
          <t>All</t>
        </is>
      </c>
      <c r="G37" s="20">
        <f>PROJECT_START+5</f>
        <v/>
      </c>
      <c r="H37" s="20">
        <f>G37+I37</f>
        <v/>
      </c>
      <c r="I37" s="18">
        <f>DUR_SAIL</f>
        <v/>
      </c>
      <c r="J37" s="18" t="inlineStr"/>
    </row>
    <row r="38">
      <c r="A38" s="18" t="inlineStr">
        <is>
          <t>OPERATIONAL</t>
        </is>
      </c>
      <c r="B38" s="18" t="inlineStr">
        <is>
          <t>AGI TR Units 1-2</t>
        </is>
      </c>
      <c r="C38" s="18" t="inlineStr">
        <is>
          <t>A1090</t>
        </is>
      </c>
      <c r="D38" s="18" t="inlineStr">
        <is>
          <t>MMT Crew Mob to AGI; Site Induction; Meeting with Client</t>
        </is>
      </c>
      <c r="E38" s="21" t="inlineStr">
        <is>
          <t>BUFFER</t>
        </is>
      </c>
      <c r="F38" s="18" t="inlineStr">
        <is>
          <t>All</t>
        </is>
      </c>
      <c r="G38" s="20">
        <f>PROJECT_START+5</f>
        <v/>
      </c>
      <c r="H38" s="20">
        <f>G38+I38</f>
        <v/>
      </c>
      <c r="I38" s="18">
        <f>DUR_BUF</f>
        <v/>
      </c>
      <c r="J38" s="18" t="inlineStr"/>
    </row>
    <row r="39">
      <c r="A39" s="18" t="inlineStr">
        <is>
          <t>OPERATIONAL</t>
        </is>
      </c>
      <c r="B39" s="18" t="inlineStr">
        <is>
          <t>AGI TR Units 1-2</t>
        </is>
      </c>
      <c r="C39" s="18" t="inlineStr">
        <is>
          <t>A1091</t>
        </is>
      </c>
      <c r="D39" s="18" t="inlineStr">
        <is>
          <t>LCT Arrival; Berthing at AGL RoRo Jetty</t>
        </is>
      </c>
      <c r="E39" s="26" t="inlineStr">
        <is>
          <t>AGI_UNLOAD</t>
        </is>
      </c>
      <c r="F39" s="18" t="inlineStr">
        <is>
          <t>All</t>
        </is>
      </c>
      <c r="G39" s="20">
        <f>PROJECT_START+6</f>
        <v/>
      </c>
      <c r="H39" s="20">
        <f>G39+I39</f>
        <v/>
      </c>
      <c r="I39" s="18">
        <f>DUR_BUF</f>
        <v/>
      </c>
      <c r="J39" s="18" t="inlineStr"/>
    </row>
    <row r="40">
      <c r="A40" s="18" t="inlineStr">
        <is>
          <t>OPERATIONAL</t>
        </is>
      </c>
      <c r="B40" s="18" t="inlineStr">
        <is>
          <t>AGI TR Units 1-2</t>
        </is>
      </c>
      <c r="C40" s="18" t="inlineStr">
        <is>
          <t>A1100</t>
        </is>
      </c>
      <c r="D40" s="18" t="inlineStr">
        <is>
          <t>Unlashing and cutting; steel sets preparations - Forklift required</t>
        </is>
      </c>
      <c r="E40" s="21" t="inlineStr">
        <is>
          <t>BUFFER</t>
        </is>
      </c>
      <c r="F40" s="18" t="inlineStr">
        <is>
          <t>All</t>
        </is>
      </c>
      <c r="G40" s="20">
        <f>PROJECT_START+6</f>
        <v/>
      </c>
      <c r="H40" s="20">
        <f>G40+I40</f>
        <v/>
      </c>
      <c r="I40" s="18">
        <f>DUR_BUF</f>
        <v/>
      </c>
      <c r="J40" s="18" t="inlineStr"/>
    </row>
    <row r="41">
      <c r="A41" s="18" t="inlineStr">
        <is>
          <t>OPERATIONAL</t>
        </is>
      </c>
      <c r="B41" s="18" t="inlineStr">
        <is>
          <t>AGI TR Units 1-2</t>
        </is>
      </c>
      <c r="C41" s="18" t="inlineStr">
        <is>
          <t>A1110</t>
        </is>
      </c>
      <c r="D41" s="18" t="inlineStr">
        <is>
          <t>Load-in of AGI TR Unit 2 (including RoRo Ramp Installation); store on Jetty - Crane required</t>
        </is>
      </c>
      <c r="E41" s="23" t="inlineStr">
        <is>
          <t>LOADOUT</t>
        </is>
      </c>
      <c r="F41" s="18" t="inlineStr">
        <is>
          <t>All</t>
        </is>
      </c>
      <c r="G41" s="20">
        <f>PROJECT_START+7</f>
        <v/>
      </c>
      <c r="H41" s="20">
        <f>G41+I41</f>
        <v/>
      </c>
      <c r="I41" s="18">
        <f>DUR_UL</f>
        <v/>
      </c>
      <c r="J41" s="18" t="inlineStr"/>
    </row>
    <row r="42">
      <c r="A42" s="18" t="inlineStr">
        <is>
          <t>OPERATIONAL</t>
        </is>
      </c>
      <c r="B42" s="18" t="inlineStr">
        <is>
          <t>AGI TR Units 1-2</t>
        </is>
      </c>
      <c r="C42" s="18" t="inlineStr">
        <is>
          <t>A1120</t>
        </is>
      </c>
      <c r="D42" s="18" t="inlineStr">
        <is>
          <t>Load-in of AGI TR Unit 1 (including RoRo Ramp Installation); store on Jetty - Crane required</t>
        </is>
      </c>
      <c r="E42" s="23" t="inlineStr">
        <is>
          <t>LOADOUT</t>
        </is>
      </c>
      <c r="F42" s="18" t="inlineStr">
        <is>
          <t>All</t>
        </is>
      </c>
      <c r="G42" s="20">
        <f>PROJECT_START+8</f>
        <v/>
      </c>
      <c r="H42" s="20">
        <f>G42+I42</f>
        <v/>
      </c>
      <c r="I42" s="18">
        <f>DUR_UL</f>
        <v/>
      </c>
      <c r="J42" s="18" t="inlineStr"/>
    </row>
    <row r="43">
      <c r="A43" s="18" t="inlineStr">
        <is>
          <t>OPERATIONAL</t>
        </is>
      </c>
      <c r="B43" s="18" t="inlineStr">
        <is>
          <t>AGI TR Units 1-2</t>
        </is>
      </c>
      <c r="C43" s="18" t="inlineStr">
        <is>
          <t>A1121</t>
        </is>
      </c>
      <c r="D43" s="18" t="inlineStr">
        <is>
          <t>Steel bridge Installation 1 - Crane required</t>
        </is>
      </c>
      <c r="E43" s="21" t="inlineStr">
        <is>
          <t>BUFFER</t>
        </is>
      </c>
      <c r="F43" s="18" t="inlineStr">
        <is>
          <t>All</t>
        </is>
      </c>
      <c r="G43" s="20">
        <f>PROJECT_START+9</f>
        <v/>
      </c>
      <c r="H43" s="20">
        <f>G43+I43</f>
        <v/>
      </c>
      <c r="I43" s="18" t="n">
        <v>0.3</v>
      </c>
      <c r="J43" s="18" t="inlineStr"/>
    </row>
    <row r="44">
      <c r="A44" s="18" t="inlineStr">
        <is>
          <t>OPERATIONAL</t>
        </is>
      </c>
      <c r="B44" s="18" t="inlineStr">
        <is>
          <t>AGI TR Units 1-2</t>
        </is>
      </c>
      <c r="C44" s="18" t="inlineStr">
        <is>
          <t>A1140</t>
        </is>
      </c>
      <c r="D44" s="18" t="inlineStr">
        <is>
          <t>AGL TR Unit 1 (TR Bay 4) load on SPMT; lashing; Transportation and JD (steel set to be delivered to bay area by trailer)</t>
        </is>
      </c>
      <c r="E44" s="21" t="inlineStr">
        <is>
          <t>BUFFER</t>
        </is>
      </c>
      <c r="F44" s="18" t="inlineStr">
        <is>
          <t>All</t>
        </is>
      </c>
      <c r="G44" s="20">
        <f>PROJECT_START+9</f>
        <v/>
      </c>
      <c r="H44" s="20">
        <f>G44+I44</f>
        <v/>
      </c>
      <c r="I44" s="18" t="n">
        <v>0.7</v>
      </c>
      <c r="J44" s="18" t="inlineStr"/>
    </row>
    <row r="45">
      <c r="A45" s="18" t="inlineStr">
        <is>
          <t>OPERATIONAL</t>
        </is>
      </c>
      <c r="B45" s="18" t="inlineStr">
        <is>
          <t>AGI TR Units 1-2</t>
        </is>
      </c>
      <c r="C45" s="18" t="inlineStr">
        <is>
          <t>A1141</t>
        </is>
      </c>
      <c r="D45" s="18" t="inlineStr">
        <is>
          <t>Turning of AGI TR Unit 1 (TR Bay 4) - 10t Forklift required</t>
        </is>
      </c>
      <c r="E45" s="27" t="inlineStr">
        <is>
          <t>TURNING</t>
        </is>
      </c>
      <c r="F45" s="18" t="inlineStr">
        <is>
          <t>All</t>
        </is>
      </c>
      <c r="G45" s="20">
        <f>PROJECT_START+10</f>
        <v/>
      </c>
      <c r="H45" s="20">
        <f>G45+I45</f>
        <v/>
      </c>
      <c r="I45" s="18">
        <f>DUR_TURN</f>
        <v/>
      </c>
      <c r="J45" s="18" t="inlineStr"/>
    </row>
    <row r="46">
      <c r="A46" s="28" t="inlineStr">
        <is>
          <t>OPERATIONAL</t>
        </is>
      </c>
      <c r="B46" s="28" t="inlineStr">
        <is>
          <t>AGI TR Units 1-2</t>
        </is>
      </c>
      <c r="C46" s="28" t="inlineStr">
        <is>
          <t>A1150</t>
        </is>
      </c>
      <c r="D46" s="28" t="inlineStr">
        <is>
          <t>Jacking down of AGI TR Unit 1 (TR Bay 4) on temporary support - Forklift required</t>
        </is>
      </c>
      <c r="E46" s="29" t="inlineStr">
        <is>
          <t>JACKDOWN</t>
        </is>
      </c>
      <c r="F46" s="28" t="inlineStr">
        <is>
          <t>All</t>
        </is>
      </c>
      <c r="G46" s="30">
        <f>PROJECT_START+13</f>
        <v/>
      </c>
      <c r="H46" s="30">
        <f>G46+I46</f>
        <v/>
      </c>
      <c r="I46" s="28">
        <f>DUR_JD</f>
        <v/>
      </c>
      <c r="J46" s="28" t="inlineStr"/>
    </row>
    <row r="47">
      <c r="A47" s="18" t="inlineStr">
        <is>
          <t>OPERATIONAL</t>
        </is>
      </c>
      <c r="B47" s="18" t="inlineStr">
        <is>
          <t>AGI TR Units 1-2</t>
        </is>
      </c>
      <c r="C47" s="18" t="inlineStr">
        <is>
          <t>A1160</t>
        </is>
      </c>
      <c r="D47" s="18" t="inlineStr">
        <is>
          <t>Steel bridge Installation 2 - Crane required</t>
        </is>
      </c>
      <c r="E47" s="21" t="inlineStr">
        <is>
          <t>BUFFER</t>
        </is>
      </c>
      <c r="F47" s="18" t="inlineStr">
        <is>
          <t>All</t>
        </is>
      </c>
      <c r="G47" s="20">
        <f>PROJECT_START+13</f>
        <v/>
      </c>
      <c r="H47" s="20">
        <f>G47+I47</f>
        <v/>
      </c>
      <c r="I47" s="18" t="n">
        <v>0.3</v>
      </c>
      <c r="J47" s="18" t="inlineStr"/>
    </row>
    <row r="48">
      <c r="A48" s="18" t="inlineStr">
        <is>
          <t>OPERATIONAL</t>
        </is>
      </c>
      <c r="B48" s="18" t="inlineStr">
        <is>
          <t>AGI TR Units 1-2</t>
        </is>
      </c>
      <c r="C48" s="18" t="inlineStr">
        <is>
          <t>A1170</t>
        </is>
      </c>
      <c r="D48" s="18" t="inlineStr">
        <is>
          <t>AGL TR Unit 2 (TR Bay 3) load on SPMT; lashing; Transportation and JD (steel set to be delivered to bay area by trailer)</t>
        </is>
      </c>
      <c r="E48" s="21" t="inlineStr">
        <is>
          <t>BUFFER</t>
        </is>
      </c>
      <c r="F48" s="18" t="inlineStr">
        <is>
          <t>All</t>
        </is>
      </c>
      <c r="G48" s="20">
        <f>PROJECT_START+13</f>
        <v/>
      </c>
      <c r="H48" s="20">
        <f>G48+I48</f>
        <v/>
      </c>
      <c r="I48" s="18" t="n">
        <v>0.7</v>
      </c>
      <c r="J48" s="18" t="inlineStr"/>
    </row>
    <row r="49">
      <c r="A49" s="18" t="inlineStr">
        <is>
          <t>OPERATIONAL</t>
        </is>
      </c>
      <c r="B49" s="18" t="inlineStr">
        <is>
          <t>AGI TR Units 1-2</t>
        </is>
      </c>
      <c r="C49" s="18" t="inlineStr">
        <is>
          <t>A1180</t>
        </is>
      </c>
      <c r="D49" s="18" t="inlineStr">
        <is>
          <t>Turning of AGI TR Unit 2 (TR Bay 3) - 10t Forklift required</t>
        </is>
      </c>
      <c r="E49" s="27" t="inlineStr">
        <is>
          <t>TURNING</t>
        </is>
      </c>
      <c r="F49" s="18" t="inlineStr">
        <is>
          <t>All</t>
        </is>
      </c>
      <c r="G49" s="20">
        <f>PROJECT_START+14</f>
        <v/>
      </c>
      <c r="H49" s="20">
        <f>G49+I49</f>
        <v/>
      </c>
      <c r="I49" s="18">
        <f>DUR_TURN</f>
        <v/>
      </c>
      <c r="J49" s="18" t="inlineStr"/>
    </row>
    <row r="50">
      <c r="A50" s="28" t="inlineStr">
        <is>
          <t>OPERATIONAL</t>
        </is>
      </c>
      <c r="B50" s="28" t="inlineStr">
        <is>
          <t>AGI TR Units 1-2</t>
        </is>
      </c>
      <c r="C50" s="28" t="inlineStr">
        <is>
          <t>A1190</t>
        </is>
      </c>
      <c r="D50" s="28" t="inlineStr">
        <is>
          <t>Jacking down of AGI TR Unit 2 (TR Bay 3) on temporary support - Forklift and Crane required</t>
        </is>
      </c>
      <c r="E50" s="29" t="inlineStr">
        <is>
          <t>JACKDOWN</t>
        </is>
      </c>
      <c r="F50" s="28" t="inlineStr">
        <is>
          <t>All</t>
        </is>
      </c>
      <c r="G50" s="30">
        <f>PROJECT_START+17</f>
        <v/>
      </c>
      <c r="H50" s="30">
        <f>G50+I50</f>
        <v/>
      </c>
      <c r="I50" s="28">
        <f>DUR_JD</f>
        <v/>
      </c>
      <c r="J50" s="28" t="inlineStr"/>
    </row>
    <row r="51">
      <c r="A51" s="18" t="inlineStr">
        <is>
          <t>OPERATIONAL</t>
        </is>
      </c>
      <c r="B51" s="18" t="inlineStr">
        <is>
          <t>AGI TR Units 1-2</t>
        </is>
      </c>
      <c r="C51" s="18" t="inlineStr">
        <is>
          <t>A1200</t>
        </is>
      </c>
      <c r="D51" s="18" t="inlineStr">
        <is>
          <t>SPMT shiifting from TR Bay Area to Jetty; Loading on LCT (if tide allows)</t>
        </is>
      </c>
      <c r="E51" s="21" t="inlineStr">
        <is>
          <t>BUFFER</t>
        </is>
      </c>
      <c r="F51" s="18" t="inlineStr">
        <is>
          <t>All</t>
        </is>
      </c>
      <c r="G51" s="20">
        <f>PROJECT_START+16</f>
        <v/>
      </c>
      <c r="H51" s="20">
        <f>G51+I51</f>
        <v/>
      </c>
      <c r="I51" s="18">
        <f>DUR_BUF</f>
        <v/>
      </c>
      <c r="J51" s="18" t="inlineStr"/>
    </row>
    <row r="52">
      <c r="A52" s="18" t="inlineStr">
        <is>
          <t>OPERATIONAL</t>
        </is>
      </c>
      <c r="B52" s="18" t="inlineStr">
        <is>
          <t>AGI TR Units 1-2</t>
        </is>
      </c>
      <c r="C52" s="18" t="inlineStr">
        <is>
          <t>A1210</t>
        </is>
      </c>
      <c r="D52" s="18" t="inlineStr">
        <is>
          <t>LCT Sail-away back to Mina Zayed Port; MMT SPMT Crew Demobilization</t>
        </is>
      </c>
      <c r="E52" s="19" t="inlineStr">
        <is>
          <t>MOBILIZATION</t>
        </is>
      </c>
      <c r="F52" s="18" t="inlineStr">
        <is>
          <t>All</t>
        </is>
      </c>
      <c r="G52" s="20">
        <f>PROJECT_START+17</f>
        <v/>
      </c>
      <c r="H52" s="20">
        <f>G52+I52</f>
        <v/>
      </c>
      <c r="I52" s="18">
        <f>DUR_MOB</f>
        <v/>
      </c>
      <c r="J52" s="18" t="inlineStr"/>
    </row>
    <row r="53">
      <c r="A53" s="18" t="inlineStr">
        <is>
          <t>OPERATIONAL</t>
        </is>
      </c>
      <c r="B53" s="18" t="inlineStr">
        <is>
          <t>AGI TR Units 1-2</t>
        </is>
      </c>
      <c r="C53" s="18" t="inlineStr">
        <is>
          <t>A1220</t>
        </is>
      </c>
      <c r="D53" s="18" t="inlineStr">
        <is>
          <t>MMT Jacking Crew Demobilization</t>
        </is>
      </c>
      <c r="E53" s="19" t="inlineStr">
        <is>
          <t>MOBILIZATION</t>
        </is>
      </c>
      <c r="F53" s="18" t="inlineStr">
        <is>
          <t>All</t>
        </is>
      </c>
      <c r="G53" s="20">
        <f>PROJECT_START+18</f>
        <v/>
      </c>
      <c r="H53" s="20">
        <f>G53+I53</f>
        <v/>
      </c>
      <c r="I53" s="18">
        <f>DUR_MOB</f>
        <v/>
      </c>
      <c r="J53" s="18" t="inlineStr"/>
    </row>
    <row r="54">
      <c r="A54" s="18" t="inlineStr">
        <is>
          <t>OPERATIONAL</t>
        </is>
      </c>
      <c r="B54" s="18" t="inlineStr">
        <is>
          <t>AGI TR Units 3-4</t>
        </is>
      </c>
      <c r="C54" s="18" t="inlineStr"/>
      <c r="D54" s="18" t="inlineStr">
        <is>
          <t>AGI TR Units 3-4</t>
        </is>
      </c>
      <c r="E54" s="21" t="inlineStr">
        <is>
          <t>BUFFER</t>
        </is>
      </c>
      <c r="F54" s="18" t="inlineStr">
        <is>
          <t>All</t>
        </is>
      </c>
      <c r="G54" s="20">
        <f>PROJECT_START+18</f>
        <v/>
      </c>
      <c r="H54" s="20">
        <f>G54+I54</f>
        <v/>
      </c>
      <c r="I54" s="18" t="n">
        <v>0</v>
      </c>
      <c r="J54" s="18" t="inlineStr"/>
    </row>
    <row r="55">
      <c r="A55" s="18" t="inlineStr">
        <is>
          <t>OPERATIONAL</t>
        </is>
      </c>
      <c r="B55" s="18" t="inlineStr">
        <is>
          <t>AGI TR Units 3-4</t>
        </is>
      </c>
      <c r="C55" s="18" t="inlineStr">
        <is>
          <t>A1228</t>
        </is>
      </c>
      <c r="D55" s="18" t="inlineStr">
        <is>
          <t>LCT Arrives to MZP; Deck Preparations</t>
        </is>
      </c>
      <c r="E55" s="22" t="inlineStr">
        <is>
          <t>DECK_PREP</t>
        </is>
      </c>
      <c r="F55" s="18" t="inlineStr">
        <is>
          <t>All</t>
        </is>
      </c>
      <c r="G55" s="20">
        <f>PROJECT_START+18</f>
        <v/>
      </c>
      <c r="H55" s="20">
        <f>G55+I55</f>
        <v/>
      </c>
      <c r="I55" s="18">
        <f>DUR_UL</f>
        <v/>
      </c>
      <c r="J55" s="18" t="inlineStr"/>
    </row>
    <row r="56">
      <c r="A56" s="18" t="inlineStr">
        <is>
          <t>OPERATIONAL</t>
        </is>
      </c>
      <c r="B56" s="18" t="inlineStr">
        <is>
          <t>AGI TR Units 3-4</t>
        </is>
      </c>
      <c r="C56" s="18" t="inlineStr">
        <is>
          <t>A1229</t>
        </is>
      </c>
      <c r="D56" s="18" t="inlineStr">
        <is>
          <t>Beam Replacement for TR Unit 3</t>
        </is>
      </c>
      <c r="E56" s="21" t="inlineStr">
        <is>
          <t>BUFFER</t>
        </is>
      </c>
      <c r="F56" s="18" t="inlineStr">
        <is>
          <t>All</t>
        </is>
      </c>
      <c r="G56" s="20">
        <f>PROJECT_START+18</f>
        <v/>
      </c>
      <c r="H56" s="20">
        <f>G56+I56</f>
        <v/>
      </c>
      <c r="I56" s="18">
        <f>DUR_BUF</f>
        <v/>
      </c>
      <c r="J56" s="18" t="inlineStr"/>
    </row>
    <row r="57">
      <c r="A57" s="18" t="inlineStr">
        <is>
          <t>OPERATIONAL</t>
        </is>
      </c>
      <c r="B57" s="18" t="inlineStr">
        <is>
          <t>AGI TR Units 3-4</t>
        </is>
      </c>
      <c r="C57" s="18" t="inlineStr">
        <is>
          <t>A1239</t>
        </is>
      </c>
      <c r="D57" s="18" t="inlineStr">
        <is>
          <t>Loading of AGI TR Unit 3 on SPMT; lashing; Shifting to Mina Zayed Port RoRo Jetty area</t>
        </is>
      </c>
      <c r="E57" s="21" t="inlineStr">
        <is>
          <t>BUFFER</t>
        </is>
      </c>
      <c r="F57" s="18" t="inlineStr">
        <is>
          <t>All</t>
        </is>
      </c>
      <c r="G57" s="20">
        <f>PROJECT_START+19</f>
        <v/>
      </c>
      <c r="H57" s="20">
        <f>G57+I57</f>
        <v/>
      </c>
      <c r="I57" s="18" t="n">
        <v>0.3</v>
      </c>
      <c r="J57" s="18" t="inlineStr"/>
    </row>
    <row r="58">
      <c r="A58" s="18" t="inlineStr">
        <is>
          <t>OPERATIONAL</t>
        </is>
      </c>
      <c r="B58" s="18" t="inlineStr">
        <is>
          <t>AGI TR Units 3-4</t>
        </is>
      </c>
      <c r="C58" s="18" t="inlineStr">
        <is>
          <t>A1249</t>
        </is>
      </c>
      <c r="D58" s="18" t="inlineStr">
        <is>
          <t>RoRo Ramp Installation - 5t Frokift and Crane required</t>
        </is>
      </c>
      <c r="E58" s="21" t="inlineStr">
        <is>
          <t>BUFFER</t>
        </is>
      </c>
      <c r="F58" s="18" t="inlineStr">
        <is>
          <t>All</t>
        </is>
      </c>
      <c r="G58" s="20">
        <f>PROJECT_START+19</f>
        <v/>
      </c>
      <c r="H58" s="20">
        <f>G58+I58</f>
        <v/>
      </c>
      <c r="I58" s="18" t="n">
        <v>0.3</v>
      </c>
      <c r="J58" s="18" t="inlineStr"/>
    </row>
    <row r="59">
      <c r="A59" s="18" t="inlineStr">
        <is>
          <t>OPERATIONAL</t>
        </is>
      </c>
      <c r="B59" s="18" t="inlineStr">
        <is>
          <t>AGI TR Units 3-4</t>
        </is>
      </c>
      <c r="C59" s="18" t="inlineStr">
        <is>
          <t>A1259</t>
        </is>
      </c>
      <c r="D59" s="18" t="inlineStr">
        <is>
          <t>Load-out of AGL TR Unit 3; stool down</t>
        </is>
      </c>
      <c r="E59" s="23" t="inlineStr">
        <is>
          <t>LOADOUT</t>
        </is>
      </c>
      <c r="F59" s="18" t="inlineStr">
        <is>
          <t>All</t>
        </is>
      </c>
      <c r="G59" s="20">
        <f>PROJECT_START+19</f>
        <v/>
      </c>
      <c r="H59" s="20">
        <f>G59+I59</f>
        <v/>
      </c>
      <c r="I59" s="18" t="n">
        <v>0.2</v>
      </c>
      <c r="J59" s="18" t="inlineStr"/>
    </row>
    <row r="60">
      <c r="A60" s="18" t="inlineStr">
        <is>
          <t>OPERATIONAL</t>
        </is>
      </c>
      <c r="B60" s="18" t="inlineStr">
        <is>
          <t>AGI TR Units 3-4</t>
        </is>
      </c>
      <c r="C60" s="18" t="inlineStr">
        <is>
          <t>A1269</t>
        </is>
      </c>
      <c r="D60" s="18" t="inlineStr">
        <is>
          <t>RoRo ramp removal; Seafastening AGL TR Unit 3 - Crane required</t>
        </is>
      </c>
      <c r="E60" s="24" t="inlineStr">
        <is>
          <t>SEAFAST</t>
        </is>
      </c>
      <c r="F60" s="18" t="inlineStr">
        <is>
          <t>All</t>
        </is>
      </c>
      <c r="G60" s="20">
        <f>PROJECT_START+19</f>
        <v/>
      </c>
      <c r="H60" s="20">
        <f>G60+I60</f>
        <v/>
      </c>
      <c r="I60" s="18">
        <f>DUR_BUF</f>
        <v/>
      </c>
      <c r="J60" s="18" t="inlineStr"/>
    </row>
    <row r="61">
      <c r="A61" s="18" t="inlineStr">
        <is>
          <t>OPERATIONAL</t>
        </is>
      </c>
      <c r="B61" s="18" t="inlineStr">
        <is>
          <t>AGI TR Units 3-4</t>
        </is>
      </c>
      <c r="C61" s="18" t="inlineStr">
        <is>
          <t>A1270</t>
        </is>
      </c>
      <c r="D61" s="18" t="inlineStr">
        <is>
          <t>Beam replacement for TR Unit 4</t>
        </is>
      </c>
      <c r="E61" s="21" t="inlineStr">
        <is>
          <t>BUFFER</t>
        </is>
      </c>
      <c r="F61" s="18" t="inlineStr">
        <is>
          <t>All</t>
        </is>
      </c>
      <c r="G61" s="20">
        <f>PROJECT_START+19</f>
        <v/>
      </c>
      <c r="H61" s="20">
        <f>G61+I61</f>
        <v/>
      </c>
      <c r="I61" s="18" t="n">
        <v>0.7</v>
      </c>
      <c r="J61" s="18" t="inlineStr"/>
    </row>
    <row r="62">
      <c r="A62" s="18" t="inlineStr">
        <is>
          <t>OPERATIONAL</t>
        </is>
      </c>
      <c r="B62" s="18" t="inlineStr">
        <is>
          <t>AGI TR Units 3-4</t>
        </is>
      </c>
      <c r="C62" s="18" t="inlineStr">
        <is>
          <t>A1279</t>
        </is>
      </c>
      <c r="D62" s="18" t="inlineStr">
        <is>
          <t>Loading of AGI TR Unit 4 on SPMT; lashing</t>
        </is>
      </c>
      <c r="E62" s="21" t="inlineStr">
        <is>
          <t>BUFFER</t>
        </is>
      </c>
      <c r="F62" s="18" t="inlineStr">
        <is>
          <t>All</t>
        </is>
      </c>
      <c r="G62" s="20">
        <f>PROJECT_START+20</f>
        <v/>
      </c>
      <c r="H62" s="20">
        <f>G62+I62</f>
        <v/>
      </c>
      <c r="I62" s="18" t="n">
        <v>0.3</v>
      </c>
      <c r="J62" s="18" t="inlineStr"/>
    </row>
    <row r="63">
      <c r="A63" s="18" t="inlineStr">
        <is>
          <t>OPERATIONAL</t>
        </is>
      </c>
      <c r="B63" s="18" t="inlineStr">
        <is>
          <t>AGI TR Units 3-4</t>
        </is>
      </c>
      <c r="C63" s="18" t="inlineStr">
        <is>
          <t>A1289</t>
        </is>
      </c>
      <c r="D63" s="18" t="inlineStr">
        <is>
          <t>Shifting of AGL TR Unit 4 to Jetty area</t>
        </is>
      </c>
      <c r="E63" s="21" t="inlineStr">
        <is>
          <t>BUFFER</t>
        </is>
      </c>
      <c r="F63" s="18" t="inlineStr">
        <is>
          <t>All</t>
        </is>
      </c>
      <c r="G63" s="20">
        <f>PROJECT_START+20</f>
        <v/>
      </c>
      <c r="H63" s="20">
        <f>G63+I63</f>
        <v/>
      </c>
      <c r="I63" s="18" t="n">
        <v>0.05</v>
      </c>
      <c r="J63" s="18" t="inlineStr"/>
    </row>
    <row r="64">
      <c r="A64" s="18" t="inlineStr">
        <is>
          <t>OPERATIONAL</t>
        </is>
      </c>
      <c r="B64" s="18" t="inlineStr">
        <is>
          <t>AGI TR Units 3-4</t>
        </is>
      </c>
      <c r="C64" s="18" t="inlineStr">
        <is>
          <t>A1299</t>
        </is>
      </c>
      <c r="D64" s="18" t="inlineStr">
        <is>
          <t>RoRo Ramp Installation - Crane required</t>
        </is>
      </c>
      <c r="E64" s="21" t="inlineStr">
        <is>
          <t>BUFFER</t>
        </is>
      </c>
      <c r="F64" s="18" t="inlineStr">
        <is>
          <t>All</t>
        </is>
      </c>
      <c r="G64" s="20">
        <f>PROJECT_START+20</f>
        <v/>
      </c>
      <c r="H64" s="20">
        <f>G64+I64</f>
        <v/>
      </c>
      <c r="I64" s="18" t="n">
        <v>0.3</v>
      </c>
      <c r="J64" s="18" t="inlineStr"/>
    </row>
    <row r="65">
      <c r="A65" s="18" t="inlineStr">
        <is>
          <t>OPERATIONAL</t>
        </is>
      </c>
      <c r="B65" s="18" t="inlineStr">
        <is>
          <t>AGI TR Units 3-4</t>
        </is>
      </c>
      <c r="C65" s="18" t="inlineStr">
        <is>
          <t>A1309</t>
        </is>
      </c>
      <c r="D65" s="18" t="inlineStr">
        <is>
          <t>Load-out of AGI TR Unit 4; stoold down; securing of SPMT</t>
        </is>
      </c>
      <c r="E65" s="23" t="inlineStr">
        <is>
          <t>LOADOUT</t>
        </is>
      </c>
      <c r="F65" s="18" t="inlineStr">
        <is>
          <t>All</t>
        </is>
      </c>
      <c r="G65" s="20">
        <f>PROJECT_START+20</f>
        <v/>
      </c>
      <c r="H65" s="20">
        <f>G65+I65</f>
        <v/>
      </c>
      <c r="I65" s="18" t="n">
        <v>0.3</v>
      </c>
      <c r="J65" s="18" t="inlineStr"/>
    </row>
    <row r="66">
      <c r="A66" s="18" t="inlineStr">
        <is>
          <t>OPERATIONAL</t>
        </is>
      </c>
      <c r="B66" s="18" t="inlineStr">
        <is>
          <t>AGI TR Units 3-4</t>
        </is>
      </c>
      <c r="C66" s="18" t="inlineStr">
        <is>
          <t>A1319</t>
        </is>
      </c>
      <c r="D66" s="18" t="inlineStr">
        <is>
          <t>Removal of RoRo Ramp; Sea fastening AGI TR Unit 4 - Crane required</t>
        </is>
      </c>
      <c r="E66" s="24" t="inlineStr">
        <is>
          <t>SEAFAST</t>
        </is>
      </c>
      <c r="F66" s="18" t="inlineStr">
        <is>
          <t>All</t>
        </is>
      </c>
      <c r="G66" s="20">
        <f>PROJECT_START+20</f>
        <v/>
      </c>
      <c r="H66" s="20">
        <f>G66+I66</f>
        <v/>
      </c>
      <c r="I66" s="18">
        <f>DUR_BUF</f>
        <v/>
      </c>
      <c r="J66" s="18" t="inlineStr"/>
    </row>
    <row r="67">
      <c r="A67" s="18" t="inlineStr">
        <is>
          <t>OPERATIONAL</t>
        </is>
      </c>
      <c r="B67" s="18" t="inlineStr">
        <is>
          <t>AGI TR Units 3-4</t>
        </is>
      </c>
      <c r="C67" s="18" t="inlineStr">
        <is>
          <t>A1329</t>
        </is>
      </c>
      <c r="D67" s="18" t="inlineStr">
        <is>
          <t>MWS + MPI + Final Preparations + Sail-away - Marine Transportation by LCT to Al Ghallan Island</t>
        </is>
      </c>
      <c r="E67" s="25" t="inlineStr">
        <is>
          <t>SAIL</t>
        </is>
      </c>
      <c r="F67" s="18" t="inlineStr">
        <is>
          <t>All</t>
        </is>
      </c>
      <c r="G67" s="20">
        <f>PROJECT_START+22</f>
        <v/>
      </c>
      <c r="H67" s="20">
        <f>G67+I67</f>
        <v/>
      </c>
      <c r="I67" s="18">
        <f>DUR_SAIL</f>
        <v/>
      </c>
      <c r="J67" s="18" t="inlineStr"/>
    </row>
    <row r="68">
      <c r="A68" s="18" t="inlineStr">
        <is>
          <t>OPERATIONAL</t>
        </is>
      </c>
      <c r="B68" s="18" t="inlineStr">
        <is>
          <t>AGI TR Units 3-4</t>
        </is>
      </c>
      <c r="C68" s="18" t="inlineStr">
        <is>
          <t>A1339</t>
        </is>
      </c>
      <c r="D68" s="18" t="inlineStr">
        <is>
          <t>MMT Crew Mob to AGI; Site Induction; Meeting with Client</t>
        </is>
      </c>
      <c r="E68" s="21" t="inlineStr">
        <is>
          <t>BUFFER</t>
        </is>
      </c>
      <c r="F68" s="18" t="inlineStr">
        <is>
          <t>All</t>
        </is>
      </c>
      <c r="G68" s="20">
        <f>PROJECT_START+22</f>
        <v/>
      </c>
      <c r="H68" s="20">
        <f>G68+I68</f>
        <v/>
      </c>
      <c r="I68" s="18">
        <f>DUR_BUF</f>
        <v/>
      </c>
      <c r="J68" s="18" t="inlineStr"/>
    </row>
    <row r="69">
      <c r="A69" s="18" t="inlineStr">
        <is>
          <t>OPERATIONAL</t>
        </is>
      </c>
      <c r="B69" s="18" t="inlineStr">
        <is>
          <t>AGI TR Units 3-4</t>
        </is>
      </c>
      <c r="C69" s="18" t="inlineStr">
        <is>
          <t>A1349</t>
        </is>
      </c>
      <c r="D69" s="18" t="inlineStr">
        <is>
          <t>LCT Arrival; Berthing at AGL RoRo Jetty</t>
        </is>
      </c>
      <c r="E69" s="26" t="inlineStr">
        <is>
          <t>AGI_UNLOAD</t>
        </is>
      </c>
      <c r="F69" s="18" t="inlineStr">
        <is>
          <t>All</t>
        </is>
      </c>
      <c r="G69" s="20">
        <f>PROJECT_START+23</f>
        <v/>
      </c>
      <c r="H69" s="20">
        <f>G69+I69</f>
        <v/>
      </c>
      <c r="I69" s="18">
        <f>DUR_BUF</f>
        <v/>
      </c>
      <c r="J69" s="18" t="inlineStr"/>
    </row>
    <row r="70">
      <c r="A70" s="18" t="inlineStr">
        <is>
          <t>OPERATIONAL</t>
        </is>
      </c>
      <c r="B70" s="18" t="inlineStr">
        <is>
          <t>AGI TR Units 3-4</t>
        </is>
      </c>
      <c r="C70" s="18" t="inlineStr">
        <is>
          <t>A1359</t>
        </is>
      </c>
      <c r="D70" s="18" t="inlineStr">
        <is>
          <t>Unlashing and cutting; steel sets preparations - Forklift required</t>
        </is>
      </c>
      <c r="E70" s="21" t="inlineStr">
        <is>
          <t>BUFFER</t>
        </is>
      </c>
      <c r="F70" s="18" t="inlineStr">
        <is>
          <t>All</t>
        </is>
      </c>
      <c r="G70" s="20">
        <f>PROJECT_START+23</f>
        <v/>
      </c>
      <c r="H70" s="20">
        <f>G70+I70</f>
        <v/>
      </c>
      <c r="I70" s="18">
        <f>DUR_BUF</f>
        <v/>
      </c>
      <c r="J70" s="18" t="inlineStr"/>
    </row>
    <row r="71">
      <c r="A71" s="18" t="inlineStr">
        <is>
          <t>OPERATIONAL</t>
        </is>
      </c>
      <c r="B71" s="18" t="inlineStr">
        <is>
          <t>AGI TR Units 3-4</t>
        </is>
      </c>
      <c r="C71" s="18" t="inlineStr">
        <is>
          <t>A1369</t>
        </is>
      </c>
      <c r="D71" s="18" t="inlineStr">
        <is>
          <t>Load-in of AGI TR Unit 4 (including RoRo Ramp Installation); store on Jetty - Crane required</t>
        </is>
      </c>
      <c r="E71" s="23" t="inlineStr">
        <is>
          <t>LOADOUT</t>
        </is>
      </c>
      <c r="F71" s="18" t="inlineStr">
        <is>
          <t>All</t>
        </is>
      </c>
      <c r="G71" s="20">
        <f>PROJECT_START+24</f>
        <v/>
      </c>
      <c r="H71" s="20">
        <f>G71+I71</f>
        <v/>
      </c>
      <c r="I71" s="18">
        <f>DUR_UL</f>
        <v/>
      </c>
      <c r="J71" s="18" t="inlineStr"/>
    </row>
    <row r="72">
      <c r="A72" s="18" t="inlineStr">
        <is>
          <t>OPERATIONAL</t>
        </is>
      </c>
      <c r="B72" s="18" t="inlineStr">
        <is>
          <t>AGI TR Units 3-4</t>
        </is>
      </c>
      <c r="C72" s="18" t="inlineStr">
        <is>
          <t>A1379</t>
        </is>
      </c>
      <c r="D72" s="18" t="inlineStr">
        <is>
          <t>Load-in of AGI TR Unit 3 (including RoRo Ramp Installation); store on Jetty - Crane required</t>
        </is>
      </c>
      <c r="E72" s="23" t="inlineStr">
        <is>
          <t>LOADOUT</t>
        </is>
      </c>
      <c r="F72" s="18" t="inlineStr">
        <is>
          <t>All</t>
        </is>
      </c>
      <c r="G72" s="20">
        <f>PROJECT_START+25</f>
        <v/>
      </c>
      <c r="H72" s="20">
        <f>G72+I72</f>
        <v/>
      </c>
      <c r="I72" s="18">
        <f>DUR_UL</f>
        <v/>
      </c>
      <c r="J72" s="18" t="inlineStr"/>
    </row>
    <row r="73">
      <c r="A73" s="18" t="inlineStr">
        <is>
          <t>OPERATIONAL</t>
        </is>
      </c>
      <c r="B73" s="18" t="inlineStr">
        <is>
          <t>AGI TR Units 3-4</t>
        </is>
      </c>
      <c r="C73" s="18" t="inlineStr">
        <is>
          <t>A1389</t>
        </is>
      </c>
      <c r="D73" s="18" t="inlineStr">
        <is>
          <t>Steel bridge Installation 1 - Crane required</t>
        </is>
      </c>
      <c r="E73" s="21" t="inlineStr">
        <is>
          <t>BUFFER</t>
        </is>
      </c>
      <c r="F73" s="18" t="inlineStr">
        <is>
          <t>All</t>
        </is>
      </c>
      <c r="G73" s="20">
        <f>PROJECT_START+26</f>
        <v/>
      </c>
      <c r="H73" s="20">
        <f>G73+I73</f>
        <v/>
      </c>
      <c r="I73" s="18" t="n">
        <v>0.3</v>
      </c>
      <c r="J73" s="18" t="inlineStr"/>
    </row>
    <row r="74">
      <c r="A74" s="18" t="inlineStr">
        <is>
          <t>OPERATIONAL</t>
        </is>
      </c>
      <c r="B74" s="18" t="inlineStr">
        <is>
          <t>AGI TR Units 3-4</t>
        </is>
      </c>
      <c r="C74" s="18" t="inlineStr">
        <is>
          <t>A1399</t>
        </is>
      </c>
      <c r="D74" s="18" t="inlineStr">
        <is>
          <t>AGL TR Unit 3 (TR Bay 2) load on SPMT; lashing; Transportation and JD (steel set to be delivered to bay area by trailer)</t>
        </is>
      </c>
      <c r="E74" s="21" t="inlineStr">
        <is>
          <t>BUFFER</t>
        </is>
      </c>
      <c r="F74" s="18" t="inlineStr">
        <is>
          <t>All</t>
        </is>
      </c>
      <c r="G74" s="20">
        <f>PROJECT_START+26</f>
        <v/>
      </c>
      <c r="H74" s="20">
        <f>G74+I74</f>
        <v/>
      </c>
      <c r="I74" s="18" t="n">
        <v>0.7</v>
      </c>
      <c r="J74" s="18" t="inlineStr"/>
    </row>
    <row r="75">
      <c r="A75" s="18" t="inlineStr">
        <is>
          <t>OPERATIONAL</t>
        </is>
      </c>
      <c r="B75" s="18" t="inlineStr">
        <is>
          <t>AGI TR Units 3-4</t>
        </is>
      </c>
      <c r="C75" s="18" t="inlineStr">
        <is>
          <t>A1409</t>
        </is>
      </c>
      <c r="D75" s="18" t="inlineStr">
        <is>
          <t>Turning of AGI TR Unit 3 (TR Bay 2) - 10t Forklift required</t>
        </is>
      </c>
      <c r="E75" s="27" t="inlineStr">
        <is>
          <t>TURNING</t>
        </is>
      </c>
      <c r="F75" s="18" t="inlineStr">
        <is>
          <t>All</t>
        </is>
      </c>
      <c r="G75" s="20">
        <f>PROJECT_START+27</f>
        <v/>
      </c>
      <c r="H75" s="20">
        <f>G75+I75</f>
        <v/>
      </c>
      <c r="I75" s="18">
        <f>DUR_TURN</f>
        <v/>
      </c>
      <c r="J75" s="18" t="inlineStr"/>
    </row>
    <row r="76">
      <c r="A76" s="28" t="inlineStr">
        <is>
          <t>OPERATIONAL</t>
        </is>
      </c>
      <c r="B76" s="28" t="inlineStr">
        <is>
          <t>AGI TR Units 3-4</t>
        </is>
      </c>
      <c r="C76" s="28" t="inlineStr">
        <is>
          <t>A1419</t>
        </is>
      </c>
      <c r="D76" s="28" t="inlineStr">
        <is>
          <t>Jacking down of AGI TR Unit 3 (TR Bay 2) on temporary support - Forklift required</t>
        </is>
      </c>
      <c r="E76" s="29" t="inlineStr">
        <is>
          <t>JACKDOWN</t>
        </is>
      </c>
      <c r="F76" s="28" t="inlineStr">
        <is>
          <t>All</t>
        </is>
      </c>
      <c r="G76" s="30">
        <f>PROJECT_START+30</f>
        <v/>
      </c>
      <c r="H76" s="30">
        <f>G76+I76</f>
        <v/>
      </c>
      <c r="I76" s="28">
        <f>DUR_JD</f>
        <v/>
      </c>
      <c r="J76" s="28" t="inlineStr"/>
    </row>
    <row r="77">
      <c r="A77" s="18" t="inlineStr">
        <is>
          <t>OPERATIONAL</t>
        </is>
      </c>
      <c r="B77" s="18" t="inlineStr">
        <is>
          <t>AGI TR Units 3-4</t>
        </is>
      </c>
      <c r="C77" s="18" t="inlineStr">
        <is>
          <t>A1429</t>
        </is>
      </c>
      <c r="D77" s="18" t="inlineStr">
        <is>
          <t>Steel bridge Installation 2 - Crane required</t>
        </is>
      </c>
      <c r="E77" s="21" t="inlineStr">
        <is>
          <t>BUFFER</t>
        </is>
      </c>
      <c r="F77" s="18" t="inlineStr">
        <is>
          <t>All</t>
        </is>
      </c>
      <c r="G77" s="20">
        <f>PROJECT_START+30</f>
        <v/>
      </c>
      <c r="H77" s="20">
        <f>G77+I77</f>
        <v/>
      </c>
      <c r="I77" s="18" t="n">
        <v>0.3</v>
      </c>
      <c r="J77" s="18" t="inlineStr"/>
    </row>
    <row r="78">
      <c r="A78" s="18" t="inlineStr">
        <is>
          <t>OPERATIONAL</t>
        </is>
      </c>
      <c r="B78" s="18" t="inlineStr">
        <is>
          <t>AGI TR Units 3-4</t>
        </is>
      </c>
      <c r="C78" s="18" t="inlineStr">
        <is>
          <t>A1439</t>
        </is>
      </c>
      <c r="D78" s="18" t="inlineStr">
        <is>
          <t>AGL TR Unit 4 (TR Bay 1) load on SPMT; lashing; Transportation and JD (steel set to be delivered to bay area by trailer)</t>
        </is>
      </c>
      <c r="E78" s="21" t="inlineStr">
        <is>
          <t>BUFFER</t>
        </is>
      </c>
      <c r="F78" s="18" t="inlineStr">
        <is>
          <t>All</t>
        </is>
      </c>
      <c r="G78" s="20">
        <f>PROJECT_START+30</f>
        <v/>
      </c>
      <c r="H78" s="20">
        <f>G78+I78</f>
        <v/>
      </c>
      <c r="I78" s="18" t="n">
        <v>0.7</v>
      </c>
      <c r="J78" s="18" t="inlineStr"/>
    </row>
    <row r="79">
      <c r="A79" s="18" t="inlineStr">
        <is>
          <t>OPERATIONAL</t>
        </is>
      </c>
      <c r="B79" s="18" t="inlineStr">
        <is>
          <t>AGI TR Units 3-4</t>
        </is>
      </c>
      <c r="C79" s="18" t="inlineStr">
        <is>
          <t>A1449</t>
        </is>
      </c>
      <c r="D79" s="18" t="inlineStr">
        <is>
          <t>Turning of AGI TR Unit 4 (TR Bay 1) - 10t Forklift required</t>
        </is>
      </c>
      <c r="E79" s="27" t="inlineStr">
        <is>
          <t>TURNING</t>
        </is>
      </c>
      <c r="F79" s="18" t="inlineStr">
        <is>
          <t>All</t>
        </is>
      </c>
      <c r="G79" s="20">
        <f>PROJECT_START+31</f>
        <v/>
      </c>
      <c r="H79" s="20">
        <f>G79+I79</f>
        <v/>
      </c>
      <c r="I79" s="18">
        <f>DUR_TURN</f>
        <v/>
      </c>
      <c r="J79" s="18" t="inlineStr"/>
    </row>
    <row r="80">
      <c r="A80" s="28" t="inlineStr">
        <is>
          <t>OPERATIONAL</t>
        </is>
      </c>
      <c r="B80" s="28" t="inlineStr">
        <is>
          <t>AGI TR Units 3-4</t>
        </is>
      </c>
      <c r="C80" s="28" t="inlineStr">
        <is>
          <t>A1459</t>
        </is>
      </c>
      <c r="D80" s="28" t="inlineStr">
        <is>
          <t>Jacking down of AGI TR Unit 4 (TR Bay 1) on temporary support - Forklift and Crane required</t>
        </is>
      </c>
      <c r="E80" s="29" t="inlineStr">
        <is>
          <t>JACKDOWN</t>
        </is>
      </c>
      <c r="F80" s="28" t="inlineStr">
        <is>
          <t>All</t>
        </is>
      </c>
      <c r="G80" s="30">
        <f>PROJECT_START+34</f>
        <v/>
      </c>
      <c r="H80" s="30">
        <f>G80+I80</f>
        <v/>
      </c>
      <c r="I80" s="28">
        <f>DUR_JD</f>
        <v/>
      </c>
      <c r="J80" s="28" t="inlineStr"/>
    </row>
    <row r="81">
      <c r="A81" s="18" t="inlineStr">
        <is>
          <t>OPERATIONAL</t>
        </is>
      </c>
      <c r="B81" s="18" t="inlineStr">
        <is>
          <t>AGI TR Units 3-4</t>
        </is>
      </c>
      <c r="C81" s="18" t="inlineStr">
        <is>
          <t>A1469</t>
        </is>
      </c>
      <c r="D81" s="18" t="inlineStr">
        <is>
          <t>SPMT shiifting from TR Bay Area to Jetty; Loading on LCT (if tide allows)</t>
        </is>
      </c>
      <c r="E81" s="21" t="inlineStr">
        <is>
          <t>BUFFER</t>
        </is>
      </c>
      <c r="F81" s="18" t="inlineStr">
        <is>
          <t>All</t>
        </is>
      </c>
      <c r="G81" s="20">
        <f>PROJECT_START+33</f>
        <v/>
      </c>
      <c r="H81" s="20">
        <f>G81+I81</f>
        <v/>
      </c>
      <c r="I81" s="18">
        <f>DUR_BUF</f>
        <v/>
      </c>
      <c r="J81" s="18" t="inlineStr"/>
    </row>
    <row r="82">
      <c r="A82" s="18" t="inlineStr">
        <is>
          <t>OPERATIONAL</t>
        </is>
      </c>
      <c r="B82" s="18" t="inlineStr">
        <is>
          <t>AGI TR Units 3-4</t>
        </is>
      </c>
      <c r="C82" s="18" t="inlineStr">
        <is>
          <t>A1479</t>
        </is>
      </c>
      <c r="D82" s="18" t="inlineStr">
        <is>
          <t>LCT Sail-away back to Mina Zayed Port; MMT SPMT Crew Demobilization</t>
        </is>
      </c>
      <c r="E82" s="19" t="inlineStr">
        <is>
          <t>MOBILIZATION</t>
        </is>
      </c>
      <c r="F82" s="18" t="inlineStr">
        <is>
          <t>All</t>
        </is>
      </c>
      <c r="G82" s="20">
        <f>PROJECT_START+34</f>
        <v/>
      </c>
      <c r="H82" s="20">
        <f>G82+I82</f>
        <v/>
      </c>
      <c r="I82" s="18">
        <f>DUR_MOB</f>
        <v/>
      </c>
      <c r="J82" s="18" t="inlineStr"/>
    </row>
    <row r="83">
      <c r="A83" s="18" t="inlineStr">
        <is>
          <t>OPERATIONAL</t>
        </is>
      </c>
      <c r="B83" s="18" t="inlineStr">
        <is>
          <t>AGI TR Units 3-4</t>
        </is>
      </c>
      <c r="C83" s="18" t="inlineStr">
        <is>
          <t>A1489</t>
        </is>
      </c>
      <c r="D83" s="18" t="inlineStr">
        <is>
          <t>MMT Jacking Crew Demobilization</t>
        </is>
      </c>
      <c r="E83" s="19" t="inlineStr">
        <is>
          <t>MOBILIZATION</t>
        </is>
      </c>
      <c r="F83" s="18" t="inlineStr">
        <is>
          <t>All</t>
        </is>
      </c>
      <c r="G83" s="20">
        <f>PROJECT_START+35</f>
        <v/>
      </c>
      <c r="H83" s="20">
        <f>G83+I83</f>
        <v/>
      </c>
      <c r="I83" s="18">
        <f>DUR_MOB</f>
        <v/>
      </c>
      <c r="J83" s="18" t="inlineStr"/>
    </row>
    <row r="84">
      <c r="A84" s="18" t="inlineStr">
        <is>
          <t>OPERATIONAL</t>
        </is>
      </c>
      <c r="B84" s="18" t="inlineStr">
        <is>
          <t>AGLI TR Units 5-6</t>
        </is>
      </c>
      <c r="C84" s="18" t="inlineStr"/>
      <c r="D84" s="18" t="inlineStr">
        <is>
          <t>AGLI TR Units 5-6</t>
        </is>
      </c>
      <c r="E84" s="21" t="inlineStr">
        <is>
          <t>BUFFER</t>
        </is>
      </c>
      <c r="F84" s="18" t="inlineStr">
        <is>
          <t>All</t>
        </is>
      </c>
      <c r="G84" s="20">
        <f>PROJECT_START+35</f>
        <v/>
      </c>
      <c r="H84" s="20">
        <f>G84+I84</f>
        <v/>
      </c>
      <c r="I84" s="18" t="n">
        <v>0</v>
      </c>
      <c r="J84" s="18" t="inlineStr"/>
    </row>
    <row r="85">
      <c r="A85" s="18" t="inlineStr">
        <is>
          <t>OPERATIONAL</t>
        </is>
      </c>
      <c r="B85" s="18" t="inlineStr">
        <is>
          <t>AGLI TR Units 5-6</t>
        </is>
      </c>
      <c r="C85" s="18" t="inlineStr">
        <is>
          <t>A1499</t>
        </is>
      </c>
      <c r="D85" s="18" t="inlineStr">
        <is>
          <t>LCT Arrives to MZP; Deck Preparations</t>
        </is>
      </c>
      <c r="E85" s="22" t="inlineStr">
        <is>
          <t>DECK_PREP</t>
        </is>
      </c>
      <c r="F85" s="18" t="inlineStr">
        <is>
          <t>All</t>
        </is>
      </c>
      <c r="G85" s="20">
        <f>PROJECT_START+35</f>
        <v/>
      </c>
      <c r="H85" s="20">
        <f>G85+I85</f>
        <v/>
      </c>
      <c r="I85" s="18">
        <f>DUR_UL</f>
        <v/>
      </c>
      <c r="J85" s="18" t="inlineStr"/>
    </row>
    <row r="86">
      <c r="A86" s="18" t="inlineStr">
        <is>
          <t>OPERATIONAL</t>
        </is>
      </c>
      <c r="B86" s="18" t="inlineStr">
        <is>
          <t>AGLI TR Units 5-6</t>
        </is>
      </c>
      <c r="C86" s="18" t="inlineStr">
        <is>
          <t>A1509</t>
        </is>
      </c>
      <c r="D86" s="18" t="inlineStr">
        <is>
          <t>Beam Replacement for TR Unit 5</t>
        </is>
      </c>
      <c r="E86" s="21" t="inlineStr">
        <is>
          <t>BUFFER</t>
        </is>
      </c>
      <c r="F86" s="18" t="inlineStr">
        <is>
          <t>All</t>
        </is>
      </c>
      <c r="G86" s="20">
        <f>PROJECT_START+35</f>
        <v/>
      </c>
      <c r="H86" s="20">
        <f>G86+I86</f>
        <v/>
      </c>
      <c r="I86" s="18">
        <f>DUR_BUF</f>
        <v/>
      </c>
      <c r="J86" s="18" t="inlineStr"/>
    </row>
    <row r="87">
      <c r="A87" s="18" t="inlineStr">
        <is>
          <t>OPERATIONAL</t>
        </is>
      </c>
      <c r="B87" s="18" t="inlineStr">
        <is>
          <t>AGLI TR Units 5-6</t>
        </is>
      </c>
      <c r="C87" s="18" t="inlineStr">
        <is>
          <t>A1519</t>
        </is>
      </c>
      <c r="D87" s="18" t="inlineStr">
        <is>
          <t>Loading of AGI TR Unit 5 on SPMT; lashing; Shifting to Mina Zayed Port RoRo Jetty area</t>
        </is>
      </c>
      <c r="E87" s="21" t="inlineStr">
        <is>
          <t>BUFFER</t>
        </is>
      </c>
      <c r="F87" s="18" t="inlineStr">
        <is>
          <t>All</t>
        </is>
      </c>
      <c r="G87" s="20">
        <f>PROJECT_START+36</f>
        <v/>
      </c>
      <c r="H87" s="20">
        <f>G87+I87</f>
        <v/>
      </c>
      <c r="I87" s="18" t="n">
        <v>0.3</v>
      </c>
      <c r="J87" s="18" t="inlineStr"/>
    </row>
    <row r="88">
      <c r="A88" s="18" t="inlineStr">
        <is>
          <t>OPERATIONAL</t>
        </is>
      </c>
      <c r="B88" s="18" t="inlineStr">
        <is>
          <t>AGLI TR Units 5-6</t>
        </is>
      </c>
      <c r="C88" s="18" t="inlineStr">
        <is>
          <t>A1529</t>
        </is>
      </c>
      <c r="D88" s="18" t="inlineStr">
        <is>
          <t>RoRo Ramp Installation - 5t Frokift and Crane required</t>
        </is>
      </c>
      <c r="E88" s="21" t="inlineStr">
        <is>
          <t>BUFFER</t>
        </is>
      </c>
      <c r="F88" s="18" t="inlineStr">
        <is>
          <t>All</t>
        </is>
      </c>
      <c r="G88" s="20">
        <f>PROJECT_START+36</f>
        <v/>
      </c>
      <c r="H88" s="20">
        <f>G88+I88</f>
        <v/>
      </c>
      <c r="I88" s="18" t="n">
        <v>0.3</v>
      </c>
      <c r="J88" s="18" t="inlineStr"/>
    </row>
    <row r="89">
      <c r="A89" s="18" t="inlineStr">
        <is>
          <t>OPERATIONAL</t>
        </is>
      </c>
      <c r="B89" s="18" t="inlineStr">
        <is>
          <t>AGLI TR Units 5-6</t>
        </is>
      </c>
      <c r="C89" s="18" t="inlineStr">
        <is>
          <t>A1539</t>
        </is>
      </c>
      <c r="D89" s="18" t="inlineStr">
        <is>
          <t>Load-out of AGL TR Unit 5; stool down</t>
        </is>
      </c>
      <c r="E89" s="23" t="inlineStr">
        <is>
          <t>LOADOUT</t>
        </is>
      </c>
      <c r="F89" s="18" t="inlineStr">
        <is>
          <t>All</t>
        </is>
      </c>
      <c r="G89" s="20">
        <f>PROJECT_START+36</f>
        <v/>
      </c>
      <c r="H89" s="20">
        <f>G89+I89</f>
        <v/>
      </c>
      <c r="I89" s="18" t="n">
        <v>0.2</v>
      </c>
      <c r="J89" s="18" t="inlineStr"/>
    </row>
    <row r="90">
      <c r="A90" s="18" t="inlineStr">
        <is>
          <t>OPERATIONAL</t>
        </is>
      </c>
      <c r="B90" s="18" t="inlineStr">
        <is>
          <t>AGLI TR Units 5-6</t>
        </is>
      </c>
      <c r="C90" s="18" t="inlineStr">
        <is>
          <t>A1549</t>
        </is>
      </c>
      <c r="D90" s="18" t="inlineStr">
        <is>
          <t>RoRo ramp removal; Seafastening AGL TR Unit 5 - Crane required</t>
        </is>
      </c>
      <c r="E90" s="24" t="inlineStr">
        <is>
          <t>SEAFAST</t>
        </is>
      </c>
      <c r="F90" s="18" t="inlineStr">
        <is>
          <t>All</t>
        </is>
      </c>
      <c r="G90" s="20">
        <f>PROJECT_START+36</f>
        <v/>
      </c>
      <c r="H90" s="20">
        <f>G90+I90</f>
        <v/>
      </c>
      <c r="I90" s="18">
        <f>DUR_BUF</f>
        <v/>
      </c>
      <c r="J90" s="18" t="inlineStr"/>
    </row>
    <row r="91">
      <c r="A91" s="18" t="inlineStr">
        <is>
          <t>OPERATIONAL</t>
        </is>
      </c>
      <c r="B91" s="18" t="inlineStr">
        <is>
          <t>AGLI TR Units 5-6</t>
        </is>
      </c>
      <c r="C91" s="18" t="inlineStr">
        <is>
          <t>A1559</t>
        </is>
      </c>
      <c r="D91" s="18" t="inlineStr">
        <is>
          <t>Beam replacement for TR Unit 6</t>
        </is>
      </c>
      <c r="E91" s="21" t="inlineStr">
        <is>
          <t>BUFFER</t>
        </is>
      </c>
      <c r="F91" s="18" t="inlineStr">
        <is>
          <t>All</t>
        </is>
      </c>
      <c r="G91" s="20">
        <f>PROJECT_START+36</f>
        <v/>
      </c>
      <c r="H91" s="20">
        <f>G91+I91</f>
        <v/>
      </c>
      <c r="I91" s="18" t="n">
        <v>0.7</v>
      </c>
      <c r="J91" s="18" t="inlineStr"/>
    </row>
    <row r="92">
      <c r="A92" s="18" t="inlineStr">
        <is>
          <t>OPERATIONAL</t>
        </is>
      </c>
      <c r="B92" s="18" t="inlineStr">
        <is>
          <t>AGLI TR Units 5-6</t>
        </is>
      </c>
      <c r="C92" s="18" t="inlineStr">
        <is>
          <t>A1569</t>
        </is>
      </c>
      <c r="D92" s="18" t="inlineStr">
        <is>
          <t>Loading of AGI TR Unit 6 on SPMT; lashing</t>
        </is>
      </c>
      <c r="E92" s="21" t="inlineStr">
        <is>
          <t>BUFFER</t>
        </is>
      </c>
      <c r="F92" s="18" t="inlineStr">
        <is>
          <t>All</t>
        </is>
      </c>
      <c r="G92" s="20">
        <f>PROJECT_START+37</f>
        <v/>
      </c>
      <c r="H92" s="20">
        <f>G92+I92</f>
        <v/>
      </c>
      <c r="I92" s="18" t="n">
        <v>0.3</v>
      </c>
      <c r="J92" s="18" t="inlineStr"/>
    </row>
    <row r="93">
      <c r="A93" s="18" t="inlineStr">
        <is>
          <t>OPERATIONAL</t>
        </is>
      </c>
      <c r="B93" s="18" t="inlineStr">
        <is>
          <t>AGLI TR Units 5-6</t>
        </is>
      </c>
      <c r="C93" s="18" t="inlineStr">
        <is>
          <t>A1579</t>
        </is>
      </c>
      <c r="D93" s="18" t="inlineStr">
        <is>
          <t>Shifting of AGL TR Unit 6 to Jetty area</t>
        </is>
      </c>
      <c r="E93" s="21" t="inlineStr">
        <is>
          <t>BUFFER</t>
        </is>
      </c>
      <c r="F93" s="18" t="inlineStr">
        <is>
          <t>All</t>
        </is>
      </c>
      <c r="G93" s="20">
        <f>PROJECT_START+37</f>
        <v/>
      </c>
      <c r="H93" s="20">
        <f>G93+I93</f>
        <v/>
      </c>
      <c r="I93" s="18" t="n">
        <v>0.05</v>
      </c>
      <c r="J93" s="18" t="inlineStr"/>
    </row>
    <row r="94">
      <c r="A94" s="18" t="inlineStr">
        <is>
          <t>OPERATIONAL</t>
        </is>
      </c>
      <c r="B94" s="18" t="inlineStr">
        <is>
          <t>AGLI TR Units 5-6</t>
        </is>
      </c>
      <c r="C94" s="18" t="inlineStr">
        <is>
          <t>A1589</t>
        </is>
      </c>
      <c r="D94" s="18" t="inlineStr">
        <is>
          <t>RoRo Ramp Installation - Crane required</t>
        </is>
      </c>
      <c r="E94" s="21" t="inlineStr">
        <is>
          <t>BUFFER</t>
        </is>
      </c>
      <c r="F94" s="18" t="inlineStr">
        <is>
          <t>All</t>
        </is>
      </c>
      <c r="G94" s="20">
        <f>PROJECT_START+37</f>
        <v/>
      </c>
      <c r="H94" s="20">
        <f>G94+I94</f>
        <v/>
      </c>
      <c r="I94" s="18" t="n">
        <v>0.3</v>
      </c>
      <c r="J94" s="18" t="inlineStr"/>
    </row>
    <row r="95">
      <c r="A95" s="18" t="inlineStr">
        <is>
          <t>OPERATIONAL</t>
        </is>
      </c>
      <c r="B95" s="18" t="inlineStr">
        <is>
          <t>AGLI TR Units 5-6</t>
        </is>
      </c>
      <c r="C95" s="18" t="inlineStr">
        <is>
          <t>A1599</t>
        </is>
      </c>
      <c r="D95" s="18" t="inlineStr">
        <is>
          <t>Load-out of AGI TR Unit 6; stoold down; securing of SPMT</t>
        </is>
      </c>
      <c r="E95" s="23" t="inlineStr">
        <is>
          <t>LOADOUT</t>
        </is>
      </c>
      <c r="F95" s="18" t="inlineStr">
        <is>
          <t>All</t>
        </is>
      </c>
      <c r="G95" s="20">
        <f>PROJECT_START+37</f>
        <v/>
      </c>
      <c r="H95" s="20">
        <f>G95+I95</f>
        <v/>
      </c>
      <c r="I95" s="18" t="n">
        <v>0.3</v>
      </c>
      <c r="J95" s="18" t="inlineStr"/>
    </row>
    <row r="96">
      <c r="A96" s="18" t="inlineStr">
        <is>
          <t>OPERATIONAL</t>
        </is>
      </c>
      <c r="B96" s="18" t="inlineStr">
        <is>
          <t>AGLI TR Units 5-6</t>
        </is>
      </c>
      <c r="C96" s="18" t="inlineStr">
        <is>
          <t>A1609</t>
        </is>
      </c>
      <c r="D96" s="18" t="inlineStr">
        <is>
          <t>Removal of RoRo Ramp; Sea fastening AGI TR Unit 6 - Crane required</t>
        </is>
      </c>
      <c r="E96" s="24" t="inlineStr">
        <is>
          <t>SEAFAST</t>
        </is>
      </c>
      <c r="F96" s="18" t="inlineStr">
        <is>
          <t>All</t>
        </is>
      </c>
      <c r="G96" s="20">
        <f>PROJECT_START+37</f>
        <v/>
      </c>
      <c r="H96" s="20">
        <f>G96+I96</f>
        <v/>
      </c>
      <c r="I96" s="18">
        <f>DUR_BUF</f>
        <v/>
      </c>
      <c r="J96" s="18" t="inlineStr"/>
    </row>
    <row r="97">
      <c r="A97" s="18" t="inlineStr">
        <is>
          <t>OPERATIONAL</t>
        </is>
      </c>
      <c r="B97" s="18" t="inlineStr">
        <is>
          <t>AGLI TR Units 5-6</t>
        </is>
      </c>
      <c r="C97" s="18" t="inlineStr">
        <is>
          <t>A1619</t>
        </is>
      </c>
      <c r="D97" s="18" t="inlineStr">
        <is>
          <t>MWS + MPI + Final Preparations + Sail-away - Marine Transportation by LCT to Al Ghallan Island</t>
        </is>
      </c>
      <c r="E97" s="25" t="inlineStr">
        <is>
          <t>SAIL</t>
        </is>
      </c>
      <c r="F97" s="18" t="inlineStr">
        <is>
          <t>All</t>
        </is>
      </c>
      <c r="G97" s="20">
        <f>PROJECT_START+39</f>
        <v/>
      </c>
      <c r="H97" s="20">
        <f>G97+I97</f>
        <v/>
      </c>
      <c r="I97" s="18">
        <f>DUR_SAIL</f>
        <v/>
      </c>
      <c r="J97" s="18" t="inlineStr"/>
    </row>
    <row r="98">
      <c r="A98" s="18" t="inlineStr">
        <is>
          <t>OPERATIONAL</t>
        </is>
      </c>
      <c r="B98" s="18" t="inlineStr">
        <is>
          <t>AGLI TR Units 5-6</t>
        </is>
      </c>
      <c r="C98" s="18" t="inlineStr">
        <is>
          <t>A1629</t>
        </is>
      </c>
      <c r="D98" s="18" t="inlineStr">
        <is>
          <t>MMT Crew Mob to AGI; Site Induction; Meeting with Client</t>
        </is>
      </c>
      <c r="E98" s="21" t="inlineStr">
        <is>
          <t>BUFFER</t>
        </is>
      </c>
      <c r="F98" s="18" t="inlineStr">
        <is>
          <t>All</t>
        </is>
      </c>
      <c r="G98" s="20">
        <f>PROJECT_START+39</f>
        <v/>
      </c>
      <c r="H98" s="20">
        <f>G98+I98</f>
        <v/>
      </c>
      <c r="I98" s="18">
        <f>DUR_BUF</f>
        <v/>
      </c>
      <c r="J98" s="18" t="inlineStr"/>
    </row>
    <row r="99">
      <c r="A99" s="18" t="inlineStr">
        <is>
          <t>OPERATIONAL</t>
        </is>
      </c>
      <c r="B99" s="18" t="inlineStr">
        <is>
          <t>AGLI TR Units 5-6</t>
        </is>
      </c>
      <c r="C99" s="18" t="inlineStr">
        <is>
          <t>A1639</t>
        </is>
      </c>
      <c r="D99" s="18" t="inlineStr">
        <is>
          <t>LCT Arrival; Berthing at AGL RoRo Jetty</t>
        </is>
      </c>
      <c r="E99" s="26" t="inlineStr">
        <is>
          <t>AGI_UNLOAD</t>
        </is>
      </c>
      <c r="F99" s="18" t="inlineStr">
        <is>
          <t>All</t>
        </is>
      </c>
      <c r="G99" s="20">
        <f>PROJECT_START+40</f>
        <v/>
      </c>
      <c r="H99" s="20">
        <f>G99+I99</f>
        <v/>
      </c>
      <c r="I99" s="18">
        <f>DUR_BUF</f>
        <v/>
      </c>
      <c r="J99" s="18" t="inlineStr"/>
    </row>
    <row r="100">
      <c r="A100" s="18" t="inlineStr">
        <is>
          <t>OPERATIONAL</t>
        </is>
      </c>
      <c r="B100" s="18" t="inlineStr">
        <is>
          <t>AGLI TR Units 5-6</t>
        </is>
      </c>
      <c r="C100" s="18" t="inlineStr">
        <is>
          <t>A1649</t>
        </is>
      </c>
      <c r="D100" s="18" t="inlineStr">
        <is>
          <t>Unlashing and cutting; steel sets preparations - Forklift required</t>
        </is>
      </c>
      <c r="E100" s="21" t="inlineStr">
        <is>
          <t>BUFFER</t>
        </is>
      </c>
      <c r="F100" s="18" t="inlineStr">
        <is>
          <t>All</t>
        </is>
      </c>
      <c r="G100" s="20">
        <f>PROJECT_START+40</f>
        <v/>
      </c>
      <c r="H100" s="20">
        <f>G100+I100</f>
        <v/>
      </c>
      <c r="I100" s="18">
        <f>DUR_BUF</f>
        <v/>
      </c>
      <c r="J100" s="18" t="inlineStr"/>
    </row>
    <row r="101">
      <c r="A101" s="18" t="inlineStr">
        <is>
          <t>OPERATIONAL</t>
        </is>
      </c>
      <c r="B101" s="18" t="inlineStr">
        <is>
          <t>AGLI TR Units 5-6</t>
        </is>
      </c>
      <c r="C101" s="18" t="inlineStr">
        <is>
          <t>A1659</t>
        </is>
      </c>
      <c r="D101" s="18" t="inlineStr">
        <is>
          <t>Load-in of AGI TR Unit 6 (including RoRo Ramp Installation); store on Jetty - Crane required</t>
        </is>
      </c>
      <c r="E101" s="23" t="inlineStr">
        <is>
          <t>LOADOUT</t>
        </is>
      </c>
      <c r="F101" s="18" t="inlineStr">
        <is>
          <t>All</t>
        </is>
      </c>
      <c r="G101" s="20">
        <f>PROJECT_START+41</f>
        <v/>
      </c>
      <c r="H101" s="20">
        <f>G101+I101</f>
        <v/>
      </c>
      <c r="I101" s="18">
        <f>DUR_UL</f>
        <v/>
      </c>
      <c r="J101" s="18" t="inlineStr"/>
    </row>
    <row r="102">
      <c r="A102" s="18" t="inlineStr">
        <is>
          <t>OPERATIONAL</t>
        </is>
      </c>
      <c r="B102" s="18" t="inlineStr">
        <is>
          <t>AGLI TR Units 5-6</t>
        </is>
      </c>
      <c r="C102" s="18" t="inlineStr">
        <is>
          <t>A1669</t>
        </is>
      </c>
      <c r="D102" s="18" t="inlineStr">
        <is>
          <t>Load-in of AGI TR Unit 5 (including RoRo Ramp Installation); store on Jetty - Crane required</t>
        </is>
      </c>
      <c r="E102" s="23" t="inlineStr">
        <is>
          <t>LOADOUT</t>
        </is>
      </c>
      <c r="F102" s="18" t="inlineStr">
        <is>
          <t>All</t>
        </is>
      </c>
      <c r="G102" s="20">
        <f>PROJECT_START+42</f>
        <v/>
      </c>
      <c r="H102" s="20">
        <f>G102+I102</f>
        <v/>
      </c>
      <c r="I102" s="18">
        <f>DUR_UL</f>
        <v/>
      </c>
      <c r="J102" s="18" t="inlineStr"/>
    </row>
    <row r="103">
      <c r="A103" s="18" t="inlineStr">
        <is>
          <t>OPERATIONAL</t>
        </is>
      </c>
      <c r="B103" s="18" t="inlineStr">
        <is>
          <t>AGLI TR Units 5-6</t>
        </is>
      </c>
      <c r="C103" s="18" t="inlineStr">
        <is>
          <t>A1679</t>
        </is>
      </c>
      <c r="D103" s="18" t="inlineStr">
        <is>
          <t>Steel bridge Installation 1 - Crane required</t>
        </is>
      </c>
      <c r="E103" s="21" t="inlineStr">
        <is>
          <t>BUFFER</t>
        </is>
      </c>
      <c r="F103" s="18" t="inlineStr">
        <is>
          <t>All</t>
        </is>
      </c>
      <c r="G103" s="20">
        <f>PROJECT_START+43</f>
        <v/>
      </c>
      <c r="H103" s="20">
        <f>G103+I103</f>
        <v/>
      </c>
      <c r="I103" s="18" t="n">
        <v>0.3</v>
      </c>
      <c r="J103" s="18" t="inlineStr"/>
    </row>
    <row r="104">
      <c r="A104" s="18" t="inlineStr">
        <is>
          <t>OPERATIONAL</t>
        </is>
      </c>
      <c r="B104" s="18" t="inlineStr">
        <is>
          <t>AGLI TR Units 5-6</t>
        </is>
      </c>
      <c r="C104" s="18" t="inlineStr">
        <is>
          <t>A1689</t>
        </is>
      </c>
      <c r="D104" s="18" t="inlineStr">
        <is>
          <t>AGL TR Unit 5 (TR Bay 5) load on SPMT; lashing; Transportation and JD (steel set to be delivered to bay area by trailer)</t>
        </is>
      </c>
      <c r="E104" s="21" t="inlineStr">
        <is>
          <t>BUFFER</t>
        </is>
      </c>
      <c r="F104" s="18" t="inlineStr">
        <is>
          <t>All</t>
        </is>
      </c>
      <c r="G104" s="20">
        <f>PROJECT_START+43</f>
        <v/>
      </c>
      <c r="H104" s="20">
        <f>G104+I104</f>
        <v/>
      </c>
      <c r="I104" s="18" t="n">
        <v>0.7</v>
      </c>
      <c r="J104" s="18" t="inlineStr"/>
    </row>
    <row r="105">
      <c r="A105" s="18" t="inlineStr">
        <is>
          <t>OPERATIONAL</t>
        </is>
      </c>
      <c r="B105" s="18" t="inlineStr">
        <is>
          <t>AGLI TR Units 5-6</t>
        </is>
      </c>
      <c r="C105" s="18" t="inlineStr">
        <is>
          <t>A1699</t>
        </is>
      </c>
      <c r="D105" s="18" t="inlineStr">
        <is>
          <t>Turning of AGI TR Unit 5 (TR Bay 5) - 10t Forklift required</t>
        </is>
      </c>
      <c r="E105" s="27" t="inlineStr">
        <is>
          <t>TURNING</t>
        </is>
      </c>
      <c r="F105" s="18" t="inlineStr">
        <is>
          <t>All</t>
        </is>
      </c>
      <c r="G105" s="20">
        <f>PROJECT_START+44</f>
        <v/>
      </c>
      <c r="H105" s="20">
        <f>G105+I105</f>
        <v/>
      </c>
      <c r="I105" s="18">
        <f>DUR_TURN</f>
        <v/>
      </c>
      <c r="J105" s="18" t="inlineStr"/>
    </row>
    <row r="106">
      <c r="A106" s="28" t="inlineStr">
        <is>
          <t>OPERATIONAL</t>
        </is>
      </c>
      <c r="B106" s="28" t="inlineStr">
        <is>
          <t>AGLI TR Units 5-6</t>
        </is>
      </c>
      <c r="C106" s="28" t="inlineStr">
        <is>
          <t>A1709</t>
        </is>
      </c>
      <c r="D106" s="28" t="inlineStr">
        <is>
          <t>Jacking down of AGI TR Unit 5 (TR Bay 5) on temporary support - Forklift required</t>
        </is>
      </c>
      <c r="E106" s="29" t="inlineStr">
        <is>
          <t>JACKDOWN</t>
        </is>
      </c>
      <c r="F106" s="28" t="inlineStr">
        <is>
          <t>All</t>
        </is>
      </c>
      <c r="G106" s="30">
        <f>PROJECT_START+47</f>
        <v/>
      </c>
      <c r="H106" s="30">
        <f>G106+I106</f>
        <v/>
      </c>
      <c r="I106" s="28">
        <f>DUR_JD</f>
        <v/>
      </c>
      <c r="J106" s="28" t="inlineStr"/>
    </row>
    <row r="107">
      <c r="A107" s="18" t="inlineStr">
        <is>
          <t>OPERATIONAL</t>
        </is>
      </c>
      <c r="B107" s="18" t="inlineStr">
        <is>
          <t>AGLI TR Units 5-6</t>
        </is>
      </c>
      <c r="C107" s="18" t="inlineStr">
        <is>
          <t>A1719</t>
        </is>
      </c>
      <c r="D107" s="18" t="inlineStr">
        <is>
          <t>Steel bridge Installation 2 - Crane required</t>
        </is>
      </c>
      <c r="E107" s="21" t="inlineStr">
        <is>
          <t>BUFFER</t>
        </is>
      </c>
      <c r="F107" s="18" t="inlineStr">
        <is>
          <t>All</t>
        </is>
      </c>
      <c r="G107" s="20">
        <f>PROJECT_START+47</f>
        <v/>
      </c>
      <c r="H107" s="20">
        <f>G107+I107</f>
        <v/>
      </c>
      <c r="I107" s="18" t="n">
        <v>0.3</v>
      </c>
      <c r="J107" s="18" t="inlineStr"/>
    </row>
    <row r="108">
      <c r="A108" s="18" t="inlineStr">
        <is>
          <t>OPERATIONAL</t>
        </is>
      </c>
      <c r="B108" s="18" t="inlineStr">
        <is>
          <t>AGLI TR Units 5-6</t>
        </is>
      </c>
      <c r="C108" s="18" t="inlineStr">
        <is>
          <t>A1729</t>
        </is>
      </c>
      <c r="D108" s="18" t="inlineStr">
        <is>
          <t>AGL TR Unit 6 (TR Bay 6) load on SPMT; lashing; Transportation and JD (steel set to be delivered to bay area by trailer)</t>
        </is>
      </c>
      <c r="E108" s="21" t="inlineStr">
        <is>
          <t>BUFFER</t>
        </is>
      </c>
      <c r="F108" s="18" t="inlineStr">
        <is>
          <t>All</t>
        </is>
      </c>
      <c r="G108" s="20">
        <f>PROJECT_START+47</f>
        <v/>
      </c>
      <c r="H108" s="20">
        <f>G108+I108</f>
        <v/>
      </c>
      <c r="I108" s="18" t="n">
        <v>0.7</v>
      </c>
      <c r="J108" s="18" t="inlineStr"/>
    </row>
    <row r="109">
      <c r="A109" s="18" t="inlineStr">
        <is>
          <t>OPERATIONAL</t>
        </is>
      </c>
      <c r="B109" s="18" t="inlineStr">
        <is>
          <t>AGLI TR Units 5-6</t>
        </is>
      </c>
      <c r="C109" s="18" t="inlineStr">
        <is>
          <t>A1739</t>
        </is>
      </c>
      <c r="D109" s="18" t="inlineStr">
        <is>
          <t>Turning of AGI TR Unit 6 (TR Bay 6) - 10t Forklift required</t>
        </is>
      </c>
      <c r="E109" s="27" t="inlineStr">
        <is>
          <t>TURNING</t>
        </is>
      </c>
      <c r="F109" s="18" t="inlineStr">
        <is>
          <t>All</t>
        </is>
      </c>
      <c r="G109" s="20">
        <f>PROJECT_START+48</f>
        <v/>
      </c>
      <c r="H109" s="20">
        <f>G109+I109</f>
        <v/>
      </c>
      <c r="I109" s="18">
        <f>DUR_TURN</f>
        <v/>
      </c>
      <c r="J109" s="18" t="inlineStr"/>
    </row>
    <row r="110">
      <c r="A110" s="28" t="inlineStr">
        <is>
          <t>OPERATIONAL</t>
        </is>
      </c>
      <c r="B110" s="28" t="inlineStr">
        <is>
          <t>AGLI TR Units 5-6</t>
        </is>
      </c>
      <c r="C110" s="28" t="inlineStr">
        <is>
          <t>A1749</t>
        </is>
      </c>
      <c r="D110" s="28" t="inlineStr">
        <is>
          <t>Jacking down of AGI TR Unit 6 (TR Bay 6) on temporary support - Forklift and Crane required</t>
        </is>
      </c>
      <c r="E110" s="29" t="inlineStr">
        <is>
          <t>JACKDOWN</t>
        </is>
      </c>
      <c r="F110" s="28" t="inlineStr">
        <is>
          <t>All</t>
        </is>
      </c>
      <c r="G110" s="30">
        <f>PROJECT_START+51</f>
        <v/>
      </c>
      <c r="H110" s="30">
        <f>G110+I110</f>
        <v/>
      </c>
      <c r="I110" s="28">
        <f>DUR_JD</f>
        <v/>
      </c>
      <c r="J110" s="28" t="inlineStr"/>
    </row>
    <row r="111">
      <c r="A111" s="18" t="inlineStr">
        <is>
          <t>OPERATIONAL</t>
        </is>
      </c>
      <c r="B111" s="18" t="inlineStr">
        <is>
          <t>AGLI TR Units 5-6</t>
        </is>
      </c>
      <c r="C111" s="18" t="inlineStr">
        <is>
          <t>A1759</t>
        </is>
      </c>
      <c r="D111" s="18" t="inlineStr">
        <is>
          <t>SPMT shiifting from TR Bay Area to Jetty; Loading on LCT (if tide allows)</t>
        </is>
      </c>
      <c r="E111" s="21" t="inlineStr">
        <is>
          <t>BUFFER</t>
        </is>
      </c>
      <c r="F111" s="18" t="inlineStr">
        <is>
          <t>All</t>
        </is>
      </c>
      <c r="G111" s="20">
        <f>PROJECT_START+50</f>
        <v/>
      </c>
      <c r="H111" s="20">
        <f>G111+I111</f>
        <v/>
      </c>
      <c r="I111" s="18">
        <f>DUR_BUF</f>
        <v/>
      </c>
      <c r="J111" s="18" t="inlineStr"/>
    </row>
    <row r="112">
      <c r="A112" s="18" t="inlineStr">
        <is>
          <t>OPERATIONAL</t>
        </is>
      </c>
      <c r="B112" s="18" t="inlineStr">
        <is>
          <t>AGLI TR Units 5-6</t>
        </is>
      </c>
      <c r="C112" s="18" t="inlineStr">
        <is>
          <t>A1769</t>
        </is>
      </c>
      <c r="D112" s="18" t="inlineStr">
        <is>
          <t>LCT Sail-away back to Mina Zayed Port; MMT SPMT Crew Demobilization</t>
        </is>
      </c>
      <c r="E112" s="19" t="inlineStr">
        <is>
          <t>MOBILIZATION</t>
        </is>
      </c>
      <c r="F112" s="18" t="inlineStr">
        <is>
          <t>All</t>
        </is>
      </c>
      <c r="G112" s="20">
        <f>PROJECT_START+51</f>
        <v/>
      </c>
      <c r="H112" s="20">
        <f>G112+I112</f>
        <v/>
      </c>
      <c r="I112" s="18">
        <f>DUR_MOB</f>
        <v/>
      </c>
      <c r="J112" s="18" t="inlineStr"/>
    </row>
    <row r="113">
      <c r="A113" s="18" t="inlineStr">
        <is>
          <t>OPERATIONAL</t>
        </is>
      </c>
      <c r="B113" s="18" t="inlineStr">
        <is>
          <t>AGLI TR Units 5-6</t>
        </is>
      </c>
      <c r="C113" s="18" t="inlineStr">
        <is>
          <t>A1779</t>
        </is>
      </c>
      <c r="D113" s="18" t="inlineStr">
        <is>
          <t>MMT Jacking Crew Demobilization</t>
        </is>
      </c>
      <c r="E113" s="19" t="inlineStr">
        <is>
          <t>MOBILIZATION</t>
        </is>
      </c>
      <c r="F113" s="18" t="inlineStr">
        <is>
          <t>All</t>
        </is>
      </c>
      <c r="G113" s="20">
        <f>PROJECT_START+52</f>
        <v/>
      </c>
      <c r="H113" s="20">
        <f>G113+I113</f>
        <v/>
      </c>
      <c r="I113" s="18">
        <f>DUR_MOB</f>
        <v/>
      </c>
      <c r="J113" s="18" t="inlineStr"/>
    </row>
    <row r="114">
      <c r="A114" s="18" t="inlineStr">
        <is>
          <t>OPERATIONAL</t>
        </is>
      </c>
      <c r="B114" s="18" t="inlineStr">
        <is>
          <t>AGL TR Unit 7</t>
        </is>
      </c>
      <c r="C114" s="18" t="inlineStr"/>
      <c r="D114" s="18" t="inlineStr">
        <is>
          <t>AGL TR Unit 7</t>
        </is>
      </c>
      <c r="E114" s="21" t="inlineStr">
        <is>
          <t>BUFFER</t>
        </is>
      </c>
      <c r="F114" s="18" t="inlineStr">
        <is>
          <t>All</t>
        </is>
      </c>
      <c r="G114" s="20">
        <f>PROJECT_START+52</f>
        <v/>
      </c>
      <c r="H114" s="20">
        <f>G114+I114</f>
        <v/>
      </c>
      <c r="I114" s="18" t="n">
        <v>0</v>
      </c>
      <c r="J114" s="18" t="inlineStr"/>
    </row>
    <row r="115">
      <c r="A115" s="18" t="inlineStr">
        <is>
          <t>OPERATIONAL</t>
        </is>
      </c>
      <c r="B115" s="18" t="inlineStr">
        <is>
          <t>AGL TR Unit 7</t>
        </is>
      </c>
      <c r="C115" s="18" t="inlineStr">
        <is>
          <t>A1789</t>
        </is>
      </c>
      <c r="D115" s="18" t="inlineStr">
        <is>
          <t>LCT Arrives to MZP; Deck Preparations</t>
        </is>
      </c>
      <c r="E115" s="22" t="inlineStr">
        <is>
          <t>DECK_PREP</t>
        </is>
      </c>
      <c r="F115" s="18" t="inlineStr">
        <is>
          <t>All</t>
        </is>
      </c>
      <c r="G115" s="20">
        <f>PROJECT_START+52</f>
        <v/>
      </c>
      <c r="H115" s="20">
        <f>G115+I115</f>
        <v/>
      </c>
      <c r="I115" s="18">
        <f>DUR_UL</f>
        <v/>
      </c>
      <c r="J115" s="18" t="inlineStr"/>
    </row>
    <row r="116">
      <c r="A116" s="18" t="inlineStr">
        <is>
          <t>OPERATIONAL</t>
        </is>
      </c>
      <c r="B116" s="18" t="inlineStr">
        <is>
          <t>AGL TR Unit 7</t>
        </is>
      </c>
      <c r="C116" s="18" t="inlineStr">
        <is>
          <t>A1799</t>
        </is>
      </c>
      <c r="D116" s="18" t="inlineStr">
        <is>
          <t>Beam Replacement for TR Unit 7</t>
        </is>
      </c>
      <c r="E116" s="21" t="inlineStr">
        <is>
          <t>BUFFER</t>
        </is>
      </c>
      <c r="F116" s="18" t="inlineStr">
        <is>
          <t>All</t>
        </is>
      </c>
      <c r="G116" s="20">
        <f>PROJECT_START+52</f>
        <v/>
      </c>
      <c r="H116" s="20">
        <f>G116+I116</f>
        <v/>
      </c>
      <c r="I116" s="18">
        <f>DUR_BUF</f>
        <v/>
      </c>
      <c r="J116" s="18" t="inlineStr"/>
    </row>
    <row r="117">
      <c r="A117" s="18" t="inlineStr">
        <is>
          <t>OPERATIONAL</t>
        </is>
      </c>
      <c r="B117" s="18" t="inlineStr">
        <is>
          <t>AGL TR Unit 7</t>
        </is>
      </c>
      <c r="C117" s="18" t="inlineStr">
        <is>
          <t>A1809</t>
        </is>
      </c>
      <c r="D117" s="18" t="inlineStr">
        <is>
          <t>Loading of AGI TR Unit 7 on SPMT; lashing; Shifting to Mina Zayed Port RoRo Jetty area</t>
        </is>
      </c>
      <c r="E117" s="21" t="inlineStr">
        <is>
          <t>BUFFER</t>
        </is>
      </c>
      <c r="F117" s="18" t="inlineStr">
        <is>
          <t>All</t>
        </is>
      </c>
      <c r="G117" s="20">
        <f>PROJECT_START+53</f>
        <v/>
      </c>
      <c r="H117" s="20">
        <f>G117+I117</f>
        <v/>
      </c>
      <c r="I117" s="18" t="n">
        <v>0.3</v>
      </c>
      <c r="J117" s="18" t="inlineStr"/>
    </row>
    <row r="118">
      <c r="A118" s="18" t="inlineStr">
        <is>
          <t>OPERATIONAL</t>
        </is>
      </c>
      <c r="B118" s="18" t="inlineStr">
        <is>
          <t>AGL TR Unit 7</t>
        </is>
      </c>
      <c r="C118" s="18" t="inlineStr">
        <is>
          <t>A1819</t>
        </is>
      </c>
      <c r="D118" s="18" t="inlineStr">
        <is>
          <t>RoRo Ramp Installation - 5t Frokift and Crane required</t>
        </is>
      </c>
      <c r="E118" s="21" t="inlineStr">
        <is>
          <t>BUFFER</t>
        </is>
      </c>
      <c r="F118" s="18" t="inlineStr">
        <is>
          <t>All</t>
        </is>
      </c>
      <c r="G118" s="20">
        <f>PROJECT_START+53</f>
        <v/>
      </c>
      <c r="H118" s="20">
        <f>G118+I118</f>
        <v/>
      </c>
      <c r="I118" s="18" t="n">
        <v>0.3</v>
      </c>
      <c r="J118" s="18" t="inlineStr"/>
    </row>
    <row r="119">
      <c r="A119" s="18" t="inlineStr">
        <is>
          <t>OPERATIONAL</t>
        </is>
      </c>
      <c r="B119" s="18" t="inlineStr">
        <is>
          <t>AGL TR Unit 7</t>
        </is>
      </c>
      <c r="C119" s="18" t="inlineStr">
        <is>
          <t>A1829</t>
        </is>
      </c>
      <c r="D119" s="18" t="inlineStr">
        <is>
          <t>Load-out of AGL TR Unit 7; stool down</t>
        </is>
      </c>
      <c r="E119" s="23" t="inlineStr">
        <is>
          <t>LOADOUT</t>
        </is>
      </c>
      <c r="F119" s="18" t="inlineStr">
        <is>
          <t>All</t>
        </is>
      </c>
      <c r="G119" s="20">
        <f>PROJECT_START+53</f>
        <v/>
      </c>
      <c r="H119" s="20">
        <f>G119+I119</f>
        <v/>
      </c>
      <c r="I119" s="18" t="n">
        <v>0.2</v>
      </c>
      <c r="J119" s="18" t="inlineStr"/>
    </row>
    <row r="120">
      <c r="A120" s="18" t="inlineStr">
        <is>
          <t>OPERATIONAL</t>
        </is>
      </c>
      <c r="B120" s="18" t="inlineStr">
        <is>
          <t>AGL TR Unit 7</t>
        </is>
      </c>
      <c r="C120" s="18" t="inlineStr">
        <is>
          <t>A1839</t>
        </is>
      </c>
      <c r="D120" s="18" t="inlineStr">
        <is>
          <t>RoRo ramp removal; Seafastening AGL TR Unit 7 - Crane required</t>
        </is>
      </c>
      <c r="E120" s="24" t="inlineStr">
        <is>
          <t>SEAFAST</t>
        </is>
      </c>
      <c r="F120" s="18" t="inlineStr">
        <is>
          <t>All</t>
        </is>
      </c>
      <c r="G120" s="20">
        <f>PROJECT_START+54</f>
        <v/>
      </c>
      <c r="H120" s="20">
        <f>G120+I120</f>
        <v/>
      </c>
      <c r="I120" s="18">
        <f>DUR_BUF</f>
        <v/>
      </c>
      <c r="J120" s="18" t="inlineStr"/>
    </row>
    <row r="121">
      <c r="A121" s="18" t="inlineStr">
        <is>
          <t>OPERATIONAL</t>
        </is>
      </c>
      <c r="B121" s="18" t="inlineStr">
        <is>
          <t>AGL TR Unit 7</t>
        </is>
      </c>
      <c r="C121" s="18" t="inlineStr">
        <is>
          <t>A1909</t>
        </is>
      </c>
      <c r="D121" s="18" t="inlineStr">
        <is>
          <t>MWS + MPI + Final Preparations + Sail-away - Marine Transportation by LCT to Al Ghallan Island</t>
        </is>
      </c>
      <c r="E121" s="25" t="inlineStr">
        <is>
          <t>SAIL</t>
        </is>
      </c>
      <c r="F121" s="18" t="inlineStr">
        <is>
          <t>All</t>
        </is>
      </c>
      <c r="G121" s="20">
        <f>PROJECT_START+55</f>
        <v/>
      </c>
      <c r="H121" s="20">
        <f>G121+I121</f>
        <v/>
      </c>
      <c r="I121" s="18">
        <f>DUR_SAIL</f>
        <v/>
      </c>
      <c r="J121" s="18" t="inlineStr"/>
    </row>
    <row r="122">
      <c r="A122" s="18" t="inlineStr">
        <is>
          <t>OPERATIONAL</t>
        </is>
      </c>
      <c r="B122" s="18" t="inlineStr">
        <is>
          <t>AGL TR Unit 7</t>
        </is>
      </c>
      <c r="C122" s="18" t="inlineStr">
        <is>
          <t>A1919</t>
        </is>
      </c>
      <c r="D122" s="18" t="inlineStr">
        <is>
          <t>MMT Crew Mob to AGI; Site Induction; Meeting with Client</t>
        </is>
      </c>
      <c r="E122" s="21" t="inlineStr">
        <is>
          <t>BUFFER</t>
        </is>
      </c>
      <c r="F122" s="18" t="inlineStr">
        <is>
          <t>All</t>
        </is>
      </c>
      <c r="G122" s="20">
        <f>PROJECT_START+55</f>
        <v/>
      </c>
      <c r="H122" s="20">
        <f>G122+I122</f>
        <v/>
      </c>
      <c r="I122" s="18">
        <f>DUR_BUF</f>
        <v/>
      </c>
      <c r="J122" s="18" t="inlineStr"/>
    </row>
    <row r="123">
      <c r="A123" s="18" t="inlineStr">
        <is>
          <t>OPERATIONAL</t>
        </is>
      </c>
      <c r="B123" s="18" t="inlineStr">
        <is>
          <t>AGL TR Unit 7</t>
        </is>
      </c>
      <c r="C123" s="18" t="inlineStr">
        <is>
          <t>A1929</t>
        </is>
      </c>
      <c r="D123" s="18" t="inlineStr">
        <is>
          <t>LCT Arrival; Berthing at AGL RoRo Jetty</t>
        </is>
      </c>
      <c r="E123" s="26" t="inlineStr">
        <is>
          <t>AGI_UNLOAD</t>
        </is>
      </c>
      <c r="F123" s="18" t="inlineStr">
        <is>
          <t>All</t>
        </is>
      </c>
      <c r="G123" s="20">
        <f>PROJECT_START+56</f>
        <v/>
      </c>
      <c r="H123" s="20">
        <f>G123+I123</f>
        <v/>
      </c>
      <c r="I123" s="18">
        <f>DUR_BUF</f>
        <v/>
      </c>
      <c r="J123" s="18" t="inlineStr"/>
    </row>
    <row r="124">
      <c r="A124" s="18" t="inlineStr">
        <is>
          <t>OPERATIONAL</t>
        </is>
      </c>
      <c r="B124" s="18" t="inlineStr">
        <is>
          <t>AGL TR Unit 7</t>
        </is>
      </c>
      <c r="C124" s="18" t="inlineStr">
        <is>
          <t>A1939</t>
        </is>
      </c>
      <c r="D124" s="18" t="inlineStr">
        <is>
          <t>Unlashing and cutting; steel sets preparations - Forklift required</t>
        </is>
      </c>
      <c r="E124" s="21" t="inlineStr">
        <is>
          <t>BUFFER</t>
        </is>
      </c>
      <c r="F124" s="18" t="inlineStr">
        <is>
          <t>All</t>
        </is>
      </c>
      <c r="G124" s="20">
        <f>PROJECT_START+56</f>
        <v/>
      </c>
      <c r="H124" s="20">
        <f>G124+I124</f>
        <v/>
      </c>
      <c r="I124" s="18">
        <f>DUR_BUF</f>
        <v/>
      </c>
      <c r="J124" s="18" t="inlineStr"/>
    </row>
    <row r="125">
      <c r="A125" s="18" t="inlineStr">
        <is>
          <t>OPERATIONAL</t>
        </is>
      </c>
      <c r="B125" s="18" t="inlineStr">
        <is>
          <t>AGL TR Unit 7</t>
        </is>
      </c>
      <c r="C125" s="18" t="inlineStr">
        <is>
          <t>A1949</t>
        </is>
      </c>
      <c r="D125" s="18" t="inlineStr">
        <is>
          <t>Load-in of AGI TR Unit 7 (including RoRo Ramp Installation); store on Jetty - Crane required</t>
        </is>
      </c>
      <c r="E125" s="23" t="inlineStr">
        <is>
          <t>LOADOUT</t>
        </is>
      </c>
      <c r="F125" s="18" t="inlineStr">
        <is>
          <t>All</t>
        </is>
      </c>
      <c r="G125" s="20">
        <f>PROJECT_START+57</f>
        <v/>
      </c>
      <c r="H125" s="20">
        <f>G125+I125</f>
        <v/>
      </c>
      <c r="I125" s="18">
        <f>DUR_UL</f>
        <v/>
      </c>
      <c r="J125" s="18" t="inlineStr"/>
    </row>
    <row r="126">
      <c r="A126" s="18" t="inlineStr">
        <is>
          <t>OPERATIONAL</t>
        </is>
      </c>
      <c r="B126" s="18" t="inlineStr">
        <is>
          <t>AGL TR Unit 7</t>
        </is>
      </c>
      <c r="C126" s="18" t="inlineStr">
        <is>
          <t>A1969</t>
        </is>
      </c>
      <c r="D126" s="18" t="inlineStr">
        <is>
          <t>Steel bridge Installation 1 - Crane required</t>
        </is>
      </c>
      <c r="E126" s="21" t="inlineStr">
        <is>
          <t>BUFFER</t>
        </is>
      </c>
      <c r="F126" s="18" t="inlineStr">
        <is>
          <t>All</t>
        </is>
      </c>
      <c r="G126" s="20">
        <f>PROJECT_START+58</f>
        <v/>
      </c>
      <c r="H126" s="20">
        <f>G126+I126</f>
        <v/>
      </c>
      <c r="I126" s="18" t="n">
        <v>0.3</v>
      </c>
      <c r="J126" s="18" t="inlineStr"/>
    </row>
    <row r="127">
      <c r="A127" s="18" t="inlineStr">
        <is>
          <t>OPERATIONAL</t>
        </is>
      </c>
      <c r="B127" s="18" t="inlineStr">
        <is>
          <t>AGL TR Unit 7</t>
        </is>
      </c>
      <c r="C127" s="18" t="inlineStr">
        <is>
          <t>A1979</t>
        </is>
      </c>
      <c r="D127" s="18" t="inlineStr">
        <is>
          <t>AGL TR Unit 7 (TR Bay 7) load on SPMT; lashing; Transportation and JD (steel set to be delivered to bay area by trailer)</t>
        </is>
      </c>
      <c r="E127" s="21" t="inlineStr">
        <is>
          <t>BUFFER</t>
        </is>
      </c>
      <c r="F127" s="18" t="inlineStr">
        <is>
          <t>All</t>
        </is>
      </c>
      <c r="G127" s="20">
        <f>PROJECT_START+58</f>
        <v/>
      </c>
      <c r="H127" s="20">
        <f>G127+I127</f>
        <v/>
      </c>
      <c r="I127" s="18" t="n">
        <v>0.7</v>
      </c>
      <c r="J127" s="18" t="inlineStr"/>
    </row>
    <row r="128">
      <c r="A128" s="18" t="inlineStr">
        <is>
          <t>OPERATIONAL</t>
        </is>
      </c>
      <c r="B128" s="18" t="inlineStr">
        <is>
          <t>AGL TR Unit 7</t>
        </is>
      </c>
      <c r="C128" s="18" t="inlineStr">
        <is>
          <t>A1989</t>
        </is>
      </c>
      <c r="D128" s="18" t="inlineStr">
        <is>
          <t>Turning of AGI TR Unit 7 (TR Bay 7) - 10t Forklift required</t>
        </is>
      </c>
      <c r="E128" s="27" t="inlineStr">
        <is>
          <t>TURNING</t>
        </is>
      </c>
      <c r="F128" s="18" t="inlineStr">
        <is>
          <t>All</t>
        </is>
      </c>
      <c r="G128" s="20">
        <f>PROJECT_START+59</f>
        <v/>
      </c>
      <c r="H128" s="20">
        <f>G128+I128</f>
        <v/>
      </c>
      <c r="I128" s="18">
        <f>DUR_TURN</f>
        <v/>
      </c>
      <c r="J128" s="18" t="inlineStr"/>
    </row>
    <row r="129">
      <c r="A129" s="28" t="inlineStr">
        <is>
          <t>OPERATIONAL</t>
        </is>
      </c>
      <c r="B129" s="28" t="inlineStr">
        <is>
          <t>AGL TR Unit 7</t>
        </is>
      </c>
      <c r="C129" s="28" t="inlineStr">
        <is>
          <t>A1999</t>
        </is>
      </c>
      <c r="D129" s="28" t="inlineStr">
        <is>
          <t>Jacking down of AGI TR Unit 7 (TR Bay 7) on temporary support - Forklift required</t>
        </is>
      </c>
      <c r="E129" s="29" t="inlineStr">
        <is>
          <t>JACKDOWN</t>
        </is>
      </c>
      <c r="F129" s="28" t="inlineStr">
        <is>
          <t>All</t>
        </is>
      </c>
      <c r="G129" s="30">
        <f>PROJECT_START+62</f>
        <v/>
      </c>
      <c r="H129" s="30">
        <f>G129+I129</f>
        <v/>
      </c>
      <c r="I129" s="28">
        <f>DUR_JD</f>
        <v/>
      </c>
      <c r="J129" s="28" t="inlineStr"/>
    </row>
  </sheetData>
  <mergeCells count="3">
    <mergeCell ref="A1:J1"/>
    <mergeCell ref="A3:J3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T128"/>
  <sheetViews>
    <sheetView workbookViewId="0">
      <pane xSplit="4" ySplit="4" topLeftCell="E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45" customWidth="1" min="4" max="4"/>
    <col width="2.5" customWidth="1" min="5" max="5"/>
    <col width="2.5" customWidth="1" min="6" max="6"/>
    <col width="2.5" customWidth="1" min="7" max="7"/>
    <col width="2.5" customWidth="1" min="8" max="8"/>
    <col width="2.5" customWidth="1" min="9" max="9"/>
    <col width="2.5" customWidth="1" min="10" max="10"/>
    <col width="2.5" customWidth="1" min="11" max="11"/>
    <col width="2.5" customWidth="1" min="12" max="12"/>
    <col width="2.5" customWidth="1" min="13" max="13"/>
    <col width="2.5" customWidth="1" min="14" max="14"/>
    <col width="2.5" customWidth="1" min="15" max="15"/>
    <col width="2.5" customWidth="1" min="16" max="16"/>
    <col width="2.5" customWidth="1" min="17" max="17"/>
    <col width="2.5" customWidth="1" min="18" max="18"/>
    <col width="2.5" customWidth="1" min="19" max="19"/>
    <col width="2.5" customWidth="1" min="20" max="20"/>
    <col width="2.5" customWidth="1" min="21" max="21"/>
    <col width="2.5" customWidth="1" min="22" max="22"/>
    <col width="2.5" customWidth="1" min="23" max="23"/>
    <col width="2.5" customWidth="1" min="24" max="24"/>
    <col width="2.5" customWidth="1" min="25" max="25"/>
    <col width="2.5" customWidth="1" min="26" max="26"/>
    <col width="2.5" customWidth="1" min="27" max="27"/>
    <col width="2.5" customWidth="1" min="28" max="28"/>
    <col width="2.5" customWidth="1" min="29" max="29"/>
    <col width="2.5" customWidth="1" min="30" max="30"/>
    <col width="2.5" customWidth="1" min="31" max="31"/>
    <col width="2.5" customWidth="1" min="32" max="32"/>
    <col width="2.5" customWidth="1" min="33" max="33"/>
    <col width="2.5" customWidth="1" min="34" max="34"/>
    <col width="2.5" customWidth="1" min="35" max="35"/>
    <col width="2.5" customWidth="1" min="36" max="36"/>
    <col width="2.5" customWidth="1" min="37" max="37"/>
    <col width="2.5" customWidth="1" min="38" max="38"/>
    <col width="2.5" customWidth="1" min="39" max="39"/>
    <col width="2.5" customWidth="1" min="40" max="40"/>
    <col width="2.5" customWidth="1" min="41" max="41"/>
    <col width="2.5" customWidth="1" min="42" max="42"/>
    <col width="2.5" customWidth="1" min="43" max="43"/>
    <col width="2.5" customWidth="1" min="44" max="44"/>
    <col width="2.5" customWidth="1" min="45" max="45"/>
    <col width="2.5" customWidth="1" min="46" max="46"/>
    <col width="2.5" customWidth="1" min="47" max="47"/>
    <col width="2.5" customWidth="1" min="48" max="48"/>
    <col width="2.5" customWidth="1" min="49" max="49"/>
    <col width="2.5" customWidth="1" min="50" max="50"/>
    <col width="2.5" customWidth="1" min="51" max="51"/>
    <col width="2.5" customWidth="1" min="52" max="52"/>
    <col width="2.5" customWidth="1" min="53" max="53"/>
    <col width="2.5" customWidth="1" min="54" max="54"/>
    <col width="2.5" customWidth="1" min="55" max="55"/>
    <col width="2.5" customWidth="1" min="56" max="56"/>
    <col width="2.5" customWidth="1" min="57" max="57"/>
    <col width="2.5" customWidth="1" min="58" max="58"/>
    <col width="2.5" customWidth="1" min="59" max="59"/>
    <col width="2.5" customWidth="1" min="60" max="60"/>
    <col width="2.5" customWidth="1" min="61" max="61"/>
    <col width="2.5" customWidth="1" min="62" max="62"/>
    <col width="2.5" customWidth="1" min="63" max="63"/>
    <col width="2.5" customWidth="1" min="64" max="64"/>
    <col width="2.5" customWidth="1" min="65" max="65"/>
    <col width="2.5" customWidth="1" min="66" max="66"/>
    <col width="2.5" customWidth="1" min="67" max="67"/>
    <col width="2.5" customWidth="1" min="68" max="68"/>
    <col width="2.5" customWidth="1" min="69" max="69"/>
    <col width="2.5" customWidth="1" min="70" max="70"/>
    <col width="2.5" customWidth="1" min="71" max="71"/>
    <col width="2.5" customWidth="1" min="72" max="72"/>
    <col width="2.5" customWidth="1" min="73" max="73"/>
    <col width="2.5" customWidth="1" min="74" max="74"/>
    <col width="2.5" customWidth="1" min="75" max="75"/>
    <col width="2.5" customWidth="1" min="76" max="76"/>
    <col width="2.5" customWidth="1" min="77" max="77"/>
    <col width="2.5" customWidth="1" min="78" max="78"/>
    <col width="2.5" customWidth="1" min="79" max="79"/>
    <col width="2.5" customWidth="1" min="80" max="80"/>
    <col width="2.5" customWidth="1" min="81" max="81"/>
    <col width="2.5" customWidth="1" min="82" max="82"/>
    <col width="2.5" customWidth="1" min="83" max="83"/>
    <col width="2.5" customWidth="1" min="84" max="84"/>
    <col width="2.5" customWidth="1" min="85" max="85"/>
    <col width="2.5" customWidth="1" min="86" max="86"/>
    <col width="2.5" customWidth="1" min="87" max="87"/>
    <col width="2.5" customWidth="1" min="88" max="88"/>
    <col width="2.5" customWidth="1" min="89" max="89"/>
    <col width="2.5" customWidth="1" min="90" max="90"/>
    <col width="2.5" customWidth="1" min="91" max="91"/>
    <col width="2.5" customWidth="1" min="92" max="92"/>
    <col width="2.5" customWidth="1" min="93" max="93"/>
    <col width="2.5" customWidth="1" min="94" max="94"/>
    <col width="2.5" customWidth="1" min="95" max="95"/>
    <col width="2.5" customWidth="1" min="96" max="96"/>
    <col width="2.5" customWidth="1" min="97" max="97"/>
    <col width="2.5" customWidth="1" min="98" max="98"/>
    <col width="2.5" customWidth="1" min="99" max="99"/>
    <col width="2.5" customWidth="1" min="100" max="100"/>
    <col width="2.5" customWidth="1" min="101" max="101"/>
    <col width="2.5" customWidth="1" min="102" max="102"/>
    <col width="2.5" customWidth="1" min="103" max="103"/>
    <col width="2.5" customWidth="1" min="104" max="104"/>
    <col width="2.5" customWidth="1" min="105" max="105"/>
    <col width="2.5" customWidth="1" min="106" max="106"/>
    <col width="2.5" customWidth="1" min="107" max="107"/>
    <col width="2.5" customWidth="1" min="108" max="108"/>
    <col width="2.5" customWidth="1" min="109" max="109"/>
    <col width="2.5" customWidth="1" min="110" max="110"/>
    <col width="2.5" customWidth="1" min="111" max="111"/>
    <col width="2.5" customWidth="1" min="112" max="112"/>
    <col width="2.5" customWidth="1" min="113" max="113"/>
    <col width="2.5" customWidth="1" min="114" max="114"/>
    <col width="2.5" customWidth="1" min="115" max="115"/>
    <col width="2.5" customWidth="1" min="116" max="116"/>
    <col width="2.5" customWidth="1" min="117" max="117"/>
    <col width="2.5" customWidth="1" min="118" max="118"/>
    <col width="2.5" customWidth="1" min="119" max="119"/>
    <col width="2.5" customWidth="1" min="120" max="120"/>
    <col width="2.5" customWidth="1" min="121" max="121"/>
    <col width="2.5" customWidth="1" min="122" max="122"/>
    <col width="2.5" customWidth="1" min="123" max="123"/>
    <col width="2.5" customWidth="1" min="124" max="124"/>
  </cols>
  <sheetData>
    <row r="1">
      <c r="A1" s="31" t="inlineStr">
        <is>
          <t>AGI TR Transportation - Option_B Gantt Chart</t>
        </is>
      </c>
    </row>
    <row r="2">
      <c r="A2" s="16" t="inlineStr">
        <is>
          <t>Orange Zone = Winter Shamal Risk Period (Jan 15-Apr 30) | Tide ≥1.90m + Weather Gate | VBA: RefreshGanttChart_Option_B로 색상 갱신</t>
        </is>
      </c>
    </row>
    <row r="3">
      <c r="A3" s="5" t="inlineStr">
        <is>
          <t>Jan 2026</t>
        </is>
      </c>
    </row>
    <row r="4">
      <c r="A4" s="32" t="inlineStr">
        <is>
          <t>Type A</t>
        </is>
      </c>
      <c r="B4" s="32" t="inlineStr">
        <is>
          <t>Type B</t>
        </is>
      </c>
      <c r="C4" s="32" t="inlineStr">
        <is>
          <t>Activity ID</t>
        </is>
      </c>
      <c r="D4" s="32" t="inlineStr">
        <is>
          <t>Activity Name</t>
        </is>
      </c>
      <c r="E4" s="33">
        <f>PROJECT_START+0</f>
        <v/>
      </c>
      <c r="F4" s="33">
        <f>PROJECT_START+1</f>
        <v/>
      </c>
      <c r="G4" s="33">
        <f>PROJECT_START+2</f>
        <v/>
      </c>
      <c r="H4" s="33">
        <f>PROJECT_START+3</f>
        <v/>
      </c>
      <c r="I4" s="33">
        <f>PROJECT_START+4</f>
        <v/>
      </c>
      <c r="J4" s="33">
        <f>PROJECT_START+5</f>
        <v/>
      </c>
      <c r="K4" s="33">
        <f>PROJECT_START+6</f>
        <v/>
      </c>
      <c r="L4" s="33">
        <f>PROJECT_START+7</f>
        <v/>
      </c>
      <c r="M4" s="33">
        <f>PROJECT_START+8</f>
        <v/>
      </c>
      <c r="N4" s="33">
        <f>PROJECT_START+9</f>
        <v/>
      </c>
      <c r="O4" s="33">
        <f>PROJECT_START+10</f>
        <v/>
      </c>
      <c r="P4" s="33">
        <f>PROJECT_START+11</f>
        <v/>
      </c>
      <c r="Q4" s="33">
        <f>PROJECT_START+12</f>
        <v/>
      </c>
      <c r="R4" s="33">
        <f>PROJECT_START+13</f>
        <v/>
      </c>
      <c r="S4" s="33">
        <f>PROJECT_START+14</f>
        <v/>
      </c>
      <c r="T4" s="33">
        <f>PROJECT_START+15</f>
        <v/>
      </c>
      <c r="U4" s="33">
        <f>PROJECT_START+16</f>
        <v/>
      </c>
      <c r="V4" s="33">
        <f>PROJECT_START+17</f>
        <v/>
      </c>
      <c r="W4" s="33">
        <f>PROJECT_START+18</f>
        <v/>
      </c>
      <c r="X4" s="33">
        <f>PROJECT_START+19</f>
        <v/>
      </c>
      <c r="Y4" s="33">
        <f>PROJECT_START+20</f>
        <v/>
      </c>
      <c r="Z4" s="33">
        <f>PROJECT_START+21</f>
        <v/>
      </c>
      <c r="AA4" s="33">
        <f>PROJECT_START+22</f>
        <v/>
      </c>
      <c r="AB4" s="33">
        <f>PROJECT_START+23</f>
        <v/>
      </c>
      <c r="AC4" s="33">
        <f>PROJECT_START+24</f>
        <v/>
      </c>
      <c r="AD4" s="33">
        <f>PROJECT_START+25</f>
        <v/>
      </c>
      <c r="AE4" s="33">
        <f>PROJECT_START+26</f>
        <v/>
      </c>
      <c r="AF4" s="33">
        <f>PROJECT_START+27</f>
        <v/>
      </c>
      <c r="AG4" s="33">
        <f>PROJECT_START+28</f>
        <v/>
      </c>
      <c r="AH4" s="33">
        <f>PROJECT_START+29</f>
        <v/>
      </c>
      <c r="AI4" s="33">
        <f>PROJECT_START+30</f>
        <v/>
      </c>
      <c r="AJ4" s="33">
        <f>PROJECT_START+31</f>
        <v/>
      </c>
      <c r="AK4" s="33">
        <f>PROJECT_START+32</f>
        <v/>
      </c>
      <c r="AL4" s="33">
        <f>PROJECT_START+33</f>
        <v/>
      </c>
      <c r="AM4" s="33">
        <f>PROJECT_START+34</f>
        <v/>
      </c>
      <c r="AN4" s="33">
        <f>PROJECT_START+35</f>
        <v/>
      </c>
      <c r="AO4" s="33">
        <f>PROJECT_START+36</f>
        <v/>
      </c>
      <c r="AP4" s="33">
        <f>PROJECT_START+37</f>
        <v/>
      </c>
      <c r="AQ4" s="33">
        <f>PROJECT_START+38</f>
        <v/>
      </c>
      <c r="AR4" s="33">
        <f>PROJECT_START+39</f>
        <v/>
      </c>
      <c r="AS4" s="33">
        <f>PROJECT_START+40</f>
        <v/>
      </c>
      <c r="AT4" s="33">
        <f>PROJECT_START+41</f>
        <v/>
      </c>
      <c r="AU4" s="33">
        <f>PROJECT_START+42</f>
        <v/>
      </c>
      <c r="AV4" s="33">
        <f>PROJECT_START+43</f>
        <v/>
      </c>
      <c r="AW4" s="33">
        <f>PROJECT_START+44</f>
        <v/>
      </c>
      <c r="AX4" s="33">
        <f>PROJECT_START+45</f>
        <v/>
      </c>
      <c r="AY4" s="33">
        <f>PROJECT_START+46</f>
        <v/>
      </c>
      <c r="AZ4" s="33">
        <f>PROJECT_START+47</f>
        <v/>
      </c>
      <c r="BA4" s="33">
        <f>PROJECT_START+48</f>
        <v/>
      </c>
      <c r="BB4" s="33">
        <f>PROJECT_START+49</f>
        <v/>
      </c>
      <c r="BC4" s="33">
        <f>PROJECT_START+50</f>
        <v/>
      </c>
      <c r="BD4" s="33">
        <f>PROJECT_START+51</f>
        <v/>
      </c>
      <c r="BE4" s="33">
        <f>PROJECT_START+52</f>
        <v/>
      </c>
      <c r="BF4" s="33">
        <f>PROJECT_START+53</f>
        <v/>
      </c>
      <c r="BG4" s="33">
        <f>PROJECT_START+54</f>
        <v/>
      </c>
      <c r="BH4" s="33">
        <f>PROJECT_START+55</f>
        <v/>
      </c>
      <c r="BI4" s="33">
        <f>PROJECT_START+56</f>
        <v/>
      </c>
      <c r="BJ4" s="33">
        <f>PROJECT_START+57</f>
        <v/>
      </c>
      <c r="BK4" s="33">
        <f>PROJECT_START+58</f>
        <v/>
      </c>
      <c r="BL4" s="33">
        <f>PROJECT_START+59</f>
        <v/>
      </c>
      <c r="BM4" s="33">
        <f>PROJECT_START+60</f>
        <v/>
      </c>
      <c r="BN4" s="33">
        <f>PROJECT_START+61</f>
        <v/>
      </c>
      <c r="BO4" s="33">
        <f>PROJECT_START+62</f>
        <v/>
      </c>
      <c r="BP4" s="33">
        <f>PROJECT_START+63</f>
        <v/>
      </c>
      <c r="BQ4" s="33">
        <f>PROJECT_START+64</f>
        <v/>
      </c>
      <c r="BR4" s="33">
        <f>PROJECT_START+65</f>
        <v/>
      </c>
      <c r="BS4" s="33">
        <f>PROJECT_START+66</f>
        <v/>
      </c>
      <c r="BT4" s="33">
        <f>PROJECT_START+67</f>
        <v/>
      </c>
      <c r="BU4" s="33">
        <f>PROJECT_START+68</f>
        <v/>
      </c>
      <c r="BV4" s="33">
        <f>PROJECT_START+69</f>
        <v/>
      </c>
      <c r="BW4" s="33">
        <f>PROJECT_START+70</f>
        <v/>
      </c>
      <c r="BX4" s="33">
        <f>PROJECT_START+71</f>
        <v/>
      </c>
      <c r="BY4" s="33">
        <f>PROJECT_START+72</f>
        <v/>
      </c>
      <c r="BZ4" s="33">
        <f>PROJECT_START+73</f>
        <v/>
      </c>
      <c r="CA4" s="33">
        <f>PROJECT_START+74</f>
        <v/>
      </c>
      <c r="CB4" s="33">
        <f>PROJECT_START+75</f>
        <v/>
      </c>
      <c r="CC4" s="33">
        <f>PROJECT_START+76</f>
        <v/>
      </c>
      <c r="CD4" s="33">
        <f>PROJECT_START+77</f>
        <v/>
      </c>
      <c r="CE4" s="33">
        <f>PROJECT_START+78</f>
        <v/>
      </c>
      <c r="CF4" s="33">
        <f>PROJECT_START+79</f>
        <v/>
      </c>
      <c r="CG4" s="33">
        <f>PROJECT_START+80</f>
        <v/>
      </c>
      <c r="CH4" s="33">
        <f>PROJECT_START+81</f>
        <v/>
      </c>
      <c r="CI4" s="33">
        <f>PROJECT_START+82</f>
        <v/>
      </c>
      <c r="CJ4" s="33">
        <f>PROJECT_START+83</f>
        <v/>
      </c>
      <c r="CK4" s="33">
        <f>PROJECT_START+84</f>
        <v/>
      </c>
      <c r="CL4" s="33">
        <f>PROJECT_START+85</f>
        <v/>
      </c>
      <c r="CM4" s="33">
        <f>PROJECT_START+86</f>
        <v/>
      </c>
      <c r="CN4" s="33">
        <f>PROJECT_START+87</f>
        <v/>
      </c>
      <c r="CO4" s="33">
        <f>PROJECT_START+88</f>
        <v/>
      </c>
      <c r="CP4" s="33">
        <f>PROJECT_START+89</f>
        <v/>
      </c>
      <c r="CQ4" s="33">
        <f>PROJECT_START+90</f>
        <v/>
      </c>
      <c r="CR4" s="33">
        <f>PROJECT_START+91</f>
        <v/>
      </c>
      <c r="CS4" s="33">
        <f>PROJECT_START+92</f>
        <v/>
      </c>
      <c r="CT4" s="33">
        <f>PROJECT_START+93</f>
        <v/>
      </c>
      <c r="CU4" s="33">
        <f>PROJECT_START+94</f>
        <v/>
      </c>
      <c r="CV4" s="34">
        <f>PROJECT_START+95</f>
        <v/>
      </c>
      <c r="CW4" s="34">
        <f>PROJECT_START+96</f>
        <v/>
      </c>
      <c r="CX4" s="34">
        <f>PROJECT_START+97</f>
        <v/>
      </c>
      <c r="CY4" s="34">
        <f>PROJECT_START+98</f>
        <v/>
      </c>
      <c r="CZ4" s="34">
        <f>PROJECT_START+99</f>
        <v/>
      </c>
      <c r="DA4" s="34">
        <f>PROJECT_START+100</f>
        <v/>
      </c>
      <c r="DB4" s="34">
        <f>PROJECT_START+101</f>
        <v/>
      </c>
      <c r="DC4" s="34">
        <f>PROJECT_START+102</f>
        <v/>
      </c>
      <c r="DD4" s="34">
        <f>PROJECT_START+103</f>
        <v/>
      </c>
      <c r="DE4" s="34">
        <f>PROJECT_START+104</f>
        <v/>
      </c>
      <c r="DF4" s="34">
        <f>PROJECT_START+105</f>
        <v/>
      </c>
      <c r="DG4" s="34">
        <f>PROJECT_START+106</f>
        <v/>
      </c>
      <c r="DH4" s="34">
        <f>PROJECT_START+107</f>
        <v/>
      </c>
      <c r="DI4" s="34">
        <f>PROJECT_START+108</f>
        <v/>
      </c>
      <c r="DJ4" s="34">
        <f>PROJECT_START+109</f>
        <v/>
      </c>
      <c r="DK4" s="34">
        <f>PROJECT_START+110</f>
        <v/>
      </c>
      <c r="DL4" s="34">
        <f>PROJECT_START+111</f>
        <v/>
      </c>
      <c r="DM4" s="34">
        <f>PROJECT_START+112</f>
        <v/>
      </c>
      <c r="DN4" s="34">
        <f>PROJECT_START+113</f>
        <v/>
      </c>
      <c r="DO4" s="34">
        <f>PROJECT_START+114</f>
        <v/>
      </c>
      <c r="DP4" s="34">
        <f>PROJECT_START+115</f>
        <v/>
      </c>
      <c r="DQ4" s="34">
        <f>PROJECT_START+116</f>
        <v/>
      </c>
      <c r="DR4" s="34">
        <f>PROJECT_START+117</f>
        <v/>
      </c>
      <c r="DS4" s="34">
        <f>PROJECT_START+118</f>
        <v/>
      </c>
      <c r="DT4" s="34">
        <f>PROJECT_START+119</f>
        <v/>
      </c>
    </row>
    <row r="5">
      <c r="A5" s="18">
        <f>'Schedule_Data_Option_B'!A6</f>
        <v/>
      </c>
      <c r="B5" s="18">
        <f>'Schedule_Data_Option_B'!B6</f>
        <v/>
      </c>
      <c r="C5" s="18">
        <f>'Schedule_Data_Option_B'!C6</f>
        <v/>
      </c>
      <c r="D5" s="19">
        <f>'Schedule_Data_Option_B'!D6</f>
        <v/>
      </c>
      <c r="E5" s="35" t="inlineStr">
        <is>
          <t>*</t>
        </is>
      </c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18" t="n"/>
      <c r="W5" s="18" t="n"/>
      <c r="X5" s="18" t="n"/>
      <c r="Y5" s="18" t="n"/>
      <c r="Z5" s="18" t="n"/>
      <c r="AA5" s="18" t="n"/>
      <c r="AB5" s="18" t="n"/>
      <c r="AC5" s="18" t="n"/>
      <c r="AD5" s="18" t="n"/>
      <c r="AE5" s="18" t="n"/>
      <c r="AF5" s="18" t="n"/>
      <c r="AG5" s="18" t="n"/>
      <c r="AH5" s="18" t="n"/>
      <c r="AI5" s="18" t="n"/>
      <c r="AJ5" s="18" t="n"/>
      <c r="AK5" s="18" t="n"/>
      <c r="AL5" s="18" t="n"/>
      <c r="AM5" s="18" t="n"/>
      <c r="AN5" s="18" t="n"/>
      <c r="AO5" s="18" t="n"/>
      <c r="AP5" s="18" t="n"/>
      <c r="AQ5" s="18" t="n"/>
      <c r="AR5" s="18" t="n"/>
      <c r="AS5" s="18" t="n"/>
      <c r="AT5" s="18" t="n"/>
      <c r="AU5" s="18" t="n"/>
      <c r="AV5" s="18" t="n"/>
      <c r="AW5" s="18" t="n"/>
      <c r="AX5" s="18" t="n"/>
      <c r="AY5" s="18" t="n"/>
      <c r="AZ5" s="18" t="n"/>
      <c r="BA5" s="18" t="n"/>
      <c r="BB5" s="18" t="n"/>
      <c r="BC5" s="18" t="n"/>
      <c r="BD5" s="18" t="n"/>
      <c r="BE5" s="18" t="n"/>
      <c r="BF5" s="18" t="n"/>
      <c r="BG5" s="18" t="n"/>
      <c r="BH5" s="18" t="n"/>
      <c r="BI5" s="18" t="n"/>
      <c r="BJ5" s="18" t="n"/>
      <c r="BK5" s="18" t="n"/>
      <c r="BL5" s="18" t="n"/>
      <c r="BM5" s="18" t="n"/>
      <c r="BN5" s="18" t="n"/>
      <c r="BO5" s="18" t="n"/>
      <c r="BP5" s="18" t="n"/>
      <c r="BQ5" s="18" t="n"/>
      <c r="BR5" s="18" t="n"/>
      <c r="BS5" s="18" t="n"/>
      <c r="BT5" s="18" t="n"/>
      <c r="BU5" s="18" t="n"/>
      <c r="BV5" s="18" t="n"/>
      <c r="BW5" s="18" t="n"/>
      <c r="BX5" s="18" t="n"/>
      <c r="BY5" s="18" t="n"/>
      <c r="BZ5" s="18" t="n"/>
      <c r="CA5" s="18" t="n"/>
      <c r="CB5" s="18" t="n"/>
      <c r="CC5" s="18" t="n"/>
      <c r="CD5" s="18" t="n"/>
      <c r="CE5" s="18" t="n"/>
      <c r="CF5" s="18" t="n"/>
      <c r="CG5" s="18" t="n"/>
      <c r="CH5" s="18" t="n"/>
      <c r="CI5" s="18" t="n"/>
      <c r="CJ5" s="18" t="n"/>
      <c r="CK5" s="18" t="n"/>
      <c r="CL5" s="18" t="n"/>
      <c r="CM5" s="18" t="n"/>
      <c r="CN5" s="18" t="n"/>
      <c r="CO5" s="18" t="n"/>
      <c r="CP5" s="18" t="n"/>
      <c r="CQ5" s="18" t="n"/>
      <c r="CR5" s="18" t="n"/>
      <c r="CS5" s="18" t="n"/>
      <c r="CT5" s="18" t="n"/>
      <c r="CU5" s="18" t="n"/>
      <c r="CV5" s="18" t="n"/>
      <c r="CW5" s="18" t="n"/>
      <c r="CX5" s="18" t="n"/>
      <c r="CY5" s="18" t="n"/>
      <c r="CZ5" s="18" t="n"/>
      <c r="DA5" s="18" t="n"/>
      <c r="DB5" s="18" t="n"/>
      <c r="DC5" s="18" t="n"/>
      <c r="DD5" s="18" t="n"/>
      <c r="DE5" s="18" t="n"/>
      <c r="DF5" s="18" t="n"/>
      <c r="DG5" s="18" t="n"/>
      <c r="DH5" s="18" t="n"/>
      <c r="DI5" s="18" t="n"/>
      <c r="DJ5" s="18" t="n"/>
      <c r="DK5" s="18" t="n"/>
      <c r="DL5" s="18" t="n"/>
      <c r="DM5" s="18" t="n"/>
      <c r="DN5" s="18" t="n"/>
      <c r="DO5" s="18" t="n"/>
      <c r="DP5" s="18" t="n"/>
      <c r="DQ5" s="18" t="n"/>
      <c r="DR5" s="18" t="n"/>
      <c r="DS5" s="18" t="n"/>
      <c r="DT5" s="18" t="n"/>
    </row>
    <row r="6">
      <c r="A6" s="18">
        <f>'Schedule_Data_Option_B'!A7</f>
        <v/>
      </c>
      <c r="B6" s="18">
        <f>'Schedule_Data_Option_B'!B7</f>
        <v/>
      </c>
      <c r="C6" s="18">
        <f>'Schedule_Data_Option_B'!C7</f>
        <v/>
      </c>
      <c r="D6" s="21">
        <f>'Schedule_Data_Option_B'!D7</f>
        <v/>
      </c>
      <c r="E6" s="36" t="inlineStr">
        <is>
          <t>*</t>
        </is>
      </c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  <c r="AA6" s="18" t="n"/>
      <c r="AB6" s="18" t="n"/>
      <c r="AC6" s="18" t="n"/>
      <c r="AD6" s="18" t="n"/>
      <c r="AE6" s="18" t="n"/>
      <c r="AF6" s="18" t="n"/>
      <c r="AG6" s="18" t="n"/>
      <c r="AH6" s="18" t="n"/>
      <c r="AI6" s="18" t="n"/>
      <c r="AJ6" s="18" t="n"/>
      <c r="AK6" s="18" t="n"/>
      <c r="AL6" s="18" t="n"/>
      <c r="AM6" s="18" t="n"/>
      <c r="AN6" s="18" t="n"/>
      <c r="AO6" s="18" t="n"/>
      <c r="AP6" s="18" t="n"/>
      <c r="AQ6" s="18" t="n"/>
      <c r="AR6" s="18" t="n"/>
      <c r="AS6" s="18" t="n"/>
      <c r="AT6" s="18" t="n"/>
      <c r="AU6" s="18" t="n"/>
      <c r="AV6" s="18" t="n"/>
      <c r="AW6" s="18" t="n"/>
      <c r="AX6" s="18" t="n"/>
      <c r="AY6" s="18" t="n"/>
      <c r="AZ6" s="18" t="n"/>
      <c r="BA6" s="18" t="n"/>
      <c r="BB6" s="18" t="n"/>
      <c r="BC6" s="18" t="n"/>
      <c r="BD6" s="18" t="n"/>
      <c r="BE6" s="18" t="n"/>
      <c r="BF6" s="18" t="n"/>
      <c r="BG6" s="18" t="n"/>
      <c r="BH6" s="18" t="n"/>
      <c r="BI6" s="18" t="n"/>
      <c r="BJ6" s="18" t="n"/>
      <c r="BK6" s="18" t="n"/>
      <c r="BL6" s="18" t="n"/>
      <c r="BM6" s="18" t="n"/>
      <c r="BN6" s="18" t="n"/>
      <c r="BO6" s="18" t="n"/>
      <c r="BP6" s="18" t="n"/>
      <c r="BQ6" s="18" t="n"/>
      <c r="BR6" s="18" t="n"/>
      <c r="BS6" s="18" t="n"/>
      <c r="BT6" s="18" t="n"/>
      <c r="BU6" s="18" t="n"/>
      <c r="BV6" s="18" t="n"/>
      <c r="BW6" s="18" t="n"/>
      <c r="BX6" s="18" t="n"/>
      <c r="BY6" s="18" t="n"/>
      <c r="BZ6" s="18" t="n"/>
      <c r="CA6" s="18" t="n"/>
      <c r="CB6" s="18" t="n"/>
      <c r="CC6" s="18" t="n"/>
      <c r="CD6" s="18" t="n"/>
      <c r="CE6" s="18" t="n"/>
      <c r="CF6" s="18" t="n"/>
      <c r="CG6" s="18" t="n"/>
      <c r="CH6" s="18" t="n"/>
      <c r="CI6" s="18" t="n"/>
      <c r="CJ6" s="18" t="n"/>
      <c r="CK6" s="18" t="n"/>
      <c r="CL6" s="18" t="n"/>
      <c r="CM6" s="18" t="n"/>
      <c r="CN6" s="18" t="n"/>
      <c r="CO6" s="18" t="n"/>
      <c r="CP6" s="18" t="n"/>
      <c r="CQ6" s="18" t="n"/>
      <c r="CR6" s="18" t="n"/>
      <c r="CS6" s="18" t="n"/>
      <c r="CT6" s="18" t="n"/>
      <c r="CU6" s="18" t="n"/>
      <c r="CV6" s="18" t="n"/>
      <c r="CW6" s="18" t="n"/>
      <c r="CX6" s="18" t="n"/>
      <c r="CY6" s="18" t="n"/>
      <c r="CZ6" s="18" t="n"/>
      <c r="DA6" s="18" t="n"/>
      <c r="DB6" s="18" t="n"/>
      <c r="DC6" s="18" t="n"/>
      <c r="DD6" s="18" t="n"/>
      <c r="DE6" s="18" t="n"/>
      <c r="DF6" s="18" t="n"/>
      <c r="DG6" s="18" t="n"/>
      <c r="DH6" s="18" t="n"/>
      <c r="DI6" s="18" t="n"/>
      <c r="DJ6" s="18" t="n"/>
      <c r="DK6" s="18" t="n"/>
      <c r="DL6" s="18" t="n"/>
      <c r="DM6" s="18" t="n"/>
      <c r="DN6" s="18" t="n"/>
      <c r="DO6" s="18" t="n"/>
      <c r="DP6" s="18" t="n"/>
      <c r="DQ6" s="18" t="n"/>
      <c r="DR6" s="18" t="n"/>
      <c r="DS6" s="18" t="n"/>
      <c r="DT6" s="18" t="n"/>
    </row>
    <row r="7">
      <c r="A7" s="18">
        <f>'Schedule_Data_Option_B'!A8</f>
        <v/>
      </c>
      <c r="B7" s="18">
        <f>'Schedule_Data_Option_B'!B8</f>
        <v/>
      </c>
      <c r="C7" s="18">
        <f>'Schedule_Data_Option_B'!C8</f>
        <v/>
      </c>
      <c r="D7" s="19">
        <f>'Schedule_Data_Option_B'!D8</f>
        <v/>
      </c>
      <c r="E7" s="19" t="n"/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  <c r="AA7" s="18" t="n"/>
      <c r="AB7" s="18" t="n"/>
      <c r="AC7" s="18" t="n"/>
      <c r="AD7" s="18" t="n"/>
      <c r="AE7" s="18" t="n"/>
      <c r="AF7" s="18" t="n"/>
      <c r="AG7" s="18" t="n"/>
      <c r="AH7" s="18" t="n"/>
      <c r="AI7" s="18" t="n"/>
      <c r="AJ7" s="18" t="n"/>
      <c r="AK7" s="18" t="n"/>
      <c r="AL7" s="18" t="n"/>
      <c r="AM7" s="18" t="n"/>
      <c r="AN7" s="18" t="n"/>
      <c r="AO7" s="18" t="n"/>
      <c r="AP7" s="18" t="n"/>
      <c r="AQ7" s="18" t="n"/>
      <c r="AR7" s="18" t="n"/>
      <c r="AS7" s="18" t="n"/>
      <c r="AT7" s="18" t="n"/>
      <c r="AU7" s="18" t="n"/>
      <c r="AV7" s="18" t="n"/>
      <c r="AW7" s="18" t="n"/>
      <c r="AX7" s="18" t="n"/>
      <c r="AY7" s="18" t="n"/>
      <c r="AZ7" s="18" t="n"/>
      <c r="BA7" s="18" t="n"/>
      <c r="BB7" s="18" t="n"/>
      <c r="BC7" s="18" t="n"/>
      <c r="BD7" s="18" t="n"/>
      <c r="BE7" s="18" t="n"/>
      <c r="BF7" s="18" t="n"/>
      <c r="BG7" s="18" t="n"/>
      <c r="BH7" s="18" t="n"/>
      <c r="BI7" s="18" t="n"/>
      <c r="BJ7" s="18" t="n"/>
      <c r="BK7" s="18" t="n"/>
      <c r="BL7" s="18" t="n"/>
      <c r="BM7" s="18" t="n"/>
      <c r="BN7" s="18" t="n"/>
      <c r="BO7" s="18" t="n"/>
      <c r="BP7" s="18" t="n"/>
      <c r="BQ7" s="18" t="n"/>
      <c r="BR7" s="18" t="n"/>
      <c r="BS7" s="18" t="n"/>
      <c r="BT7" s="18" t="n"/>
      <c r="BU7" s="18" t="n"/>
      <c r="BV7" s="18" t="n"/>
      <c r="BW7" s="18" t="n"/>
      <c r="BX7" s="18" t="n"/>
      <c r="BY7" s="18" t="n"/>
      <c r="BZ7" s="18" t="n"/>
      <c r="CA7" s="18" t="n"/>
      <c r="CB7" s="18" t="n"/>
      <c r="CC7" s="18" t="n"/>
      <c r="CD7" s="18" t="n"/>
      <c r="CE7" s="18" t="n"/>
      <c r="CF7" s="18" t="n"/>
      <c r="CG7" s="18" t="n"/>
      <c r="CH7" s="18" t="n"/>
      <c r="CI7" s="18" t="n"/>
      <c r="CJ7" s="18" t="n"/>
      <c r="CK7" s="18" t="n"/>
      <c r="CL7" s="18" t="n"/>
      <c r="CM7" s="18" t="n"/>
      <c r="CN7" s="18" t="n"/>
      <c r="CO7" s="18" t="n"/>
      <c r="CP7" s="18" t="n"/>
      <c r="CQ7" s="18" t="n"/>
      <c r="CR7" s="18" t="n"/>
      <c r="CS7" s="18" t="n"/>
      <c r="CT7" s="18" t="n"/>
      <c r="CU7" s="18" t="n"/>
      <c r="CV7" s="18" t="n"/>
      <c r="CW7" s="18" t="n"/>
      <c r="CX7" s="18" t="n"/>
      <c r="CY7" s="18" t="n"/>
      <c r="CZ7" s="18" t="n"/>
      <c r="DA7" s="18" t="n"/>
      <c r="DB7" s="18" t="n"/>
      <c r="DC7" s="18" t="n"/>
      <c r="DD7" s="18" t="n"/>
      <c r="DE7" s="18" t="n"/>
      <c r="DF7" s="18" t="n"/>
      <c r="DG7" s="18" t="n"/>
      <c r="DH7" s="18" t="n"/>
      <c r="DI7" s="18" t="n"/>
      <c r="DJ7" s="18" t="n"/>
      <c r="DK7" s="18" t="n"/>
      <c r="DL7" s="18" t="n"/>
      <c r="DM7" s="18" t="n"/>
      <c r="DN7" s="18" t="n"/>
      <c r="DO7" s="18" t="n"/>
      <c r="DP7" s="18" t="n"/>
      <c r="DQ7" s="18" t="n"/>
      <c r="DR7" s="18" t="n"/>
      <c r="DS7" s="18" t="n"/>
      <c r="DT7" s="18" t="n"/>
    </row>
    <row r="8">
      <c r="A8" s="18">
        <f>'Schedule_Data_Option_B'!A9</f>
        <v/>
      </c>
      <c r="B8" s="18">
        <f>'Schedule_Data_Option_B'!B9</f>
        <v/>
      </c>
      <c r="C8" s="18">
        <f>'Schedule_Data_Option_B'!C9</f>
        <v/>
      </c>
      <c r="D8" s="21">
        <f>'Schedule_Data_Option_B'!D9</f>
        <v/>
      </c>
      <c r="E8" s="36" t="inlineStr">
        <is>
          <t>*</t>
        </is>
      </c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  <c r="AA8" s="18" t="n"/>
      <c r="AB8" s="18" t="n"/>
      <c r="AC8" s="18" t="n"/>
      <c r="AD8" s="18" t="n"/>
      <c r="AE8" s="18" t="n"/>
      <c r="AF8" s="18" t="n"/>
      <c r="AG8" s="18" t="n"/>
      <c r="AH8" s="18" t="n"/>
      <c r="AI8" s="18" t="n"/>
      <c r="AJ8" s="18" t="n"/>
      <c r="AK8" s="18" t="n"/>
      <c r="AL8" s="18" t="n"/>
      <c r="AM8" s="18" t="n"/>
      <c r="AN8" s="18" t="n"/>
      <c r="AO8" s="18" t="n"/>
      <c r="AP8" s="18" t="n"/>
      <c r="AQ8" s="18" t="n"/>
      <c r="AR8" s="18" t="n"/>
      <c r="AS8" s="18" t="n"/>
      <c r="AT8" s="18" t="n"/>
      <c r="AU8" s="18" t="n"/>
      <c r="AV8" s="18" t="n"/>
      <c r="AW8" s="18" t="n"/>
      <c r="AX8" s="18" t="n"/>
      <c r="AY8" s="18" t="n"/>
      <c r="AZ8" s="18" t="n"/>
      <c r="BA8" s="18" t="n"/>
      <c r="BB8" s="18" t="n"/>
      <c r="BC8" s="18" t="n"/>
      <c r="BD8" s="18" t="n"/>
      <c r="BE8" s="18" t="n"/>
      <c r="BF8" s="18" t="n"/>
      <c r="BG8" s="18" t="n"/>
      <c r="BH8" s="18" t="n"/>
      <c r="BI8" s="18" t="n"/>
      <c r="BJ8" s="18" t="n"/>
      <c r="BK8" s="18" t="n"/>
      <c r="BL8" s="18" t="n"/>
      <c r="BM8" s="18" t="n"/>
      <c r="BN8" s="18" t="n"/>
      <c r="BO8" s="18" t="n"/>
      <c r="BP8" s="18" t="n"/>
      <c r="BQ8" s="18" t="n"/>
      <c r="BR8" s="18" t="n"/>
      <c r="BS8" s="18" t="n"/>
      <c r="BT8" s="18" t="n"/>
      <c r="BU8" s="18" t="n"/>
      <c r="BV8" s="18" t="n"/>
      <c r="BW8" s="18" t="n"/>
      <c r="BX8" s="18" t="n"/>
      <c r="BY8" s="18" t="n"/>
      <c r="BZ8" s="18" t="n"/>
      <c r="CA8" s="18" t="n"/>
      <c r="CB8" s="18" t="n"/>
      <c r="CC8" s="18" t="n"/>
      <c r="CD8" s="18" t="n"/>
      <c r="CE8" s="18" t="n"/>
      <c r="CF8" s="18" t="n"/>
      <c r="CG8" s="18" t="n"/>
      <c r="CH8" s="18" t="n"/>
      <c r="CI8" s="18" t="n"/>
      <c r="CJ8" s="18" t="n"/>
      <c r="CK8" s="18" t="n"/>
      <c r="CL8" s="18" t="n"/>
      <c r="CM8" s="18" t="n"/>
      <c r="CN8" s="18" t="n"/>
      <c r="CO8" s="18" t="n"/>
      <c r="CP8" s="18" t="n"/>
      <c r="CQ8" s="18" t="n"/>
      <c r="CR8" s="18" t="n"/>
      <c r="CS8" s="18" t="n"/>
      <c r="CT8" s="18" t="n"/>
      <c r="CU8" s="18" t="n"/>
      <c r="CV8" s="18" t="n"/>
      <c r="CW8" s="18" t="n"/>
      <c r="CX8" s="18" t="n"/>
      <c r="CY8" s="18" t="n"/>
      <c r="CZ8" s="18" t="n"/>
      <c r="DA8" s="18" t="n"/>
      <c r="DB8" s="18" t="n"/>
      <c r="DC8" s="18" t="n"/>
      <c r="DD8" s="18" t="n"/>
      <c r="DE8" s="18" t="n"/>
      <c r="DF8" s="18" t="n"/>
      <c r="DG8" s="18" t="n"/>
      <c r="DH8" s="18" t="n"/>
      <c r="DI8" s="18" t="n"/>
      <c r="DJ8" s="18" t="n"/>
      <c r="DK8" s="18" t="n"/>
      <c r="DL8" s="18" t="n"/>
      <c r="DM8" s="18" t="n"/>
      <c r="DN8" s="18" t="n"/>
      <c r="DO8" s="18" t="n"/>
      <c r="DP8" s="18" t="n"/>
      <c r="DQ8" s="18" t="n"/>
      <c r="DR8" s="18" t="n"/>
      <c r="DS8" s="18" t="n"/>
      <c r="DT8" s="18" t="n"/>
    </row>
    <row r="9">
      <c r="A9" s="18">
        <f>'Schedule_Data_Option_B'!A10</f>
        <v/>
      </c>
      <c r="B9" s="18">
        <f>'Schedule_Data_Option_B'!B10</f>
        <v/>
      </c>
      <c r="C9" s="18">
        <f>'Schedule_Data_Option_B'!C10</f>
        <v/>
      </c>
      <c r="D9" s="19">
        <f>'Schedule_Data_Option_B'!D10</f>
        <v/>
      </c>
      <c r="E9" s="19" t="n"/>
      <c r="F9" s="18" t="n"/>
      <c r="G9" s="18" t="n"/>
      <c r="H9" s="18" t="n"/>
      <c r="I9" s="18" t="n"/>
      <c r="J9" s="18" t="n"/>
      <c r="K9" s="18" t="n"/>
      <c r="L9" s="18" t="n"/>
      <c r="M9" s="18" t="n"/>
      <c r="N9" s="18" t="n"/>
      <c r="O9" s="18" t="n"/>
      <c r="P9" s="18" t="n"/>
      <c r="Q9" s="18" t="n"/>
      <c r="R9" s="18" t="n"/>
      <c r="S9" s="18" t="n"/>
      <c r="T9" s="18" t="n"/>
      <c r="U9" s="18" t="n"/>
      <c r="V9" s="18" t="n"/>
      <c r="W9" s="18" t="n"/>
      <c r="X9" s="18" t="n"/>
      <c r="Y9" s="18" t="n"/>
      <c r="Z9" s="18" t="n"/>
      <c r="AA9" s="18" t="n"/>
      <c r="AB9" s="18" t="n"/>
      <c r="AC9" s="18" t="n"/>
      <c r="AD9" s="18" t="n"/>
      <c r="AE9" s="18" t="n"/>
      <c r="AF9" s="18" t="n"/>
      <c r="AG9" s="18" t="n"/>
      <c r="AH9" s="18" t="n"/>
      <c r="AI9" s="18" t="n"/>
      <c r="AJ9" s="18" t="n"/>
      <c r="AK9" s="18" t="n"/>
      <c r="AL9" s="18" t="n"/>
      <c r="AM9" s="18" t="n"/>
      <c r="AN9" s="18" t="n"/>
      <c r="AO9" s="18" t="n"/>
      <c r="AP9" s="18" t="n"/>
      <c r="AQ9" s="18" t="n"/>
      <c r="AR9" s="18" t="n"/>
      <c r="AS9" s="18" t="n"/>
      <c r="AT9" s="18" t="n"/>
      <c r="AU9" s="18" t="n"/>
      <c r="AV9" s="18" t="n"/>
      <c r="AW9" s="18" t="n"/>
      <c r="AX9" s="18" t="n"/>
      <c r="AY9" s="18" t="n"/>
      <c r="AZ9" s="18" t="n"/>
      <c r="BA9" s="18" t="n"/>
      <c r="BB9" s="18" t="n"/>
      <c r="BC9" s="18" t="n"/>
      <c r="BD9" s="18" t="n"/>
      <c r="BE9" s="18" t="n"/>
      <c r="BF9" s="18" t="n"/>
      <c r="BG9" s="18" t="n"/>
      <c r="BH9" s="18" t="n"/>
      <c r="BI9" s="18" t="n"/>
      <c r="BJ9" s="18" t="n"/>
      <c r="BK9" s="18" t="n"/>
      <c r="BL9" s="18" t="n"/>
      <c r="BM9" s="18" t="n"/>
      <c r="BN9" s="18" t="n"/>
      <c r="BO9" s="18" t="n"/>
      <c r="BP9" s="18" t="n"/>
      <c r="BQ9" s="18" t="n"/>
      <c r="BR9" s="18" t="n"/>
      <c r="BS9" s="18" t="n"/>
      <c r="BT9" s="18" t="n"/>
      <c r="BU9" s="18" t="n"/>
      <c r="BV9" s="18" t="n"/>
      <c r="BW9" s="18" t="n"/>
      <c r="BX9" s="18" t="n"/>
      <c r="BY9" s="18" t="n"/>
      <c r="BZ9" s="18" t="n"/>
      <c r="CA9" s="18" t="n"/>
      <c r="CB9" s="18" t="n"/>
      <c r="CC9" s="18" t="n"/>
      <c r="CD9" s="18" t="n"/>
      <c r="CE9" s="18" t="n"/>
      <c r="CF9" s="18" t="n"/>
      <c r="CG9" s="18" t="n"/>
      <c r="CH9" s="18" t="n"/>
      <c r="CI9" s="18" t="n"/>
      <c r="CJ9" s="18" t="n"/>
      <c r="CK9" s="18" t="n"/>
      <c r="CL9" s="18" t="n"/>
      <c r="CM9" s="18" t="n"/>
      <c r="CN9" s="18" t="n"/>
      <c r="CO9" s="18" t="n"/>
      <c r="CP9" s="18" t="n"/>
      <c r="CQ9" s="18" t="n"/>
      <c r="CR9" s="18" t="n"/>
      <c r="CS9" s="18" t="n"/>
      <c r="CT9" s="18" t="n"/>
      <c r="CU9" s="18" t="n"/>
      <c r="CV9" s="18" t="n"/>
      <c r="CW9" s="18" t="n"/>
      <c r="CX9" s="18" t="n"/>
      <c r="CY9" s="18" t="n"/>
      <c r="CZ9" s="18" t="n"/>
      <c r="DA9" s="18" t="n"/>
      <c r="DB9" s="18" t="n"/>
      <c r="DC9" s="18" t="n"/>
      <c r="DD9" s="18" t="n"/>
      <c r="DE9" s="18" t="n"/>
      <c r="DF9" s="18" t="n"/>
      <c r="DG9" s="18" t="n"/>
      <c r="DH9" s="18" t="n"/>
      <c r="DI9" s="18" t="n"/>
      <c r="DJ9" s="18" t="n"/>
      <c r="DK9" s="18" t="n"/>
      <c r="DL9" s="18" t="n"/>
      <c r="DM9" s="18" t="n"/>
      <c r="DN9" s="18" t="n"/>
      <c r="DO9" s="18" t="n"/>
      <c r="DP9" s="18" t="n"/>
      <c r="DQ9" s="18" t="n"/>
      <c r="DR9" s="18" t="n"/>
      <c r="DS9" s="18" t="n"/>
      <c r="DT9" s="18" t="n"/>
    </row>
    <row r="10">
      <c r="A10" s="18">
        <f>'Schedule_Data_Option_B'!A11</f>
        <v/>
      </c>
      <c r="B10" s="18">
        <f>'Schedule_Data_Option_B'!B11</f>
        <v/>
      </c>
      <c r="C10" s="18">
        <f>'Schedule_Data_Option_B'!C11</f>
        <v/>
      </c>
      <c r="D10" s="21">
        <f>'Schedule_Data_Option_B'!D11</f>
        <v/>
      </c>
      <c r="E10" s="18" t="n"/>
      <c r="F10" s="18" t="n"/>
      <c r="G10" s="18" t="n"/>
      <c r="H10" s="36" t="inlineStr">
        <is>
          <t>*</t>
        </is>
      </c>
      <c r="I10" s="18" t="n"/>
      <c r="J10" s="18" t="n"/>
      <c r="K10" s="18" t="n"/>
      <c r="L10" s="18" t="n"/>
      <c r="M10" s="18" t="n"/>
      <c r="N10" s="18" t="n"/>
      <c r="O10" s="18" t="n"/>
      <c r="P10" s="18" t="n"/>
      <c r="Q10" s="18" t="n"/>
      <c r="R10" s="18" t="n"/>
      <c r="S10" s="18" t="n"/>
      <c r="T10" s="18" t="n"/>
      <c r="U10" s="18" t="n"/>
      <c r="V10" s="18" t="n"/>
      <c r="W10" s="18" t="n"/>
      <c r="X10" s="18" t="n"/>
      <c r="Y10" s="18" t="n"/>
      <c r="Z10" s="18" t="n"/>
      <c r="AA10" s="18" t="n"/>
      <c r="AB10" s="18" t="n"/>
      <c r="AC10" s="18" t="n"/>
      <c r="AD10" s="18" t="n"/>
      <c r="AE10" s="18" t="n"/>
      <c r="AF10" s="18" t="n"/>
      <c r="AG10" s="18" t="n"/>
      <c r="AH10" s="18" t="n"/>
      <c r="AI10" s="18" t="n"/>
      <c r="AJ10" s="18" t="n"/>
      <c r="AK10" s="18" t="n"/>
      <c r="AL10" s="18" t="n"/>
      <c r="AM10" s="18" t="n"/>
      <c r="AN10" s="18" t="n"/>
      <c r="AO10" s="18" t="n"/>
      <c r="AP10" s="18" t="n"/>
      <c r="AQ10" s="18" t="n"/>
      <c r="AR10" s="18" t="n"/>
      <c r="AS10" s="18" t="n"/>
      <c r="AT10" s="18" t="n"/>
      <c r="AU10" s="18" t="n"/>
      <c r="AV10" s="18" t="n"/>
      <c r="AW10" s="18" t="n"/>
      <c r="AX10" s="18" t="n"/>
      <c r="AY10" s="18" t="n"/>
      <c r="AZ10" s="18" t="n"/>
      <c r="BA10" s="18" t="n"/>
      <c r="BB10" s="18" t="n"/>
      <c r="BC10" s="18" t="n"/>
      <c r="BD10" s="18" t="n"/>
      <c r="BE10" s="18" t="n"/>
      <c r="BF10" s="18" t="n"/>
      <c r="BG10" s="18" t="n"/>
      <c r="BH10" s="18" t="n"/>
      <c r="BI10" s="18" t="n"/>
      <c r="BJ10" s="18" t="n"/>
      <c r="BK10" s="18" t="n"/>
      <c r="BL10" s="18" t="n"/>
      <c r="BM10" s="18" t="n"/>
      <c r="BN10" s="18" t="n"/>
      <c r="BO10" s="18" t="n"/>
      <c r="BP10" s="18" t="n"/>
      <c r="BQ10" s="18" t="n"/>
      <c r="BR10" s="18" t="n"/>
      <c r="BS10" s="18" t="n"/>
      <c r="BT10" s="18" t="n"/>
      <c r="BU10" s="18" t="n"/>
      <c r="BV10" s="18" t="n"/>
      <c r="BW10" s="18" t="n"/>
      <c r="BX10" s="18" t="n"/>
      <c r="BY10" s="18" t="n"/>
      <c r="BZ10" s="18" t="n"/>
      <c r="CA10" s="18" t="n"/>
      <c r="CB10" s="18" t="n"/>
      <c r="CC10" s="18" t="n"/>
      <c r="CD10" s="18" t="n"/>
      <c r="CE10" s="18" t="n"/>
      <c r="CF10" s="18" t="n"/>
      <c r="CG10" s="18" t="n"/>
      <c r="CH10" s="18" t="n"/>
      <c r="CI10" s="18" t="n"/>
      <c r="CJ10" s="18" t="n"/>
      <c r="CK10" s="18" t="n"/>
      <c r="CL10" s="18" t="n"/>
      <c r="CM10" s="18" t="n"/>
      <c r="CN10" s="18" t="n"/>
      <c r="CO10" s="18" t="n"/>
      <c r="CP10" s="18" t="n"/>
      <c r="CQ10" s="18" t="n"/>
      <c r="CR10" s="18" t="n"/>
      <c r="CS10" s="18" t="n"/>
      <c r="CT10" s="18" t="n"/>
      <c r="CU10" s="18" t="n"/>
      <c r="CV10" s="18" t="n"/>
      <c r="CW10" s="18" t="n"/>
      <c r="CX10" s="18" t="n"/>
      <c r="CY10" s="18" t="n"/>
      <c r="CZ10" s="18" t="n"/>
      <c r="DA10" s="18" t="n"/>
      <c r="DB10" s="18" t="n"/>
      <c r="DC10" s="18" t="n"/>
      <c r="DD10" s="18" t="n"/>
      <c r="DE10" s="18" t="n"/>
      <c r="DF10" s="18" t="n"/>
      <c r="DG10" s="18" t="n"/>
      <c r="DH10" s="18" t="n"/>
      <c r="DI10" s="18" t="n"/>
      <c r="DJ10" s="18" t="n"/>
      <c r="DK10" s="18" t="n"/>
      <c r="DL10" s="18" t="n"/>
      <c r="DM10" s="18" t="n"/>
      <c r="DN10" s="18" t="n"/>
      <c r="DO10" s="18" t="n"/>
      <c r="DP10" s="18" t="n"/>
      <c r="DQ10" s="18" t="n"/>
      <c r="DR10" s="18" t="n"/>
      <c r="DS10" s="18" t="n"/>
      <c r="DT10" s="18" t="n"/>
    </row>
    <row r="11">
      <c r="A11" s="18">
        <f>'Schedule_Data_Option_B'!A12</f>
        <v/>
      </c>
      <c r="B11" s="18">
        <f>'Schedule_Data_Option_B'!B12</f>
        <v/>
      </c>
      <c r="C11" s="18">
        <f>'Schedule_Data_Option_B'!C12</f>
        <v/>
      </c>
      <c r="D11" s="19">
        <f>'Schedule_Data_Option_B'!D12</f>
        <v/>
      </c>
      <c r="E11" s="18" t="n"/>
      <c r="F11" s="18" t="n"/>
      <c r="G11" s="18" t="n"/>
      <c r="H11" s="19" t="n"/>
      <c r="I11" s="18" t="n"/>
      <c r="J11" s="18" t="n"/>
      <c r="K11" s="18" t="n"/>
      <c r="L11" s="18" t="n"/>
      <c r="M11" s="18" t="n"/>
      <c r="N11" s="18" t="n"/>
      <c r="O11" s="18" t="n"/>
      <c r="P11" s="18" t="n"/>
      <c r="Q11" s="18" t="n"/>
      <c r="R11" s="18" t="n"/>
      <c r="S11" s="18" t="n"/>
      <c r="T11" s="18" t="n"/>
      <c r="U11" s="18" t="n"/>
      <c r="V11" s="18" t="n"/>
      <c r="W11" s="18" t="n"/>
      <c r="X11" s="18" t="n"/>
      <c r="Y11" s="18" t="n"/>
      <c r="Z11" s="18" t="n"/>
      <c r="AA11" s="18" t="n"/>
      <c r="AB11" s="18" t="n"/>
      <c r="AC11" s="18" t="n"/>
      <c r="AD11" s="18" t="n"/>
      <c r="AE11" s="18" t="n"/>
      <c r="AF11" s="18" t="n"/>
      <c r="AG11" s="18" t="n"/>
      <c r="AH11" s="18" t="n"/>
      <c r="AI11" s="18" t="n"/>
      <c r="AJ11" s="18" t="n"/>
      <c r="AK11" s="18" t="n"/>
      <c r="AL11" s="18" t="n"/>
      <c r="AM11" s="18" t="n"/>
      <c r="AN11" s="18" t="n"/>
      <c r="AO11" s="18" t="n"/>
      <c r="AP11" s="18" t="n"/>
      <c r="AQ11" s="18" t="n"/>
      <c r="AR11" s="18" t="n"/>
      <c r="AS11" s="18" t="n"/>
      <c r="AT11" s="18" t="n"/>
      <c r="AU11" s="18" t="n"/>
      <c r="AV11" s="18" t="n"/>
      <c r="AW11" s="18" t="n"/>
      <c r="AX11" s="18" t="n"/>
      <c r="AY11" s="18" t="n"/>
      <c r="AZ11" s="18" t="n"/>
      <c r="BA11" s="18" t="n"/>
      <c r="BB11" s="18" t="n"/>
      <c r="BC11" s="18" t="n"/>
      <c r="BD11" s="18" t="n"/>
      <c r="BE11" s="18" t="n"/>
      <c r="BF11" s="18" t="n"/>
      <c r="BG11" s="18" t="n"/>
      <c r="BH11" s="18" t="n"/>
      <c r="BI11" s="18" t="n"/>
      <c r="BJ11" s="18" t="n"/>
      <c r="BK11" s="18" t="n"/>
      <c r="BL11" s="18" t="n"/>
      <c r="BM11" s="18" t="n"/>
      <c r="BN11" s="18" t="n"/>
      <c r="BO11" s="18" t="n"/>
      <c r="BP11" s="18" t="n"/>
      <c r="BQ11" s="18" t="n"/>
      <c r="BR11" s="18" t="n"/>
      <c r="BS11" s="18" t="n"/>
      <c r="BT11" s="18" t="n"/>
      <c r="BU11" s="18" t="n"/>
      <c r="BV11" s="18" t="n"/>
      <c r="BW11" s="18" t="n"/>
      <c r="BX11" s="18" t="n"/>
      <c r="BY11" s="18" t="n"/>
      <c r="BZ11" s="18" t="n"/>
      <c r="CA11" s="18" t="n"/>
      <c r="CB11" s="18" t="n"/>
      <c r="CC11" s="18" t="n"/>
      <c r="CD11" s="18" t="n"/>
      <c r="CE11" s="18" t="n"/>
      <c r="CF11" s="18" t="n"/>
      <c r="CG11" s="18" t="n"/>
      <c r="CH11" s="18" t="n"/>
      <c r="CI11" s="18" t="n"/>
      <c r="CJ11" s="18" t="n"/>
      <c r="CK11" s="18" t="n"/>
      <c r="CL11" s="18" t="n"/>
      <c r="CM11" s="18" t="n"/>
      <c r="CN11" s="18" t="n"/>
      <c r="CO11" s="18" t="n"/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/>
      <c r="DD11" s="18" t="n"/>
      <c r="DE11" s="18" t="n"/>
      <c r="DF11" s="18" t="n"/>
      <c r="DG11" s="18" t="n"/>
      <c r="DH11" s="18" t="n"/>
      <c r="DI11" s="18" t="n"/>
      <c r="DJ11" s="18" t="n"/>
      <c r="DK11" s="18" t="n"/>
      <c r="DL11" s="18" t="n"/>
      <c r="DM11" s="18" t="n"/>
      <c r="DN11" s="18" t="n"/>
      <c r="DO11" s="18" t="n"/>
      <c r="DP11" s="18" t="n"/>
      <c r="DQ11" s="18" t="n"/>
      <c r="DR11" s="18" t="n"/>
      <c r="DS11" s="18" t="n"/>
      <c r="DT11" s="18" t="n"/>
    </row>
    <row r="12">
      <c r="A12" s="18">
        <f>'Schedule_Data_Option_B'!A13</f>
        <v/>
      </c>
      <c r="B12" s="18">
        <f>'Schedule_Data_Option_B'!B13</f>
        <v/>
      </c>
      <c r="C12" s="18">
        <f>'Schedule_Data_Option_B'!C13</f>
        <v/>
      </c>
      <c r="D12" s="19">
        <f>'Schedule_Data_Option_B'!D13</f>
        <v/>
      </c>
      <c r="E12" s="18" t="n"/>
      <c r="F12" s="18" t="n"/>
      <c r="G12" s="18" t="n"/>
      <c r="H12" s="18" t="n"/>
      <c r="I12" s="18" t="n"/>
      <c r="J12" s="18" t="n"/>
      <c r="K12" s="18" t="n"/>
      <c r="L12" s="18" t="n"/>
      <c r="M12" s="18" t="n"/>
      <c r="N12" s="18" t="n"/>
      <c r="O12" s="18" t="n"/>
      <c r="P12" s="18" t="n"/>
      <c r="Q12" s="18" t="n"/>
      <c r="R12" s="18" t="n"/>
      <c r="S12" s="18" t="n"/>
      <c r="T12" s="18" t="n"/>
      <c r="U12" s="18" t="n"/>
      <c r="V12" s="18" t="n"/>
      <c r="W12" s="18" t="n"/>
      <c r="X12" s="18" t="n"/>
      <c r="Y12" s="18" t="n"/>
      <c r="Z12" s="18" t="n"/>
      <c r="AA12" s="18" t="n"/>
      <c r="AB12" s="18" t="n"/>
      <c r="AC12" s="18" t="n"/>
      <c r="AD12" s="18" t="n"/>
      <c r="AE12" s="18" t="n"/>
      <c r="AF12" s="18" t="n"/>
      <c r="AG12" s="18" t="n"/>
      <c r="AH12" s="18" t="n"/>
      <c r="AI12" s="18" t="n"/>
      <c r="AJ12" s="18" t="n"/>
      <c r="AK12" s="18" t="n"/>
      <c r="AL12" s="18" t="n"/>
      <c r="AM12" s="18" t="n"/>
      <c r="AN12" s="18" t="n"/>
      <c r="AO12" s="18" t="n"/>
      <c r="AP12" s="18" t="n"/>
      <c r="AQ12" s="18" t="n"/>
      <c r="AR12" s="18" t="n"/>
      <c r="AS12" s="18" t="n"/>
      <c r="AT12" s="18" t="n"/>
      <c r="AU12" s="18" t="n"/>
      <c r="AV12" s="18" t="n"/>
      <c r="AW12" s="18" t="n"/>
      <c r="AX12" s="18" t="n"/>
      <c r="AY12" s="18" t="n"/>
      <c r="AZ12" s="18" t="n"/>
      <c r="BA12" s="18" t="n"/>
      <c r="BB12" s="18" t="n"/>
      <c r="BC12" s="18" t="n"/>
      <c r="BD12" s="18" t="n"/>
      <c r="BE12" s="18" t="n"/>
      <c r="BF12" s="18" t="n"/>
      <c r="BG12" s="18" t="n"/>
      <c r="BH12" s="18" t="n"/>
      <c r="BI12" s="18" t="n"/>
      <c r="BJ12" s="18" t="n"/>
      <c r="BK12" s="18" t="n"/>
      <c r="BL12" s="18" t="n"/>
      <c r="BM12" s="18" t="n"/>
      <c r="BN12" s="18" t="n"/>
      <c r="BO12" s="18" t="n"/>
      <c r="BP12" s="35" t="inlineStr">
        <is>
          <t>*</t>
        </is>
      </c>
      <c r="BQ12" s="18" t="n"/>
      <c r="BR12" s="18" t="n"/>
      <c r="BS12" s="18" t="n"/>
      <c r="BT12" s="18" t="n"/>
      <c r="BU12" s="18" t="n"/>
      <c r="BV12" s="18" t="n"/>
      <c r="BW12" s="18" t="n"/>
      <c r="BX12" s="18" t="n"/>
      <c r="BY12" s="18" t="n"/>
      <c r="BZ12" s="18" t="n"/>
      <c r="CA12" s="18" t="n"/>
      <c r="CB12" s="18" t="n"/>
      <c r="CC12" s="18" t="n"/>
      <c r="CD12" s="18" t="n"/>
      <c r="CE12" s="18" t="n"/>
      <c r="CF12" s="18" t="n"/>
      <c r="CG12" s="18" t="n"/>
      <c r="CH12" s="18" t="n"/>
      <c r="CI12" s="18" t="n"/>
      <c r="CJ12" s="18" t="n"/>
      <c r="CK12" s="18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18" t="n"/>
      <c r="DP12" s="18" t="n"/>
      <c r="DQ12" s="18" t="n"/>
      <c r="DR12" s="18" t="n"/>
      <c r="DS12" s="18" t="n"/>
      <c r="DT12" s="18" t="n"/>
    </row>
    <row r="13">
      <c r="A13" s="18">
        <f>'Schedule_Data_Option_B'!A14</f>
        <v/>
      </c>
      <c r="B13" s="18">
        <f>'Schedule_Data_Option_B'!B14</f>
        <v/>
      </c>
      <c r="C13" s="18">
        <f>'Schedule_Data_Option_B'!C14</f>
        <v/>
      </c>
      <c r="D13" s="21">
        <f>'Schedule_Data_Option_B'!D14</f>
        <v/>
      </c>
      <c r="E13" s="18" t="n"/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18" t="n"/>
      <c r="Q13" s="18" t="n"/>
      <c r="R13" s="18" t="n"/>
      <c r="S13" s="18" t="n"/>
      <c r="T13" s="18" t="n"/>
      <c r="U13" s="18" t="n"/>
      <c r="V13" s="18" t="n"/>
      <c r="W13" s="18" t="n"/>
      <c r="X13" s="18" t="n"/>
      <c r="Y13" s="18" t="n"/>
      <c r="Z13" s="18" t="n"/>
      <c r="AA13" s="18" t="n"/>
      <c r="AB13" s="18" t="n"/>
      <c r="AC13" s="18" t="n"/>
      <c r="AD13" s="18" t="n"/>
      <c r="AE13" s="18" t="n"/>
      <c r="AF13" s="18" t="n"/>
      <c r="AG13" s="18" t="n"/>
      <c r="AH13" s="18" t="n"/>
      <c r="AI13" s="18" t="n"/>
      <c r="AJ13" s="18" t="n"/>
      <c r="AK13" s="18" t="n"/>
      <c r="AL13" s="18" t="n"/>
      <c r="AM13" s="18" t="n"/>
      <c r="AN13" s="18" t="n"/>
      <c r="AO13" s="18" t="n"/>
      <c r="AP13" s="18" t="n"/>
      <c r="AQ13" s="18" t="n"/>
      <c r="AR13" s="18" t="n"/>
      <c r="AS13" s="18" t="n"/>
      <c r="AT13" s="18" t="n"/>
      <c r="AU13" s="18" t="n"/>
      <c r="AV13" s="18" t="n"/>
      <c r="AW13" s="18" t="n"/>
      <c r="AX13" s="18" t="n"/>
      <c r="AY13" s="18" t="n"/>
      <c r="AZ13" s="18" t="n"/>
      <c r="BA13" s="18" t="n"/>
      <c r="BB13" s="18" t="n"/>
      <c r="BC13" s="18" t="n"/>
      <c r="BD13" s="18" t="n"/>
      <c r="BE13" s="18" t="n"/>
      <c r="BF13" s="18" t="n"/>
      <c r="BG13" s="18" t="n"/>
      <c r="BH13" s="18" t="n"/>
      <c r="BI13" s="18" t="n"/>
      <c r="BJ13" s="18" t="n"/>
      <c r="BK13" s="18" t="n"/>
      <c r="BL13" s="18" t="n"/>
      <c r="BM13" s="18" t="n"/>
      <c r="BN13" s="18" t="n"/>
      <c r="BO13" s="18" t="n"/>
      <c r="BP13" s="36" t="inlineStr">
        <is>
          <t>*</t>
        </is>
      </c>
      <c r="BQ13" s="18" t="n"/>
      <c r="BR13" s="18" t="n"/>
      <c r="BS13" s="18" t="n"/>
      <c r="BT13" s="18" t="n"/>
      <c r="BU13" s="18" t="n"/>
      <c r="BV13" s="18" t="n"/>
      <c r="BW13" s="18" t="n"/>
      <c r="BX13" s="18" t="n"/>
      <c r="BY13" s="18" t="n"/>
      <c r="BZ13" s="18" t="n"/>
      <c r="CA13" s="18" t="n"/>
      <c r="CB13" s="18" t="n"/>
      <c r="CC13" s="18" t="n"/>
      <c r="CD13" s="18" t="n"/>
      <c r="CE13" s="18" t="n"/>
      <c r="CF13" s="18" t="n"/>
      <c r="CG13" s="18" t="n"/>
      <c r="CH13" s="18" t="n"/>
      <c r="CI13" s="18" t="n"/>
      <c r="CJ13" s="18" t="n"/>
      <c r="CK13" s="18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18" t="n"/>
      <c r="DP13" s="18" t="n"/>
      <c r="DQ13" s="18" t="n"/>
      <c r="DR13" s="18" t="n"/>
      <c r="DS13" s="18" t="n"/>
      <c r="DT13" s="18" t="n"/>
    </row>
    <row r="14">
      <c r="A14" s="18">
        <f>'Schedule_Data_Option_B'!A15</f>
        <v/>
      </c>
      <c r="B14" s="18">
        <f>'Schedule_Data_Option_B'!B15</f>
        <v/>
      </c>
      <c r="C14" s="18">
        <f>'Schedule_Data_Option_B'!C15</f>
        <v/>
      </c>
      <c r="D14" s="19">
        <f>'Schedule_Data_Option_B'!D15</f>
        <v/>
      </c>
      <c r="E14" s="18" t="n"/>
      <c r="F14" s="18" t="n"/>
      <c r="G14" s="18" t="n"/>
      <c r="H14" s="18" t="n"/>
      <c r="I14" s="18" t="n"/>
      <c r="J14" s="18" t="n"/>
      <c r="K14" s="18" t="n"/>
      <c r="L14" s="18" t="n"/>
      <c r="M14" s="18" t="n"/>
      <c r="N14" s="18" t="n"/>
      <c r="O14" s="18" t="n"/>
      <c r="P14" s="18" t="n"/>
      <c r="Q14" s="18" t="n"/>
      <c r="R14" s="18" t="n"/>
      <c r="S14" s="18" t="n"/>
      <c r="T14" s="18" t="n"/>
      <c r="U14" s="18" t="n"/>
      <c r="V14" s="18" t="n"/>
      <c r="W14" s="18" t="n"/>
      <c r="X14" s="18" t="n"/>
      <c r="Y14" s="18" t="n"/>
      <c r="Z14" s="18" t="n"/>
      <c r="AA14" s="18" t="n"/>
      <c r="AB14" s="18" t="n"/>
      <c r="AC14" s="18" t="n"/>
      <c r="AD14" s="18" t="n"/>
      <c r="AE14" s="18" t="n"/>
      <c r="AF14" s="18" t="n"/>
      <c r="AG14" s="18" t="n"/>
      <c r="AH14" s="18" t="n"/>
      <c r="AI14" s="18" t="n"/>
      <c r="AJ14" s="18" t="n"/>
      <c r="AK14" s="18" t="n"/>
      <c r="AL14" s="18" t="n"/>
      <c r="AM14" s="18" t="n"/>
      <c r="AN14" s="18" t="n"/>
      <c r="AO14" s="18" t="n"/>
      <c r="AP14" s="18" t="n"/>
      <c r="AQ14" s="18" t="n"/>
      <c r="AR14" s="18" t="n"/>
      <c r="AS14" s="18" t="n"/>
      <c r="AT14" s="18" t="n"/>
      <c r="AU14" s="18" t="n"/>
      <c r="AV14" s="18" t="n"/>
      <c r="AW14" s="18" t="n"/>
      <c r="AX14" s="18" t="n"/>
      <c r="AY14" s="18" t="n"/>
      <c r="AZ14" s="18" t="n"/>
      <c r="BA14" s="18" t="n"/>
      <c r="BB14" s="18" t="n"/>
      <c r="BC14" s="18" t="n"/>
      <c r="BD14" s="18" t="n"/>
      <c r="BE14" s="18" t="n"/>
      <c r="BF14" s="18" t="n"/>
      <c r="BG14" s="18" t="n"/>
      <c r="BH14" s="18" t="n"/>
      <c r="BI14" s="18" t="n"/>
      <c r="BJ14" s="18" t="n"/>
      <c r="BK14" s="18" t="n"/>
      <c r="BL14" s="18" t="n"/>
      <c r="BM14" s="18" t="n"/>
      <c r="BN14" s="18" t="n"/>
      <c r="BO14" s="18" t="n"/>
      <c r="BP14" s="19" t="n"/>
      <c r="BQ14" s="18" t="n"/>
      <c r="BR14" s="18" t="n"/>
      <c r="BS14" s="18" t="n"/>
      <c r="BT14" s="18" t="n"/>
      <c r="BU14" s="18" t="n"/>
      <c r="BV14" s="18" t="n"/>
      <c r="BW14" s="18" t="n"/>
      <c r="BX14" s="18" t="n"/>
      <c r="BY14" s="18" t="n"/>
      <c r="BZ14" s="18" t="n"/>
      <c r="CA14" s="18" t="n"/>
      <c r="CB14" s="18" t="n"/>
      <c r="CC14" s="18" t="n"/>
      <c r="CD14" s="18" t="n"/>
      <c r="CE14" s="18" t="n"/>
      <c r="CF14" s="18" t="n"/>
      <c r="CG14" s="18" t="n"/>
      <c r="CH14" s="18" t="n"/>
      <c r="CI14" s="18" t="n"/>
      <c r="CJ14" s="18" t="n"/>
      <c r="CK14" s="18" t="n"/>
      <c r="CL14" s="18" t="n"/>
      <c r="CM14" s="18" t="n"/>
      <c r="CN14" s="18" t="n"/>
      <c r="CO14" s="18" t="n"/>
      <c r="CP14" s="18" t="n"/>
      <c r="CQ14" s="18" t="n"/>
      <c r="CR14" s="18" t="n"/>
      <c r="CS14" s="18" t="n"/>
      <c r="CT14" s="18" t="n"/>
      <c r="CU14" s="18" t="n"/>
      <c r="CV14" s="18" t="n"/>
      <c r="CW14" s="18" t="n"/>
      <c r="CX14" s="18" t="n"/>
      <c r="CY14" s="18" t="n"/>
      <c r="CZ14" s="18" t="n"/>
      <c r="DA14" s="18" t="n"/>
      <c r="DB14" s="18" t="n"/>
      <c r="DC14" s="18" t="n"/>
      <c r="DD14" s="18" t="n"/>
      <c r="DE14" s="18" t="n"/>
      <c r="DF14" s="18" t="n"/>
      <c r="DG14" s="18" t="n"/>
      <c r="DH14" s="18" t="n"/>
      <c r="DI14" s="18" t="n"/>
      <c r="DJ14" s="18" t="n"/>
      <c r="DK14" s="18" t="n"/>
      <c r="DL14" s="18" t="n"/>
      <c r="DM14" s="18" t="n"/>
      <c r="DN14" s="18" t="n"/>
      <c r="DO14" s="18" t="n"/>
      <c r="DP14" s="18" t="n"/>
      <c r="DQ14" s="18" t="n"/>
      <c r="DR14" s="18" t="n"/>
      <c r="DS14" s="18" t="n"/>
      <c r="DT14" s="18" t="n"/>
    </row>
    <row r="15">
      <c r="A15" s="18">
        <f>'Schedule_Data_Option_B'!A16</f>
        <v/>
      </c>
      <c r="B15" s="18">
        <f>'Schedule_Data_Option_B'!B16</f>
        <v/>
      </c>
      <c r="C15" s="18">
        <f>'Schedule_Data_Option_B'!C16</f>
        <v/>
      </c>
      <c r="D15" s="21">
        <f>'Schedule_Data_Option_B'!D16</f>
        <v/>
      </c>
      <c r="E15" s="18" t="n"/>
      <c r="F15" s="18" t="n"/>
      <c r="G15" s="18" t="n"/>
      <c r="H15" s="18" t="n"/>
      <c r="I15" s="18" t="n"/>
      <c r="J15" s="18" t="n"/>
      <c r="K15" s="18" t="n"/>
      <c r="L15" s="18" t="n"/>
      <c r="M15" s="18" t="n"/>
      <c r="N15" s="18" t="n"/>
      <c r="O15" s="18" t="n"/>
      <c r="P15" s="18" t="n"/>
      <c r="Q15" s="18" t="n"/>
      <c r="R15" s="18" t="n"/>
      <c r="S15" s="18" t="n"/>
      <c r="T15" s="18" t="n"/>
      <c r="U15" s="18" t="n"/>
      <c r="V15" s="18" t="n"/>
      <c r="W15" s="18" t="n"/>
      <c r="X15" s="18" t="n"/>
      <c r="Y15" s="18" t="n"/>
      <c r="Z15" s="18" t="n"/>
      <c r="AA15" s="18" t="n"/>
      <c r="AB15" s="18" t="n"/>
      <c r="AC15" s="18" t="n"/>
      <c r="AD15" s="18" t="n"/>
      <c r="AE15" s="18" t="n"/>
      <c r="AF15" s="18" t="n"/>
      <c r="AG15" s="18" t="n"/>
      <c r="AH15" s="18" t="n"/>
      <c r="AI15" s="18" t="n"/>
      <c r="AJ15" s="18" t="n"/>
      <c r="AK15" s="18" t="n"/>
      <c r="AL15" s="18" t="n"/>
      <c r="AM15" s="18" t="n"/>
      <c r="AN15" s="18" t="n"/>
      <c r="AO15" s="18" t="n"/>
      <c r="AP15" s="18" t="n"/>
      <c r="AQ15" s="18" t="n"/>
      <c r="AR15" s="18" t="n"/>
      <c r="AS15" s="18" t="n"/>
      <c r="AT15" s="18" t="n"/>
      <c r="AU15" s="18" t="n"/>
      <c r="AV15" s="18" t="n"/>
      <c r="AW15" s="18" t="n"/>
      <c r="AX15" s="18" t="n"/>
      <c r="AY15" s="18" t="n"/>
      <c r="AZ15" s="18" t="n"/>
      <c r="BA15" s="18" t="n"/>
      <c r="BB15" s="18" t="n"/>
      <c r="BC15" s="18" t="n"/>
      <c r="BD15" s="18" t="n"/>
      <c r="BE15" s="18" t="n"/>
      <c r="BF15" s="18" t="n"/>
      <c r="BG15" s="18" t="n"/>
      <c r="BH15" s="18" t="n"/>
      <c r="BI15" s="18" t="n"/>
      <c r="BJ15" s="18" t="n"/>
      <c r="BK15" s="18" t="n"/>
      <c r="BL15" s="18" t="n"/>
      <c r="BM15" s="18" t="n"/>
      <c r="BN15" s="18" t="n"/>
      <c r="BO15" s="18" t="n"/>
      <c r="BP15" s="18" t="n"/>
      <c r="BQ15" s="36" t="inlineStr">
        <is>
          <t>*</t>
        </is>
      </c>
      <c r="BR15" s="18" t="n"/>
      <c r="BS15" s="18" t="n"/>
      <c r="BT15" s="18" t="n"/>
      <c r="BU15" s="18" t="n"/>
      <c r="BV15" s="18" t="n"/>
      <c r="BW15" s="18" t="n"/>
      <c r="BX15" s="18" t="n"/>
      <c r="BY15" s="18" t="n"/>
      <c r="BZ15" s="18" t="n"/>
      <c r="CA15" s="18" t="n"/>
      <c r="CB15" s="18" t="n"/>
      <c r="CC15" s="18" t="n"/>
      <c r="CD15" s="18" t="n"/>
      <c r="CE15" s="18" t="n"/>
      <c r="CF15" s="18" t="n"/>
      <c r="CG15" s="18" t="n"/>
      <c r="CH15" s="18" t="n"/>
      <c r="CI15" s="18" t="n"/>
      <c r="CJ15" s="18" t="n"/>
      <c r="CK15" s="18" t="n"/>
      <c r="CL15" s="18" t="n"/>
      <c r="CM15" s="18" t="n"/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/>
      <c r="DD15" s="18" t="n"/>
      <c r="DE15" s="18" t="n"/>
      <c r="DF15" s="18" t="n"/>
      <c r="DG15" s="18" t="n"/>
      <c r="DH15" s="18" t="n"/>
      <c r="DI15" s="18" t="n"/>
      <c r="DJ15" s="18" t="n"/>
      <c r="DK15" s="18" t="n"/>
      <c r="DL15" s="18" t="n"/>
      <c r="DM15" s="18" t="n"/>
      <c r="DN15" s="18" t="n"/>
      <c r="DO15" s="18" t="n"/>
      <c r="DP15" s="18" t="n"/>
      <c r="DQ15" s="18" t="n"/>
      <c r="DR15" s="18" t="n"/>
      <c r="DS15" s="18" t="n"/>
      <c r="DT15" s="18" t="n"/>
    </row>
    <row r="16">
      <c r="A16" s="18">
        <f>'Schedule_Data_Option_B'!A17</f>
        <v/>
      </c>
      <c r="B16" s="18">
        <f>'Schedule_Data_Option_B'!B17</f>
        <v/>
      </c>
      <c r="C16" s="18">
        <f>'Schedule_Data_Option_B'!C17</f>
        <v/>
      </c>
      <c r="D16" s="19">
        <f>'Schedule_Data_Option_B'!D17</f>
        <v/>
      </c>
      <c r="E16" s="18" t="n"/>
      <c r="F16" s="18" t="n"/>
      <c r="G16" s="18" t="n"/>
      <c r="H16" s="18" t="n"/>
      <c r="I16" s="18" t="n"/>
      <c r="J16" s="18" t="n"/>
      <c r="K16" s="18" t="n"/>
      <c r="L16" s="18" t="n"/>
      <c r="M16" s="18" t="n"/>
      <c r="N16" s="18" t="n"/>
      <c r="O16" s="18" t="n"/>
      <c r="P16" s="18" t="n"/>
      <c r="Q16" s="18" t="n"/>
      <c r="R16" s="18" t="n"/>
      <c r="S16" s="18" t="n"/>
      <c r="T16" s="18" t="n"/>
      <c r="U16" s="18" t="n"/>
      <c r="V16" s="18" t="n"/>
      <c r="W16" s="18" t="n"/>
      <c r="X16" s="18" t="n"/>
      <c r="Y16" s="18" t="n"/>
      <c r="Z16" s="18" t="n"/>
      <c r="AA16" s="18" t="n"/>
      <c r="AB16" s="18" t="n"/>
      <c r="AC16" s="18" t="n"/>
      <c r="AD16" s="18" t="n"/>
      <c r="AE16" s="18" t="n"/>
      <c r="AF16" s="18" t="n"/>
      <c r="AG16" s="18" t="n"/>
      <c r="AH16" s="18" t="n"/>
      <c r="AI16" s="18" t="n"/>
      <c r="AJ16" s="18" t="n"/>
      <c r="AK16" s="18" t="n"/>
      <c r="AL16" s="18" t="n"/>
      <c r="AM16" s="18" t="n"/>
      <c r="AN16" s="18" t="n"/>
      <c r="AO16" s="18" t="n"/>
      <c r="AP16" s="18" t="n"/>
      <c r="AQ16" s="18" t="n"/>
      <c r="AR16" s="18" t="n"/>
      <c r="AS16" s="18" t="n"/>
      <c r="AT16" s="18" t="n"/>
      <c r="AU16" s="18" t="n"/>
      <c r="AV16" s="18" t="n"/>
      <c r="AW16" s="18" t="n"/>
      <c r="AX16" s="18" t="n"/>
      <c r="AY16" s="18" t="n"/>
      <c r="AZ16" s="18" t="n"/>
      <c r="BA16" s="18" t="n"/>
      <c r="BB16" s="18" t="n"/>
      <c r="BC16" s="18" t="n"/>
      <c r="BD16" s="18" t="n"/>
      <c r="BE16" s="18" t="n"/>
      <c r="BF16" s="18" t="n"/>
      <c r="BG16" s="18" t="n"/>
      <c r="BH16" s="18" t="n"/>
      <c r="BI16" s="18" t="n"/>
      <c r="BJ16" s="18" t="n"/>
      <c r="BK16" s="18" t="n"/>
      <c r="BL16" s="18" t="n"/>
      <c r="BM16" s="18" t="n"/>
      <c r="BN16" s="18" t="n"/>
      <c r="BO16" s="18" t="n"/>
      <c r="BP16" s="18" t="n"/>
      <c r="BQ16" s="19" t="n"/>
      <c r="BR16" s="18" t="n"/>
      <c r="BS16" s="18" t="n"/>
      <c r="BT16" s="18" t="n"/>
      <c r="BU16" s="18" t="n"/>
      <c r="BV16" s="18" t="n"/>
      <c r="BW16" s="18" t="n"/>
      <c r="BX16" s="18" t="n"/>
      <c r="BY16" s="18" t="n"/>
      <c r="BZ16" s="18" t="n"/>
      <c r="CA16" s="18" t="n"/>
      <c r="CB16" s="18" t="n"/>
      <c r="CC16" s="18" t="n"/>
      <c r="CD16" s="18" t="n"/>
      <c r="CE16" s="18" t="n"/>
      <c r="CF16" s="18" t="n"/>
      <c r="CG16" s="18" t="n"/>
      <c r="CH16" s="18" t="n"/>
      <c r="CI16" s="18" t="n"/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18" t="n"/>
      <c r="DP16" s="18" t="n"/>
      <c r="DQ16" s="18" t="n"/>
      <c r="DR16" s="18" t="n"/>
      <c r="DS16" s="18" t="n"/>
      <c r="DT16" s="18" t="n"/>
    </row>
    <row r="17">
      <c r="A17" s="18">
        <f>'Schedule_Data_Option_B'!A18</f>
        <v/>
      </c>
      <c r="B17" s="18">
        <f>'Schedule_Data_Option_B'!B18</f>
        <v/>
      </c>
      <c r="C17" s="18">
        <f>'Schedule_Data_Option_B'!C18</f>
        <v/>
      </c>
      <c r="D17" s="21">
        <f>'Schedule_Data_Option_B'!D18</f>
        <v/>
      </c>
      <c r="E17" s="18" t="n"/>
      <c r="F17" s="18" t="n"/>
      <c r="G17" s="18" t="n"/>
      <c r="H17" s="18" t="n"/>
      <c r="I17" s="18" t="n"/>
      <c r="J17" s="18" t="n"/>
      <c r="K17" s="18" t="n"/>
      <c r="L17" s="18" t="n"/>
      <c r="M17" s="18" t="n"/>
      <c r="N17" s="18" t="n"/>
      <c r="O17" s="18" t="n"/>
      <c r="P17" s="18" t="n"/>
      <c r="Q17" s="18" t="n"/>
      <c r="R17" s="18" t="n"/>
      <c r="S17" s="18" t="n"/>
      <c r="T17" s="18" t="n"/>
      <c r="U17" s="18" t="n"/>
      <c r="V17" s="18" t="n"/>
      <c r="W17" s="18" t="n"/>
      <c r="X17" s="18" t="n"/>
      <c r="Y17" s="18" t="n"/>
      <c r="Z17" s="18" t="n"/>
      <c r="AA17" s="18" t="n"/>
      <c r="AB17" s="18" t="n"/>
      <c r="AC17" s="18" t="n"/>
      <c r="AD17" s="18" t="n"/>
      <c r="AE17" s="18" t="n"/>
      <c r="AF17" s="18" t="n"/>
      <c r="AG17" s="18" t="n"/>
      <c r="AH17" s="18" t="n"/>
      <c r="AI17" s="18" t="n"/>
      <c r="AJ17" s="18" t="n"/>
      <c r="AK17" s="18" t="n"/>
      <c r="AL17" s="18" t="n"/>
      <c r="AM17" s="18" t="n"/>
      <c r="AN17" s="18" t="n"/>
      <c r="AO17" s="18" t="n"/>
      <c r="AP17" s="18" t="n"/>
      <c r="AQ17" s="18" t="n"/>
      <c r="AR17" s="18" t="n"/>
      <c r="AS17" s="18" t="n"/>
      <c r="AT17" s="18" t="n"/>
      <c r="AU17" s="18" t="n"/>
      <c r="AV17" s="18" t="n"/>
      <c r="AW17" s="18" t="n"/>
      <c r="AX17" s="18" t="n"/>
      <c r="AY17" s="18" t="n"/>
      <c r="AZ17" s="18" t="n"/>
      <c r="BA17" s="18" t="n"/>
      <c r="BB17" s="18" t="n"/>
      <c r="BC17" s="18" t="n"/>
      <c r="BD17" s="18" t="n"/>
      <c r="BE17" s="18" t="n"/>
      <c r="BF17" s="18" t="n"/>
      <c r="BG17" s="18" t="n"/>
      <c r="BH17" s="18" t="n"/>
      <c r="BI17" s="18" t="n"/>
      <c r="BJ17" s="18" t="n"/>
      <c r="BK17" s="18" t="n"/>
      <c r="BL17" s="18" t="n"/>
      <c r="BM17" s="18" t="n"/>
      <c r="BN17" s="18" t="n"/>
      <c r="BO17" s="18" t="n"/>
      <c r="BP17" s="36" t="inlineStr">
        <is>
          <t>*</t>
        </is>
      </c>
      <c r="BQ17" s="18" t="n"/>
      <c r="BR17" s="18" t="n"/>
      <c r="BS17" s="18" t="n"/>
      <c r="BT17" s="18" t="n"/>
      <c r="BU17" s="18" t="n"/>
      <c r="BV17" s="18" t="n"/>
      <c r="BW17" s="18" t="n"/>
      <c r="BX17" s="18" t="n"/>
      <c r="BY17" s="18" t="n"/>
      <c r="BZ17" s="18" t="n"/>
      <c r="CA17" s="18" t="n"/>
      <c r="CB17" s="18" t="n"/>
      <c r="CC17" s="18" t="n"/>
      <c r="CD17" s="18" t="n"/>
      <c r="CE17" s="18" t="n"/>
      <c r="CF17" s="18" t="n"/>
      <c r="CG17" s="18" t="n"/>
      <c r="CH17" s="18" t="n"/>
      <c r="CI17" s="18" t="n"/>
      <c r="CJ17" s="18" t="n"/>
      <c r="CK17" s="18" t="n"/>
      <c r="CL17" s="18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/>
    </row>
    <row r="18">
      <c r="A18" s="18">
        <f>'Schedule_Data_Option_B'!A19</f>
        <v/>
      </c>
      <c r="B18" s="18">
        <f>'Schedule_Data_Option_B'!B19</f>
        <v/>
      </c>
      <c r="C18" s="18">
        <f>'Schedule_Data_Option_B'!C19</f>
        <v/>
      </c>
      <c r="D18" s="19">
        <f>'Schedule_Data_Option_B'!D19</f>
        <v/>
      </c>
      <c r="E18" s="18" t="n"/>
      <c r="F18" s="18" t="n"/>
      <c r="G18" s="18" t="n"/>
      <c r="H18" s="18" t="n"/>
      <c r="I18" s="18" t="n"/>
      <c r="J18" s="18" t="n"/>
      <c r="K18" s="18" t="n"/>
      <c r="L18" s="18" t="n"/>
      <c r="M18" s="18" t="n"/>
      <c r="N18" s="18" t="n"/>
      <c r="O18" s="18" t="n"/>
      <c r="P18" s="18" t="n"/>
      <c r="Q18" s="18" t="n"/>
      <c r="R18" s="18" t="n"/>
      <c r="S18" s="18" t="n"/>
      <c r="T18" s="18" t="n"/>
      <c r="U18" s="18" t="n"/>
      <c r="V18" s="18" t="n"/>
      <c r="W18" s="18" t="n"/>
      <c r="X18" s="18" t="n"/>
      <c r="Y18" s="18" t="n"/>
      <c r="Z18" s="18" t="n"/>
      <c r="AA18" s="18" t="n"/>
      <c r="AB18" s="18" t="n"/>
      <c r="AC18" s="18" t="n"/>
      <c r="AD18" s="18" t="n"/>
      <c r="AE18" s="18" t="n"/>
      <c r="AF18" s="18" t="n"/>
      <c r="AG18" s="18" t="n"/>
      <c r="AH18" s="18" t="n"/>
      <c r="AI18" s="18" t="n"/>
      <c r="AJ18" s="18" t="n"/>
      <c r="AK18" s="18" t="n"/>
      <c r="AL18" s="18" t="n"/>
      <c r="AM18" s="18" t="n"/>
      <c r="AN18" s="18" t="n"/>
      <c r="AO18" s="18" t="n"/>
      <c r="AP18" s="18" t="n"/>
      <c r="AQ18" s="18" t="n"/>
      <c r="AR18" s="18" t="n"/>
      <c r="AS18" s="18" t="n"/>
      <c r="AT18" s="18" t="n"/>
      <c r="AU18" s="18" t="n"/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9" t="n"/>
      <c r="BQ18" s="18" t="n"/>
      <c r="BR18" s="18" t="n"/>
      <c r="BS18" s="18" t="n"/>
      <c r="BT18" s="18" t="n"/>
      <c r="BU18" s="18" t="n"/>
      <c r="BV18" s="18" t="n"/>
      <c r="BW18" s="18" t="n"/>
      <c r="BX18" s="18" t="n"/>
      <c r="BY18" s="18" t="n"/>
      <c r="BZ18" s="18" t="n"/>
      <c r="CA18" s="18" t="n"/>
      <c r="CB18" s="18" t="n"/>
      <c r="CC18" s="18" t="n"/>
      <c r="CD18" s="18" t="n"/>
      <c r="CE18" s="18" t="n"/>
      <c r="CF18" s="18" t="n"/>
      <c r="CG18" s="18" t="n"/>
      <c r="CH18" s="18" t="n"/>
      <c r="CI18" s="18" t="n"/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</row>
    <row r="19">
      <c r="A19" s="18">
        <f>'Schedule_Data_Option_B'!A20</f>
        <v/>
      </c>
      <c r="B19" s="18">
        <f>'Schedule_Data_Option_B'!B20</f>
        <v/>
      </c>
      <c r="C19" s="18">
        <f>'Schedule_Data_Option_B'!C20</f>
        <v/>
      </c>
      <c r="D19" s="21">
        <f>'Schedule_Data_Option_B'!D20</f>
        <v/>
      </c>
      <c r="E19" s="18" t="n"/>
      <c r="F19" s="36" t="inlineStr">
        <is>
          <t>*</t>
        </is>
      </c>
      <c r="G19" s="18" t="n"/>
      <c r="H19" s="18" t="n"/>
      <c r="I19" s="18" t="n"/>
      <c r="J19" s="18" t="n"/>
      <c r="K19" s="18" t="n"/>
      <c r="L19" s="18" t="n"/>
      <c r="M19" s="18" t="n"/>
      <c r="N19" s="18" t="n"/>
      <c r="O19" s="18" t="n"/>
      <c r="P19" s="18" t="n"/>
      <c r="Q19" s="18" t="n"/>
      <c r="R19" s="18" t="n"/>
      <c r="S19" s="18" t="n"/>
      <c r="T19" s="18" t="n"/>
      <c r="U19" s="18" t="n"/>
      <c r="V19" s="18" t="n"/>
      <c r="W19" s="18" t="n"/>
      <c r="X19" s="18" t="n"/>
      <c r="Y19" s="18" t="n"/>
      <c r="Z19" s="18" t="n"/>
      <c r="AA19" s="18" t="n"/>
      <c r="AB19" s="18" t="n"/>
      <c r="AC19" s="18" t="n"/>
      <c r="AD19" s="18" t="n"/>
      <c r="AE19" s="18" t="n"/>
      <c r="AF19" s="18" t="n"/>
      <c r="AG19" s="18" t="n"/>
      <c r="AH19" s="18" t="n"/>
      <c r="AI19" s="18" t="n"/>
      <c r="AJ19" s="18" t="n"/>
      <c r="AK19" s="18" t="n"/>
      <c r="AL19" s="18" t="n"/>
      <c r="AM19" s="18" t="n"/>
      <c r="AN19" s="18" t="n"/>
      <c r="AO19" s="18" t="n"/>
      <c r="AP19" s="18" t="n"/>
      <c r="AQ19" s="18" t="n"/>
      <c r="AR19" s="18" t="n"/>
      <c r="AS19" s="18" t="n"/>
      <c r="AT19" s="18" t="n"/>
      <c r="AU19" s="18" t="n"/>
      <c r="AV19" s="18" t="n"/>
      <c r="AW19" s="18" t="n"/>
      <c r="AX19" s="18" t="n"/>
      <c r="AY19" s="18" t="n"/>
      <c r="AZ19" s="18" t="n"/>
      <c r="BA19" s="18" t="n"/>
      <c r="BB19" s="18" t="n"/>
      <c r="BC19" s="18" t="n"/>
      <c r="BD19" s="18" t="n"/>
      <c r="BE19" s="18" t="n"/>
      <c r="BF19" s="18" t="n"/>
      <c r="BG19" s="18" t="n"/>
      <c r="BH19" s="18" t="n"/>
      <c r="BI19" s="18" t="n"/>
      <c r="BJ19" s="18" t="n"/>
      <c r="BK19" s="18" t="n"/>
      <c r="BL19" s="18" t="n"/>
      <c r="BM19" s="18" t="n"/>
      <c r="BN19" s="18" t="n"/>
      <c r="BO19" s="18" t="n"/>
      <c r="BP19" s="18" t="n"/>
      <c r="BQ19" s="18" t="n"/>
      <c r="BR19" s="18" t="n"/>
      <c r="BS19" s="18" t="n"/>
      <c r="BT19" s="18" t="n"/>
      <c r="BU19" s="18" t="n"/>
      <c r="BV19" s="18" t="n"/>
      <c r="BW19" s="18" t="n"/>
      <c r="BX19" s="18" t="n"/>
      <c r="BY19" s="18" t="n"/>
      <c r="BZ19" s="18" t="n"/>
      <c r="CA19" s="18" t="n"/>
      <c r="CB19" s="18" t="n"/>
      <c r="CC19" s="18" t="n"/>
      <c r="CD19" s="18" t="n"/>
      <c r="CE19" s="18" t="n"/>
      <c r="CF19" s="18" t="n"/>
      <c r="CG19" s="18" t="n"/>
      <c r="CH19" s="18" t="n"/>
      <c r="CI19" s="18" t="n"/>
      <c r="CJ19" s="18" t="n"/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/>
      <c r="DL19" s="18" t="n"/>
      <c r="DM19" s="18" t="n"/>
      <c r="DN19" s="18" t="n"/>
      <c r="DO19" s="18" t="n"/>
      <c r="DP19" s="18" t="n"/>
      <c r="DQ19" s="18" t="n"/>
      <c r="DR19" s="18" t="n"/>
      <c r="DS19" s="18" t="n"/>
      <c r="DT19" s="18" t="n"/>
    </row>
    <row r="20">
      <c r="A20" s="18">
        <f>'Schedule_Data_Option_B'!A21</f>
        <v/>
      </c>
      <c r="B20" s="18">
        <f>'Schedule_Data_Option_B'!B21</f>
        <v/>
      </c>
      <c r="C20" s="18">
        <f>'Schedule_Data_Option_B'!C21</f>
        <v/>
      </c>
      <c r="D20" s="21">
        <f>'Schedule_Data_Option_B'!D21</f>
        <v/>
      </c>
      <c r="E20" s="18" t="n"/>
      <c r="F20" s="36" t="inlineStr">
        <is>
          <t>*</t>
        </is>
      </c>
      <c r="G20" s="18" t="n"/>
      <c r="H20" s="18" t="n"/>
      <c r="I20" s="18" t="n"/>
      <c r="J20" s="18" t="n"/>
      <c r="K20" s="18" t="n"/>
      <c r="L20" s="18" t="n"/>
      <c r="M20" s="18" t="n"/>
      <c r="N20" s="18" t="n"/>
      <c r="O20" s="18" t="n"/>
      <c r="P20" s="18" t="n"/>
      <c r="Q20" s="18" t="n"/>
      <c r="R20" s="18" t="n"/>
      <c r="S20" s="18" t="n"/>
      <c r="T20" s="18" t="n"/>
      <c r="U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  <c r="AD20" s="18" t="n"/>
      <c r="AE20" s="18" t="n"/>
      <c r="AF20" s="18" t="n"/>
      <c r="AG20" s="18" t="n"/>
      <c r="AH20" s="18" t="n"/>
      <c r="AI20" s="18" t="n"/>
      <c r="AJ20" s="18" t="n"/>
      <c r="AK20" s="18" t="n"/>
      <c r="AL20" s="18" t="n"/>
      <c r="AM20" s="18" t="n"/>
      <c r="AN20" s="18" t="n"/>
      <c r="AO20" s="18" t="n"/>
      <c r="AP20" s="18" t="n"/>
      <c r="AQ20" s="18" t="n"/>
      <c r="AR20" s="18" t="n"/>
      <c r="AS20" s="18" t="n"/>
      <c r="AT20" s="18" t="n"/>
      <c r="AU20" s="18" t="n"/>
      <c r="AV20" s="18" t="n"/>
      <c r="AW20" s="18" t="n"/>
      <c r="AX20" s="18" t="n"/>
      <c r="AY20" s="18" t="n"/>
      <c r="AZ20" s="18" t="n"/>
      <c r="BA20" s="18" t="n"/>
      <c r="BB20" s="18" t="n"/>
      <c r="BC20" s="18" t="n"/>
      <c r="BD20" s="18" t="n"/>
      <c r="BE20" s="18" t="n"/>
      <c r="BF20" s="18" t="n"/>
      <c r="BG20" s="18" t="n"/>
      <c r="BH20" s="18" t="n"/>
      <c r="BI20" s="18" t="n"/>
      <c r="BJ20" s="18" t="n"/>
      <c r="BK20" s="18" t="n"/>
      <c r="BL20" s="18" t="n"/>
      <c r="BM20" s="18" t="n"/>
      <c r="BN20" s="18" t="n"/>
      <c r="BO20" s="18" t="n"/>
      <c r="BP20" s="18" t="n"/>
      <c r="BQ20" s="18" t="n"/>
      <c r="BR20" s="18" t="n"/>
      <c r="BS20" s="18" t="n"/>
      <c r="BT20" s="18" t="n"/>
      <c r="BU20" s="18" t="n"/>
      <c r="BV20" s="18" t="n"/>
      <c r="BW20" s="18" t="n"/>
      <c r="BX20" s="18" t="n"/>
      <c r="BY20" s="18" t="n"/>
      <c r="BZ20" s="18" t="n"/>
      <c r="CA20" s="18" t="n"/>
      <c r="CB20" s="18" t="n"/>
      <c r="CC20" s="18" t="n"/>
      <c r="CD20" s="18" t="n"/>
      <c r="CE20" s="18" t="n"/>
      <c r="CF20" s="18" t="n"/>
      <c r="CG20" s="18" t="n"/>
      <c r="CH20" s="18" t="n"/>
      <c r="CI20" s="18" t="n"/>
      <c r="CJ20" s="18" t="n"/>
      <c r="CK20" s="18" t="n"/>
      <c r="CL20" s="18" t="n"/>
      <c r="CM20" s="18" t="n"/>
      <c r="CN20" s="18" t="n"/>
      <c r="CO20" s="18" t="n"/>
      <c r="CP20" s="18" t="n"/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/>
      <c r="CZ20" s="18" t="n"/>
      <c r="DA20" s="18" t="n"/>
      <c r="DB20" s="18" t="n"/>
      <c r="DC20" s="18" t="n"/>
      <c r="DD20" s="18" t="n"/>
      <c r="DE20" s="18" t="n"/>
      <c r="DF20" s="18" t="n"/>
      <c r="DG20" s="18" t="n"/>
      <c r="DH20" s="18" t="n"/>
      <c r="DI20" s="18" t="n"/>
      <c r="DJ20" s="18" t="n"/>
      <c r="DK20" s="18" t="n"/>
      <c r="DL20" s="18" t="n"/>
      <c r="DM20" s="18" t="n"/>
      <c r="DN20" s="18" t="n"/>
      <c r="DO20" s="18" t="n"/>
      <c r="DP20" s="18" t="n"/>
      <c r="DQ20" s="18" t="n"/>
      <c r="DR20" s="18" t="n"/>
      <c r="DS20" s="18" t="n"/>
      <c r="DT20" s="18" t="n"/>
    </row>
    <row r="21">
      <c r="A21" s="18">
        <f>'Schedule_Data_Option_B'!A22</f>
        <v/>
      </c>
      <c r="B21" s="18">
        <f>'Schedule_Data_Option_B'!B22</f>
        <v/>
      </c>
      <c r="C21" s="18">
        <f>'Schedule_Data_Option_B'!C22</f>
        <v/>
      </c>
      <c r="D21" s="21">
        <f>'Schedule_Data_Option_B'!D22</f>
        <v/>
      </c>
      <c r="E21" s="18" t="n"/>
      <c r="F21" s="21" t="n"/>
      <c r="G21" s="18" t="n"/>
      <c r="H21" s="18" t="n"/>
      <c r="I21" s="18" t="n"/>
      <c r="J21" s="18" t="n"/>
      <c r="K21" s="18" t="n"/>
      <c r="L21" s="18" t="n"/>
      <c r="M21" s="18" t="n"/>
      <c r="N21" s="18" t="n"/>
      <c r="O21" s="18" t="n"/>
      <c r="P21" s="18" t="n"/>
      <c r="Q21" s="18" t="n"/>
      <c r="R21" s="18" t="n"/>
      <c r="S21" s="18" t="n"/>
      <c r="T21" s="18" t="n"/>
      <c r="U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  <c r="AD21" s="18" t="n"/>
      <c r="AE21" s="18" t="n"/>
      <c r="AF21" s="18" t="n"/>
      <c r="AG21" s="18" t="n"/>
      <c r="AH21" s="18" t="n"/>
      <c r="AI21" s="18" t="n"/>
      <c r="AJ21" s="18" t="n"/>
      <c r="AK21" s="18" t="n"/>
      <c r="AL21" s="18" t="n"/>
      <c r="AM21" s="18" t="n"/>
      <c r="AN21" s="18" t="n"/>
      <c r="AO21" s="18" t="n"/>
      <c r="AP21" s="18" t="n"/>
      <c r="AQ21" s="18" t="n"/>
      <c r="AR21" s="18" t="n"/>
      <c r="AS21" s="18" t="n"/>
      <c r="AT21" s="18" t="n"/>
      <c r="AU21" s="18" t="n"/>
      <c r="AV21" s="18" t="n"/>
      <c r="AW21" s="18" t="n"/>
      <c r="AX21" s="18" t="n"/>
      <c r="AY21" s="18" t="n"/>
      <c r="AZ21" s="18" t="n"/>
      <c r="BA21" s="18" t="n"/>
      <c r="BB21" s="18" t="n"/>
      <c r="BC21" s="18" t="n"/>
      <c r="BD21" s="18" t="n"/>
      <c r="BE21" s="18" t="n"/>
      <c r="BF21" s="18" t="n"/>
      <c r="BG21" s="18" t="n"/>
      <c r="BH21" s="18" t="n"/>
      <c r="BI21" s="18" t="n"/>
      <c r="BJ21" s="18" t="n"/>
      <c r="BK21" s="18" t="n"/>
      <c r="BL21" s="18" t="n"/>
      <c r="BM21" s="18" t="n"/>
      <c r="BN21" s="18" t="n"/>
      <c r="BO21" s="18" t="n"/>
      <c r="BP21" s="18" t="n"/>
      <c r="BQ21" s="18" t="n"/>
      <c r="BR21" s="18" t="n"/>
      <c r="BS21" s="18" t="n"/>
      <c r="BT21" s="18" t="n"/>
      <c r="BU21" s="18" t="n"/>
      <c r="BV21" s="18" t="n"/>
      <c r="BW21" s="18" t="n"/>
      <c r="BX21" s="18" t="n"/>
      <c r="BY21" s="18" t="n"/>
      <c r="BZ21" s="18" t="n"/>
      <c r="CA21" s="18" t="n"/>
      <c r="CB21" s="18" t="n"/>
      <c r="CC21" s="18" t="n"/>
      <c r="CD21" s="18" t="n"/>
      <c r="CE21" s="18" t="n"/>
      <c r="CF21" s="18" t="n"/>
      <c r="CG21" s="18" t="n"/>
      <c r="CH21" s="18" t="n"/>
      <c r="CI21" s="18" t="n"/>
      <c r="CJ21" s="18" t="n"/>
      <c r="CK21" s="18" t="n"/>
      <c r="CL21" s="18" t="n"/>
      <c r="CM21" s="18" t="n"/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/>
      <c r="CX21" s="18" t="n"/>
      <c r="CY21" s="18" t="n"/>
      <c r="CZ21" s="18" t="n"/>
      <c r="DA21" s="18" t="n"/>
      <c r="DB21" s="18" t="n"/>
      <c r="DC21" s="18" t="n"/>
      <c r="DD21" s="18" t="n"/>
      <c r="DE21" s="18" t="n"/>
      <c r="DF21" s="18" t="n"/>
      <c r="DG21" s="18" t="n"/>
      <c r="DH21" s="18" t="n"/>
      <c r="DI21" s="18" t="n"/>
      <c r="DJ21" s="18" t="n"/>
      <c r="DK21" s="18" t="n"/>
      <c r="DL21" s="18" t="n"/>
      <c r="DM21" s="18" t="n"/>
      <c r="DN21" s="18" t="n"/>
      <c r="DO21" s="18" t="n"/>
      <c r="DP21" s="18" t="n"/>
      <c r="DQ21" s="18" t="n"/>
      <c r="DR21" s="18" t="n"/>
      <c r="DS21" s="18" t="n"/>
      <c r="DT21" s="18" t="n"/>
    </row>
    <row r="22">
      <c r="A22" s="18">
        <f>'Schedule_Data_Option_B'!A23</f>
        <v/>
      </c>
      <c r="B22" s="18">
        <f>'Schedule_Data_Option_B'!B23</f>
        <v/>
      </c>
      <c r="C22" s="18">
        <f>'Schedule_Data_Option_B'!C23</f>
        <v/>
      </c>
      <c r="D22" s="21">
        <f>'Schedule_Data_Option_B'!D23</f>
        <v/>
      </c>
      <c r="E22" s="18" t="n"/>
      <c r="F22" s="18" t="n"/>
      <c r="G22" s="21" t="n"/>
      <c r="H22" s="18" t="n"/>
      <c r="I22" s="18" t="n"/>
      <c r="J22" s="18" t="n"/>
      <c r="K22" s="18" t="n"/>
      <c r="L22" s="18" t="n"/>
      <c r="M22" s="18" t="n"/>
      <c r="N22" s="18" t="n"/>
      <c r="O22" s="18" t="n"/>
      <c r="P22" s="18" t="n"/>
      <c r="Q22" s="18" t="n"/>
      <c r="R22" s="18" t="n"/>
      <c r="S22" s="18" t="n"/>
      <c r="T22" s="18" t="n"/>
      <c r="U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  <c r="AD22" s="18" t="n"/>
      <c r="AE22" s="18" t="n"/>
      <c r="AF22" s="18" t="n"/>
      <c r="AG22" s="18" t="n"/>
      <c r="AH22" s="18" t="n"/>
      <c r="AI22" s="18" t="n"/>
      <c r="AJ22" s="18" t="n"/>
      <c r="AK22" s="18" t="n"/>
      <c r="AL22" s="18" t="n"/>
      <c r="AM22" s="18" t="n"/>
      <c r="AN22" s="18" t="n"/>
      <c r="AO22" s="18" t="n"/>
      <c r="AP22" s="18" t="n"/>
      <c r="AQ22" s="18" t="n"/>
      <c r="AR22" s="18" t="n"/>
      <c r="AS22" s="18" t="n"/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18" t="n"/>
      <c r="BU22" s="18" t="n"/>
      <c r="BV22" s="18" t="n"/>
      <c r="BW22" s="18" t="n"/>
      <c r="BX22" s="18" t="n"/>
      <c r="BY22" s="18" t="n"/>
      <c r="BZ22" s="18" t="n"/>
      <c r="CA22" s="18" t="n"/>
      <c r="CB22" s="18" t="n"/>
      <c r="CC22" s="18" t="n"/>
      <c r="CD22" s="18" t="n"/>
      <c r="CE22" s="18" t="n"/>
      <c r="CF22" s="18" t="n"/>
      <c r="CG22" s="18" t="n"/>
      <c r="CH22" s="18" t="n"/>
      <c r="CI22" s="18" t="n"/>
      <c r="CJ22" s="18" t="n"/>
      <c r="CK22" s="18" t="n"/>
      <c r="CL22" s="18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18" t="n"/>
      <c r="DL22" s="18" t="n"/>
      <c r="DM22" s="18" t="n"/>
      <c r="DN22" s="18" t="n"/>
      <c r="DO22" s="18" t="n"/>
      <c r="DP22" s="18" t="n"/>
      <c r="DQ22" s="18" t="n"/>
      <c r="DR22" s="18" t="n"/>
      <c r="DS22" s="18" t="n"/>
      <c r="DT22" s="18" t="n"/>
    </row>
    <row r="23">
      <c r="A23" s="18">
        <f>'Schedule_Data_Option_B'!A24</f>
        <v/>
      </c>
      <c r="B23" s="18">
        <f>'Schedule_Data_Option_B'!B24</f>
        <v/>
      </c>
      <c r="C23" s="18">
        <f>'Schedule_Data_Option_B'!C24</f>
        <v/>
      </c>
      <c r="D23" s="22">
        <f>'Schedule_Data_Option_B'!D24</f>
        <v/>
      </c>
      <c r="E23" s="18" t="n"/>
      <c r="F23" s="37" t="inlineStr">
        <is>
          <t>*</t>
        </is>
      </c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18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  <c r="AE23" s="18" t="n"/>
      <c r="AF23" s="18" t="n"/>
      <c r="AG23" s="18" t="n"/>
      <c r="AH23" s="18" t="n"/>
      <c r="AI23" s="18" t="n"/>
      <c r="AJ23" s="18" t="n"/>
      <c r="AK23" s="18" t="n"/>
      <c r="AL23" s="18" t="n"/>
      <c r="AM23" s="18" t="n"/>
      <c r="AN23" s="18" t="n"/>
      <c r="AO23" s="18" t="n"/>
      <c r="AP23" s="18" t="n"/>
      <c r="AQ23" s="18" t="n"/>
      <c r="AR23" s="18" t="n"/>
      <c r="AS23" s="18" t="n"/>
      <c r="AT23" s="18" t="n"/>
      <c r="AU23" s="18" t="n"/>
      <c r="AV23" s="18" t="n"/>
      <c r="AW23" s="18" t="n"/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18" t="n"/>
      <c r="BU23" s="18" t="n"/>
      <c r="BV23" s="18" t="n"/>
      <c r="BW23" s="18" t="n"/>
      <c r="BX23" s="18" t="n"/>
      <c r="BY23" s="18" t="n"/>
      <c r="BZ23" s="18" t="n"/>
      <c r="CA23" s="18" t="n"/>
      <c r="CB23" s="18" t="n"/>
      <c r="CC23" s="18" t="n"/>
      <c r="CD23" s="18" t="n"/>
      <c r="CE23" s="18" t="n"/>
      <c r="CF23" s="18" t="n"/>
      <c r="CG23" s="18" t="n"/>
      <c r="CH23" s="18" t="n"/>
      <c r="CI23" s="18" t="n"/>
      <c r="CJ23" s="18" t="n"/>
      <c r="CK23" s="18" t="n"/>
      <c r="CL23" s="18" t="n"/>
      <c r="CM23" s="18" t="n"/>
      <c r="CN23" s="18" t="n"/>
      <c r="CO23" s="18" t="n"/>
      <c r="CP23" s="18" t="n"/>
      <c r="CQ23" s="18" t="n"/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/>
      <c r="DD23" s="18" t="n"/>
      <c r="DE23" s="18" t="n"/>
      <c r="DF23" s="18" t="n"/>
      <c r="DG23" s="18" t="n"/>
      <c r="DH23" s="18" t="n"/>
      <c r="DI23" s="18" t="n"/>
      <c r="DJ23" s="18" t="n"/>
      <c r="DK23" s="18" t="n"/>
      <c r="DL23" s="18" t="n"/>
      <c r="DM23" s="18" t="n"/>
      <c r="DN23" s="18" t="n"/>
      <c r="DO23" s="18" t="n"/>
      <c r="DP23" s="18" t="n"/>
      <c r="DQ23" s="18" t="n"/>
      <c r="DR23" s="18" t="n"/>
      <c r="DS23" s="18" t="n"/>
      <c r="DT23" s="18" t="n"/>
    </row>
    <row r="24">
      <c r="A24" s="18">
        <f>'Schedule_Data_Option_B'!A25</f>
        <v/>
      </c>
      <c r="B24" s="18">
        <f>'Schedule_Data_Option_B'!B25</f>
        <v/>
      </c>
      <c r="C24" s="18">
        <f>'Schedule_Data_Option_B'!C25</f>
        <v/>
      </c>
      <c r="D24" s="22">
        <f>'Schedule_Data_Option_B'!D25</f>
        <v/>
      </c>
      <c r="E24" s="18" t="n"/>
      <c r="F24" s="22" t="n"/>
      <c r="G24" s="18" t="n"/>
      <c r="H24" s="18" t="n"/>
      <c r="I24" s="18" t="n"/>
      <c r="J24" s="18" t="n"/>
      <c r="K24" s="18" t="n"/>
      <c r="L24" s="18" t="n"/>
      <c r="M24" s="18" t="n"/>
      <c r="N24" s="18" t="n"/>
      <c r="O24" s="18" t="n"/>
      <c r="P24" s="18" t="n"/>
      <c r="Q24" s="18" t="n"/>
      <c r="R24" s="18" t="n"/>
      <c r="S24" s="18" t="n"/>
      <c r="T24" s="18" t="n"/>
      <c r="U24" s="18" t="n"/>
      <c r="V24" s="18" t="n"/>
      <c r="W24" s="18" t="n"/>
      <c r="X24" s="18" t="n"/>
      <c r="Y24" s="18" t="n"/>
      <c r="Z24" s="18" t="n"/>
      <c r="AA24" s="18" t="n"/>
      <c r="AB24" s="18" t="n"/>
      <c r="AC24" s="18" t="n"/>
      <c r="AD24" s="18" t="n"/>
      <c r="AE24" s="18" t="n"/>
      <c r="AF24" s="18" t="n"/>
      <c r="AG24" s="18" t="n"/>
      <c r="AH24" s="18" t="n"/>
      <c r="AI24" s="18" t="n"/>
      <c r="AJ24" s="18" t="n"/>
      <c r="AK24" s="18" t="n"/>
      <c r="AL24" s="18" t="n"/>
      <c r="AM24" s="18" t="n"/>
      <c r="AN24" s="18" t="n"/>
      <c r="AO24" s="18" t="n"/>
      <c r="AP24" s="18" t="n"/>
      <c r="AQ24" s="18" t="n"/>
      <c r="AR24" s="18" t="n"/>
      <c r="AS24" s="18" t="n"/>
      <c r="AT24" s="18" t="n"/>
      <c r="AU24" s="18" t="n"/>
      <c r="AV24" s="18" t="n"/>
      <c r="AW24" s="18" t="n"/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18" t="n"/>
      <c r="BU24" s="18" t="n"/>
      <c r="BV24" s="18" t="n"/>
      <c r="BW24" s="18" t="n"/>
      <c r="BX24" s="18" t="n"/>
      <c r="BY24" s="18" t="n"/>
      <c r="BZ24" s="18" t="n"/>
      <c r="CA24" s="18" t="n"/>
      <c r="CB24" s="18" t="n"/>
      <c r="CC24" s="18" t="n"/>
      <c r="CD24" s="18" t="n"/>
      <c r="CE24" s="18" t="n"/>
      <c r="CF24" s="18" t="n"/>
      <c r="CG24" s="18" t="n"/>
      <c r="CH24" s="18" t="n"/>
      <c r="CI24" s="18" t="n"/>
      <c r="CJ24" s="18" t="n"/>
      <c r="CK24" s="18" t="n"/>
      <c r="CL24" s="18" t="n"/>
      <c r="CM24" s="18" t="n"/>
      <c r="CN24" s="18" t="n"/>
      <c r="CO24" s="18" t="n"/>
      <c r="CP24" s="18" t="n"/>
      <c r="CQ24" s="18" t="n"/>
      <c r="CR24" s="18" t="n"/>
      <c r="CS24" s="18" t="n"/>
      <c r="CT24" s="18" t="n"/>
      <c r="CU24" s="18" t="n"/>
      <c r="CV24" s="18" t="n"/>
      <c r="CW24" s="18" t="n"/>
      <c r="CX24" s="18" t="n"/>
      <c r="CY24" s="18" t="n"/>
      <c r="CZ24" s="18" t="n"/>
      <c r="DA24" s="18" t="n"/>
      <c r="DB24" s="18" t="n"/>
      <c r="DC24" s="18" t="n"/>
      <c r="DD24" s="18" t="n"/>
      <c r="DE24" s="18" t="n"/>
      <c r="DF24" s="18" t="n"/>
      <c r="DG24" s="18" t="n"/>
      <c r="DH24" s="18" t="n"/>
      <c r="DI24" s="18" t="n"/>
      <c r="DJ24" s="18" t="n"/>
      <c r="DK24" s="18" t="n"/>
      <c r="DL24" s="18" t="n"/>
      <c r="DM24" s="18" t="n"/>
      <c r="DN24" s="18" t="n"/>
      <c r="DO24" s="18" t="n"/>
      <c r="DP24" s="18" t="n"/>
      <c r="DQ24" s="18" t="n"/>
      <c r="DR24" s="18" t="n"/>
      <c r="DS24" s="18" t="n"/>
      <c r="DT24" s="18" t="n"/>
    </row>
    <row r="25">
      <c r="A25" s="18">
        <f>'Schedule_Data_Option_B'!A26</f>
        <v/>
      </c>
      <c r="B25" s="18">
        <f>'Schedule_Data_Option_B'!B26</f>
        <v/>
      </c>
      <c r="C25" s="18">
        <f>'Schedule_Data_Option_B'!C26</f>
        <v/>
      </c>
      <c r="D25" s="22">
        <f>'Schedule_Data_Option_B'!D26</f>
        <v/>
      </c>
      <c r="E25" s="18" t="n"/>
      <c r="F25" s="18" t="n"/>
      <c r="G25" s="22" t="n"/>
      <c r="H25" s="18" t="n"/>
      <c r="I25" s="18" t="n"/>
      <c r="J25" s="18" t="n"/>
      <c r="K25" s="18" t="n"/>
      <c r="L25" s="18" t="n"/>
      <c r="M25" s="18" t="n"/>
      <c r="N25" s="18" t="n"/>
      <c r="O25" s="18" t="n"/>
      <c r="P25" s="18" t="n"/>
      <c r="Q25" s="18" t="n"/>
      <c r="R25" s="18" t="n"/>
      <c r="S25" s="18" t="n"/>
      <c r="T25" s="18" t="n"/>
      <c r="U25" s="18" t="n"/>
      <c r="V25" s="18" t="n"/>
      <c r="W25" s="18" t="n"/>
      <c r="X25" s="18" t="n"/>
      <c r="Y25" s="18" t="n"/>
      <c r="Z25" s="18" t="n"/>
      <c r="AA25" s="18" t="n"/>
      <c r="AB25" s="18" t="n"/>
      <c r="AC25" s="18" t="n"/>
      <c r="AD25" s="18" t="n"/>
      <c r="AE25" s="18" t="n"/>
      <c r="AF25" s="18" t="n"/>
      <c r="AG25" s="18" t="n"/>
      <c r="AH25" s="18" t="n"/>
      <c r="AI25" s="18" t="n"/>
      <c r="AJ25" s="18" t="n"/>
      <c r="AK25" s="18" t="n"/>
      <c r="AL25" s="18" t="n"/>
      <c r="AM25" s="18" t="n"/>
      <c r="AN25" s="18" t="n"/>
      <c r="AO25" s="18" t="n"/>
      <c r="AP25" s="18" t="n"/>
      <c r="AQ25" s="18" t="n"/>
      <c r="AR25" s="18" t="n"/>
      <c r="AS25" s="18" t="n"/>
      <c r="AT25" s="18" t="n"/>
      <c r="AU25" s="18" t="n"/>
      <c r="AV25" s="18" t="n"/>
      <c r="AW25" s="18" t="n"/>
      <c r="AX25" s="18" t="n"/>
      <c r="AY25" s="18" t="n"/>
      <c r="AZ25" s="18" t="n"/>
      <c r="BA25" s="18" t="n"/>
      <c r="BB25" s="18" t="n"/>
      <c r="BC25" s="18" t="n"/>
      <c r="BD25" s="18" t="n"/>
      <c r="BE25" s="18" t="n"/>
      <c r="BF25" s="18" t="n"/>
      <c r="BG25" s="18" t="n"/>
      <c r="BH25" s="18" t="n"/>
      <c r="BI25" s="18" t="n"/>
      <c r="BJ25" s="18" t="n"/>
      <c r="BK25" s="18" t="n"/>
      <c r="BL25" s="18" t="n"/>
      <c r="BM25" s="18" t="n"/>
      <c r="BN25" s="18" t="n"/>
      <c r="BO25" s="18" t="n"/>
      <c r="BP25" s="18" t="n"/>
      <c r="BQ25" s="18" t="n"/>
      <c r="BR25" s="18" t="n"/>
      <c r="BS25" s="18" t="n"/>
      <c r="BT25" s="18" t="n"/>
      <c r="BU25" s="18" t="n"/>
      <c r="BV25" s="18" t="n"/>
      <c r="BW25" s="18" t="n"/>
      <c r="BX25" s="18" t="n"/>
      <c r="BY25" s="18" t="n"/>
      <c r="BZ25" s="18" t="n"/>
      <c r="CA25" s="18" t="n"/>
      <c r="CB25" s="18" t="n"/>
      <c r="CC25" s="18" t="n"/>
      <c r="CD25" s="18" t="n"/>
      <c r="CE25" s="18" t="n"/>
      <c r="CF25" s="18" t="n"/>
      <c r="CG25" s="18" t="n"/>
      <c r="CH25" s="18" t="n"/>
      <c r="CI25" s="18" t="n"/>
      <c r="CJ25" s="18" t="n"/>
      <c r="CK25" s="18" t="n"/>
      <c r="CL25" s="18" t="n"/>
      <c r="CM25" s="18" t="n"/>
      <c r="CN25" s="18" t="n"/>
      <c r="CO25" s="18" t="n"/>
      <c r="CP25" s="18" t="n"/>
      <c r="CQ25" s="18" t="n"/>
      <c r="CR25" s="18" t="n"/>
      <c r="CS25" s="18" t="n"/>
      <c r="CT25" s="18" t="n"/>
      <c r="CU25" s="18" t="n"/>
      <c r="CV25" s="18" t="n"/>
      <c r="CW25" s="18" t="n"/>
      <c r="CX25" s="18" t="n"/>
      <c r="CY25" s="18" t="n"/>
      <c r="CZ25" s="18" t="n"/>
      <c r="DA25" s="18" t="n"/>
      <c r="DB25" s="18" t="n"/>
      <c r="DC25" s="18" t="n"/>
      <c r="DD25" s="18" t="n"/>
      <c r="DE25" s="18" t="n"/>
      <c r="DF25" s="18" t="n"/>
      <c r="DG25" s="18" t="n"/>
      <c r="DH25" s="18" t="n"/>
      <c r="DI25" s="18" t="n"/>
      <c r="DJ25" s="18" t="n"/>
      <c r="DK25" s="18" t="n"/>
      <c r="DL25" s="18" t="n"/>
      <c r="DM25" s="18" t="n"/>
      <c r="DN25" s="18" t="n"/>
      <c r="DO25" s="18" t="n"/>
      <c r="DP25" s="18" t="n"/>
      <c r="DQ25" s="18" t="n"/>
      <c r="DR25" s="18" t="n"/>
      <c r="DS25" s="18" t="n"/>
      <c r="DT25" s="18" t="n"/>
    </row>
    <row r="26">
      <c r="A26" s="18">
        <f>'Schedule_Data_Option_B'!A27</f>
        <v/>
      </c>
      <c r="B26" s="18">
        <f>'Schedule_Data_Option_B'!B27</f>
        <v/>
      </c>
      <c r="C26" s="18">
        <f>'Schedule_Data_Option_B'!C27</f>
        <v/>
      </c>
      <c r="D26" s="21">
        <f>'Schedule_Data_Option_B'!D27</f>
        <v/>
      </c>
      <c r="E26" s="18" t="n"/>
      <c r="F26" s="18" t="n"/>
      <c r="G26" s="18" t="n"/>
      <c r="H26" s="36" t="inlineStr">
        <is>
          <t>*</t>
        </is>
      </c>
      <c r="I26" s="18" t="n"/>
      <c r="J26" s="18" t="n"/>
      <c r="K26" s="18" t="n"/>
      <c r="L26" s="18" t="n"/>
      <c r="M26" s="18" t="n"/>
      <c r="N26" s="18" t="n"/>
      <c r="O26" s="18" t="n"/>
      <c r="P26" s="18" t="n"/>
      <c r="Q26" s="18" t="n"/>
      <c r="R26" s="18" t="n"/>
      <c r="S26" s="18" t="n"/>
      <c r="T26" s="18" t="n"/>
      <c r="U26" s="18" t="n"/>
      <c r="V26" s="18" t="n"/>
      <c r="W26" s="18" t="n"/>
      <c r="X26" s="18" t="n"/>
      <c r="Y26" s="18" t="n"/>
      <c r="Z26" s="18" t="n"/>
      <c r="AA26" s="18" t="n"/>
      <c r="AB26" s="18" t="n"/>
      <c r="AC26" s="18" t="n"/>
      <c r="AD26" s="18" t="n"/>
      <c r="AE26" s="18" t="n"/>
      <c r="AF26" s="18" t="n"/>
      <c r="AG26" s="18" t="n"/>
      <c r="AH26" s="18" t="n"/>
      <c r="AI26" s="18" t="n"/>
      <c r="AJ26" s="18" t="n"/>
      <c r="AK26" s="18" t="n"/>
      <c r="AL26" s="18" t="n"/>
      <c r="AM26" s="18" t="n"/>
      <c r="AN26" s="18" t="n"/>
      <c r="AO26" s="18" t="n"/>
      <c r="AP26" s="18" t="n"/>
      <c r="AQ26" s="18" t="n"/>
      <c r="AR26" s="18" t="n"/>
      <c r="AS26" s="18" t="n"/>
      <c r="AT26" s="18" t="n"/>
      <c r="AU26" s="18" t="n"/>
      <c r="AV26" s="18" t="n"/>
      <c r="AW26" s="18" t="n"/>
      <c r="AX26" s="18" t="n"/>
      <c r="AY26" s="18" t="n"/>
      <c r="AZ26" s="18" t="n"/>
      <c r="BA26" s="18" t="n"/>
      <c r="BB26" s="18" t="n"/>
      <c r="BC26" s="18" t="n"/>
      <c r="BD26" s="18" t="n"/>
      <c r="BE26" s="18" t="n"/>
      <c r="BF26" s="18" t="n"/>
      <c r="BG26" s="18" t="n"/>
      <c r="BH26" s="18" t="n"/>
      <c r="BI26" s="18" t="n"/>
      <c r="BJ26" s="18" t="n"/>
      <c r="BK26" s="18" t="n"/>
      <c r="BL26" s="18" t="n"/>
      <c r="BM26" s="18" t="n"/>
      <c r="BN26" s="18" t="n"/>
      <c r="BO26" s="18" t="n"/>
      <c r="BP26" s="18" t="n"/>
      <c r="BQ26" s="18" t="n"/>
      <c r="BR26" s="18" t="n"/>
      <c r="BS26" s="18" t="n"/>
      <c r="BT26" s="18" t="n"/>
      <c r="BU26" s="18" t="n"/>
      <c r="BV26" s="18" t="n"/>
      <c r="BW26" s="18" t="n"/>
      <c r="BX26" s="18" t="n"/>
      <c r="BY26" s="18" t="n"/>
      <c r="BZ26" s="18" t="n"/>
      <c r="CA26" s="18" t="n"/>
      <c r="CB26" s="18" t="n"/>
      <c r="CC26" s="18" t="n"/>
      <c r="CD26" s="18" t="n"/>
      <c r="CE26" s="18" t="n"/>
      <c r="CF26" s="18" t="n"/>
      <c r="CG26" s="18" t="n"/>
      <c r="CH26" s="18" t="n"/>
      <c r="CI26" s="18" t="n"/>
      <c r="CJ26" s="18" t="n"/>
      <c r="CK26" s="18" t="n"/>
      <c r="CL26" s="18" t="n"/>
      <c r="CM26" s="18" t="n"/>
      <c r="CN26" s="18" t="n"/>
      <c r="CO26" s="18" t="n"/>
      <c r="CP26" s="18" t="n"/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18" t="n"/>
      <c r="DP26" s="18" t="n"/>
      <c r="DQ26" s="18" t="n"/>
      <c r="DR26" s="18" t="n"/>
      <c r="DS26" s="18" t="n"/>
      <c r="DT26" s="18" t="n"/>
    </row>
    <row r="27">
      <c r="A27" s="18">
        <f>'Schedule_Data_Option_B'!A28</f>
        <v/>
      </c>
      <c r="B27" s="18">
        <f>'Schedule_Data_Option_B'!B28</f>
        <v/>
      </c>
      <c r="C27" s="18">
        <f>'Schedule_Data_Option_B'!C28</f>
        <v/>
      </c>
      <c r="D27" s="21">
        <f>'Schedule_Data_Option_B'!D28</f>
        <v/>
      </c>
      <c r="E27" s="18" t="n"/>
      <c r="F27" s="18" t="n"/>
      <c r="G27" s="18" t="n"/>
      <c r="H27" s="18" t="n"/>
      <c r="I27" s="18" t="n"/>
      <c r="J27" s="18" t="n"/>
      <c r="K27" s="18" t="n"/>
      <c r="L27" s="18" t="n"/>
      <c r="M27" s="18" t="n"/>
      <c r="N27" s="18" t="n"/>
      <c r="O27" s="18" t="n"/>
      <c r="P27" s="18" t="n"/>
      <c r="Q27" s="18" t="n"/>
      <c r="R27" s="18" t="n"/>
      <c r="S27" s="18" t="n"/>
      <c r="T27" s="18" t="n"/>
      <c r="U27" s="18" t="n"/>
      <c r="V27" s="18" t="n"/>
      <c r="W27" s="18" t="n"/>
      <c r="X27" s="18" t="n"/>
      <c r="Y27" s="18" t="n"/>
      <c r="Z27" s="18" t="n"/>
      <c r="AA27" s="18" t="n"/>
      <c r="AB27" s="18" t="n"/>
      <c r="AC27" s="18" t="n"/>
      <c r="AD27" s="18" t="n"/>
      <c r="AE27" s="18" t="n"/>
      <c r="AF27" s="18" t="n"/>
      <c r="AG27" s="18" t="n"/>
      <c r="AH27" s="18" t="n"/>
      <c r="AI27" s="18" t="n"/>
      <c r="AJ27" s="18" t="n"/>
      <c r="AK27" s="18" t="n"/>
      <c r="AL27" s="18" t="n"/>
      <c r="AM27" s="18" t="n"/>
      <c r="AN27" s="18" t="n"/>
      <c r="AO27" s="18" t="n"/>
      <c r="AP27" s="18" t="n"/>
      <c r="AQ27" s="18" t="n"/>
      <c r="AR27" s="18" t="n"/>
      <c r="AS27" s="18" t="n"/>
      <c r="AT27" s="18" t="n"/>
      <c r="AU27" s="18" t="n"/>
      <c r="AV27" s="18" t="n"/>
      <c r="AW27" s="18" t="n"/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18" t="n"/>
      <c r="BU27" s="18" t="n"/>
      <c r="BV27" s="18" t="n"/>
      <c r="BW27" s="18" t="n"/>
      <c r="BX27" s="18" t="n"/>
      <c r="BY27" s="18" t="n"/>
      <c r="BZ27" s="18" t="n"/>
      <c r="CA27" s="18" t="n"/>
      <c r="CB27" s="18" t="n"/>
      <c r="CC27" s="18" t="n"/>
      <c r="CD27" s="18" t="n"/>
      <c r="CE27" s="18" t="n"/>
      <c r="CF27" s="18" t="n"/>
      <c r="CG27" s="18" t="n"/>
      <c r="CH27" s="18" t="n"/>
      <c r="CI27" s="18" t="n"/>
      <c r="CJ27" s="18" t="n"/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</row>
    <row r="28">
      <c r="A28" s="18">
        <f>'Schedule_Data_Option_B'!A29</f>
        <v/>
      </c>
      <c r="B28" s="18">
        <f>'Schedule_Data_Option_B'!B29</f>
        <v/>
      </c>
      <c r="C28" s="18">
        <f>'Schedule_Data_Option_B'!C29</f>
        <v/>
      </c>
      <c r="D28" s="21">
        <f>'Schedule_Data_Option_B'!D29</f>
        <v/>
      </c>
      <c r="E28" s="18" t="n"/>
      <c r="F28" s="18" t="n"/>
      <c r="G28" s="18" t="n"/>
      <c r="H28" s="18" t="n"/>
      <c r="I28" s="18" t="n"/>
      <c r="J28" s="18" t="n"/>
      <c r="K28" s="18" t="n"/>
      <c r="L28" s="18" t="n"/>
      <c r="M28" s="18" t="n"/>
      <c r="N28" s="18" t="n"/>
      <c r="O28" s="18" t="n"/>
      <c r="P28" s="18" t="n"/>
      <c r="Q28" s="18" t="n"/>
      <c r="R28" s="18" t="n"/>
      <c r="S28" s="18" t="n"/>
      <c r="T28" s="18" t="n"/>
      <c r="U28" s="18" t="n"/>
      <c r="V28" s="18" t="n"/>
      <c r="W28" s="18" t="n"/>
      <c r="X28" s="18" t="n"/>
      <c r="Y28" s="18" t="n"/>
      <c r="Z28" s="18" t="n"/>
      <c r="AA28" s="18" t="n"/>
      <c r="AB28" s="18" t="n"/>
      <c r="AC28" s="18" t="n"/>
      <c r="AD28" s="18" t="n"/>
      <c r="AE28" s="18" t="n"/>
      <c r="AF28" s="18" t="n"/>
      <c r="AG28" s="18" t="n"/>
      <c r="AH28" s="18" t="n"/>
      <c r="AI28" s="18" t="n"/>
      <c r="AJ28" s="18" t="n"/>
      <c r="AK28" s="18" t="n"/>
      <c r="AL28" s="18" t="n"/>
      <c r="AM28" s="18" t="n"/>
      <c r="AN28" s="18" t="n"/>
      <c r="AO28" s="18" t="n"/>
      <c r="AP28" s="18" t="n"/>
      <c r="AQ28" s="18" t="n"/>
      <c r="AR28" s="18" t="n"/>
      <c r="AS28" s="18" t="n"/>
      <c r="AT28" s="18" t="n"/>
      <c r="AU28" s="18" t="n"/>
      <c r="AV28" s="18" t="n"/>
      <c r="AW28" s="18" t="n"/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18" t="n"/>
      <c r="BU28" s="18" t="n"/>
      <c r="BV28" s="18" t="n"/>
      <c r="BW28" s="18" t="n"/>
      <c r="BX28" s="18" t="n"/>
      <c r="BY28" s="18" t="n"/>
      <c r="BZ28" s="18" t="n"/>
      <c r="CA28" s="18" t="n"/>
      <c r="CB28" s="18" t="n"/>
      <c r="CC28" s="18" t="n"/>
      <c r="CD28" s="18" t="n"/>
      <c r="CE28" s="18" t="n"/>
      <c r="CF28" s="18" t="n"/>
      <c r="CG28" s="18" t="n"/>
      <c r="CH28" s="18" t="n"/>
      <c r="CI28" s="18" t="n"/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</row>
    <row r="29">
      <c r="A29" s="18">
        <f>'Schedule_Data_Option_B'!A30</f>
        <v/>
      </c>
      <c r="B29" s="18">
        <f>'Schedule_Data_Option_B'!B30</f>
        <v/>
      </c>
      <c r="C29" s="18">
        <f>'Schedule_Data_Option_B'!C30</f>
        <v/>
      </c>
      <c r="D29" s="23">
        <f>'Schedule_Data_Option_B'!D30</f>
        <v/>
      </c>
      <c r="E29" s="18" t="n"/>
      <c r="F29" s="18" t="n"/>
      <c r="G29" s="18" t="n"/>
      <c r="H29" s="18" t="n"/>
      <c r="I29" s="18" t="n"/>
      <c r="J29" s="18" t="n"/>
      <c r="K29" s="18" t="n"/>
      <c r="L29" s="18" t="n"/>
      <c r="M29" s="18" t="n"/>
      <c r="N29" s="18" t="n"/>
      <c r="O29" s="18" t="n"/>
      <c r="P29" s="18" t="n"/>
      <c r="Q29" s="18" t="n"/>
      <c r="R29" s="18" t="n"/>
      <c r="S29" s="18" t="n"/>
      <c r="T29" s="18" t="n"/>
      <c r="U29" s="18" t="n"/>
      <c r="V29" s="18" t="n"/>
      <c r="W29" s="18" t="n"/>
      <c r="X29" s="18" t="n"/>
      <c r="Y29" s="18" t="n"/>
      <c r="Z29" s="18" t="n"/>
      <c r="AA29" s="18" t="n"/>
      <c r="AB29" s="18" t="n"/>
      <c r="AC29" s="18" t="n"/>
      <c r="AD29" s="18" t="n"/>
      <c r="AE29" s="18" t="n"/>
      <c r="AF29" s="18" t="n"/>
      <c r="AG29" s="18" t="n"/>
      <c r="AH29" s="18" t="n"/>
      <c r="AI29" s="18" t="n"/>
      <c r="AJ29" s="18" t="n"/>
      <c r="AK29" s="18" t="n"/>
      <c r="AL29" s="18" t="n"/>
      <c r="AM29" s="18" t="n"/>
      <c r="AN29" s="18" t="n"/>
      <c r="AO29" s="18" t="n"/>
      <c r="AP29" s="18" t="n"/>
      <c r="AQ29" s="18" t="n"/>
      <c r="AR29" s="18" t="n"/>
      <c r="AS29" s="18" t="n"/>
      <c r="AT29" s="18" t="n"/>
      <c r="AU29" s="18" t="n"/>
      <c r="AV29" s="18" t="n"/>
      <c r="AW29" s="18" t="n"/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18" t="n"/>
      <c r="BU29" s="18" t="n"/>
      <c r="BV29" s="18" t="n"/>
      <c r="BW29" s="18" t="n"/>
      <c r="BX29" s="18" t="n"/>
      <c r="BY29" s="18" t="n"/>
      <c r="BZ29" s="18" t="n"/>
      <c r="CA29" s="18" t="n"/>
      <c r="CB29" s="18" t="n"/>
      <c r="CC29" s="18" t="n"/>
      <c r="CD29" s="18" t="n"/>
      <c r="CE29" s="18" t="n"/>
      <c r="CF29" s="18" t="n"/>
      <c r="CG29" s="18" t="n"/>
      <c r="CH29" s="18" t="n"/>
      <c r="CI29" s="18" t="n"/>
      <c r="CJ29" s="18" t="n"/>
      <c r="CK29" s="18" t="n"/>
      <c r="CL29" s="18" t="n"/>
      <c r="CM29" s="18" t="n"/>
      <c r="CN29" s="18" t="n"/>
      <c r="CO29" s="18" t="n"/>
      <c r="CP29" s="18" t="n"/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</row>
    <row r="30">
      <c r="A30" s="18">
        <f>'Schedule_Data_Option_B'!A31</f>
        <v/>
      </c>
      <c r="B30" s="18">
        <f>'Schedule_Data_Option_B'!B31</f>
        <v/>
      </c>
      <c r="C30" s="18">
        <f>'Schedule_Data_Option_B'!C31</f>
        <v/>
      </c>
      <c r="D30" s="24">
        <f>'Schedule_Data_Option_B'!D31</f>
        <v/>
      </c>
      <c r="E30" s="18" t="n"/>
      <c r="F30" s="18" t="n"/>
      <c r="G30" s="18" t="n"/>
      <c r="H30" s="24" t="n"/>
      <c r="I30" s="18" t="n"/>
      <c r="J30" s="18" t="n"/>
      <c r="K30" s="18" t="n"/>
      <c r="L30" s="18" t="n"/>
      <c r="M30" s="18" t="n"/>
      <c r="N30" s="18" t="n"/>
      <c r="O30" s="18" t="n"/>
      <c r="P30" s="18" t="n"/>
      <c r="Q30" s="18" t="n"/>
      <c r="R30" s="18" t="n"/>
      <c r="S30" s="18" t="n"/>
      <c r="T30" s="18" t="n"/>
      <c r="U30" s="18" t="n"/>
      <c r="V30" s="18" t="n"/>
      <c r="W30" s="18" t="n"/>
      <c r="X30" s="18" t="n"/>
      <c r="Y30" s="18" t="n"/>
      <c r="Z30" s="18" t="n"/>
      <c r="AA30" s="18" t="n"/>
      <c r="AB30" s="18" t="n"/>
      <c r="AC30" s="18" t="n"/>
      <c r="AD30" s="18" t="n"/>
      <c r="AE30" s="18" t="n"/>
      <c r="AF30" s="18" t="n"/>
      <c r="AG30" s="18" t="n"/>
      <c r="AH30" s="18" t="n"/>
      <c r="AI30" s="18" t="n"/>
      <c r="AJ30" s="18" t="n"/>
      <c r="AK30" s="18" t="n"/>
      <c r="AL30" s="18" t="n"/>
      <c r="AM30" s="18" t="n"/>
      <c r="AN30" s="18" t="n"/>
      <c r="AO30" s="18" t="n"/>
      <c r="AP30" s="18" t="n"/>
      <c r="AQ30" s="18" t="n"/>
      <c r="AR30" s="18" t="n"/>
      <c r="AS30" s="18" t="n"/>
      <c r="AT30" s="18" t="n"/>
      <c r="AU30" s="18" t="n"/>
      <c r="AV30" s="18" t="n"/>
      <c r="AW30" s="18" t="n"/>
      <c r="AX30" s="18" t="n"/>
      <c r="AY30" s="18" t="n"/>
      <c r="AZ30" s="18" t="n"/>
      <c r="BA30" s="18" t="n"/>
      <c r="BB30" s="18" t="n"/>
      <c r="BC30" s="18" t="n"/>
      <c r="BD30" s="18" t="n"/>
      <c r="BE30" s="18" t="n"/>
      <c r="BF30" s="18" t="n"/>
      <c r="BG30" s="18" t="n"/>
      <c r="BH30" s="18" t="n"/>
      <c r="BI30" s="18" t="n"/>
      <c r="BJ30" s="18" t="n"/>
      <c r="BK30" s="18" t="n"/>
      <c r="BL30" s="18" t="n"/>
      <c r="BM30" s="18" t="n"/>
      <c r="BN30" s="18" t="n"/>
      <c r="BO30" s="18" t="n"/>
      <c r="BP30" s="18" t="n"/>
      <c r="BQ30" s="18" t="n"/>
      <c r="BR30" s="18" t="n"/>
      <c r="BS30" s="18" t="n"/>
      <c r="BT30" s="18" t="n"/>
      <c r="BU30" s="18" t="n"/>
      <c r="BV30" s="18" t="n"/>
      <c r="BW30" s="18" t="n"/>
      <c r="BX30" s="18" t="n"/>
      <c r="BY30" s="18" t="n"/>
      <c r="BZ30" s="18" t="n"/>
      <c r="CA30" s="18" t="n"/>
      <c r="CB30" s="18" t="n"/>
      <c r="CC30" s="18" t="n"/>
      <c r="CD30" s="18" t="n"/>
      <c r="CE30" s="18" t="n"/>
      <c r="CF30" s="18" t="n"/>
      <c r="CG30" s="18" t="n"/>
      <c r="CH30" s="18" t="n"/>
      <c r="CI30" s="18" t="n"/>
      <c r="CJ30" s="18" t="n"/>
      <c r="CK30" s="18" t="n"/>
      <c r="CL30" s="18" t="n"/>
      <c r="CM30" s="18" t="n"/>
      <c r="CN30" s="18" t="n"/>
      <c r="CO30" s="18" t="n"/>
      <c r="CP30" s="18" t="n"/>
      <c r="CQ30" s="18" t="n"/>
      <c r="CR30" s="18" t="n"/>
      <c r="CS30" s="18" t="n"/>
      <c r="CT30" s="18" t="n"/>
      <c r="CU30" s="18" t="n"/>
      <c r="CV30" s="18" t="n"/>
      <c r="CW30" s="18" t="n"/>
      <c r="CX30" s="18" t="n"/>
      <c r="CY30" s="18" t="n"/>
      <c r="CZ30" s="18" t="n"/>
      <c r="DA30" s="18" t="n"/>
      <c r="DB30" s="18" t="n"/>
      <c r="DC30" s="18" t="n"/>
      <c r="DD30" s="18" t="n"/>
      <c r="DE30" s="18" t="n"/>
      <c r="DF30" s="18" t="n"/>
      <c r="DG30" s="18" t="n"/>
      <c r="DH30" s="18" t="n"/>
      <c r="DI30" s="18" t="n"/>
      <c r="DJ30" s="18" t="n"/>
      <c r="DK30" s="18" t="n"/>
      <c r="DL30" s="18" t="n"/>
      <c r="DM30" s="18" t="n"/>
      <c r="DN30" s="18" t="n"/>
      <c r="DO30" s="18" t="n"/>
      <c r="DP30" s="18" t="n"/>
      <c r="DQ30" s="18" t="n"/>
      <c r="DR30" s="18" t="n"/>
      <c r="DS30" s="18" t="n"/>
      <c r="DT30" s="18" t="n"/>
    </row>
    <row r="31">
      <c r="A31" s="18">
        <f>'Schedule_Data_Option_B'!A32</f>
        <v/>
      </c>
      <c r="B31" s="18">
        <f>'Schedule_Data_Option_B'!B32</f>
        <v/>
      </c>
      <c r="C31" s="18">
        <f>'Schedule_Data_Option_B'!C32</f>
        <v/>
      </c>
      <c r="D31" s="21">
        <f>'Schedule_Data_Option_B'!D32</f>
        <v/>
      </c>
      <c r="E31" s="18" t="n"/>
      <c r="F31" s="18" t="n"/>
      <c r="G31" s="18" t="n"/>
      <c r="H31" s="21" t="n"/>
      <c r="I31" s="18" t="n"/>
      <c r="J31" s="18" t="n"/>
      <c r="K31" s="18" t="n"/>
      <c r="L31" s="18" t="n"/>
      <c r="M31" s="18" t="n"/>
      <c r="N31" s="18" t="n"/>
      <c r="O31" s="18" t="n"/>
      <c r="P31" s="18" t="n"/>
      <c r="Q31" s="18" t="n"/>
      <c r="R31" s="18" t="n"/>
      <c r="S31" s="18" t="n"/>
      <c r="T31" s="18" t="n"/>
      <c r="U31" s="18" t="n"/>
      <c r="V31" s="18" t="n"/>
      <c r="W31" s="18" t="n"/>
      <c r="X31" s="18" t="n"/>
      <c r="Y31" s="18" t="n"/>
      <c r="Z31" s="18" t="n"/>
      <c r="AA31" s="18" t="n"/>
      <c r="AB31" s="18" t="n"/>
      <c r="AC31" s="18" t="n"/>
      <c r="AD31" s="18" t="n"/>
      <c r="AE31" s="18" t="n"/>
      <c r="AF31" s="18" t="n"/>
      <c r="AG31" s="18" t="n"/>
      <c r="AH31" s="18" t="n"/>
      <c r="AI31" s="18" t="n"/>
      <c r="AJ31" s="18" t="n"/>
      <c r="AK31" s="18" t="n"/>
      <c r="AL31" s="18" t="n"/>
      <c r="AM31" s="18" t="n"/>
      <c r="AN31" s="18" t="n"/>
      <c r="AO31" s="18" t="n"/>
      <c r="AP31" s="18" t="n"/>
      <c r="AQ31" s="18" t="n"/>
      <c r="AR31" s="18" t="n"/>
      <c r="AS31" s="18" t="n"/>
      <c r="AT31" s="18" t="n"/>
      <c r="AU31" s="18" t="n"/>
      <c r="AV31" s="18" t="n"/>
      <c r="AW31" s="18" t="n"/>
      <c r="AX31" s="18" t="n"/>
      <c r="AY31" s="18" t="n"/>
      <c r="AZ31" s="18" t="n"/>
      <c r="BA31" s="18" t="n"/>
      <c r="BB31" s="18" t="n"/>
      <c r="BC31" s="18" t="n"/>
      <c r="BD31" s="18" t="n"/>
      <c r="BE31" s="18" t="n"/>
      <c r="BF31" s="18" t="n"/>
      <c r="BG31" s="18" t="n"/>
      <c r="BH31" s="18" t="n"/>
      <c r="BI31" s="18" t="n"/>
      <c r="BJ31" s="18" t="n"/>
      <c r="BK31" s="18" t="n"/>
      <c r="BL31" s="18" t="n"/>
      <c r="BM31" s="18" t="n"/>
      <c r="BN31" s="18" t="n"/>
      <c r="BO31" s="18" t="n"/>
      <c r="BP31" s="18" t="n"/>
      <c r="BQ31" s="18" t="n"/>
      <c r="BR31" s="18" t="n"/>
      <c r="BS31" s="18" t="n"/>
      <c r="BT31" s="18" t="n"/>
      <c r="BU31" s="18" t="n"/>
      <c r="BV31" s="18" t="n"/>
      <c r="BW31" s="18" t="n"/>
      <c r="BX31" s="18" t="n"/>
      <c r="BY31" s="18" t="n"/>
      <c r="BZ31" s="18" t="n"/>
      <c r="CA31" s="18" t="n"/>
      <c r="CB31" s="18" t="n"/>
      <c r="CC31" s="18" t="n"/>
      <c r="CD31" s="18" t="n"/>
      <c r="CE31" s="18" t="n"/>
      <c r="CF31" s="18" t="n"/>
      <c r="CG31" s="18" t="n"/>
      <c r="CH31" s="18" t="n"/>
      <c r="CI31" s="18" t="n"/>
      <c r="CJ31" s="18" t="n"/>
      <c r="CK31" s="18" t="n"/>
      <c r="CL31" s="18" t="n"/>
      <c r="CM31" s="18" t="n"/>
      <c r="CN31" s="18" t="n"/>
      <c r="CO31" s="18" t="n"/>
      <c r="CP31" s="18" t="n"/>
      <c r="CQ31" s="18" t="n"/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/>
      <c r="DI31" s="18" t="n"/>
      <c r="DJ31" s="18" t="n"/>
      <c r="DK31" s="18" t="n"/>
      <c r="DL31" s="18" t="n"/>
      <c r="DM31" s="18" t="n"/>
      <c r="DN31" s="18" t="n"/>
      <c r="DO31" s="18" t="n"/>
      <c r="DP31" s="18" t="n"/>
      <c r="DQ31" s="18" t="n"/>
      <c r="DR31" s="18" t="n"/>
      <c r="DS31" s="18" t="n"/>
      <c r="DT31" s="18" t="n"/>
    </row>
    <row r="32">
      <c r="A32" s="18">
        <f>'Schedule_Data_Option_B'!A33</f>
        <v/>
      </c>
      <c r="B32" s="18">
        <f>'Schedule_Data_Option_B'!B33</f>
        <v/>
      </c>
      <c r="C32" s="18">
        <f>'Schedule_Data_Option_B'!C33</f>
        <v/>
      </c>
      <c r="D32" s="21">
        <f>'Schedule_Data_Option_B'!D33</f>
        <v/>
      </c>
      <c r="E32" s="18" t="n"/>
      <c r="F32" s="18" t="n"/>
      <c r="G32" s="18" t="n"/>
      <c r="H32" s="18" t="n"/>
      <c r="I32" s="18" t="n"/>
      <c r="J32" s="18" t="n"/>
      <c r="K32" s="18" t="n"/>
      <c r="L32" s="18" t="n"/>
      <c r="M32" s="18" t="n"/>
      <c r="N32" s="18" t="n"/>
      <c r="O32" s="18" t="n"/>
      <c r="P32" s="18" t="n"/>
      <c r="Q32" s="18" t="n"/>
      <c r="R32" s="18" t="n"/>
      <c r="S32" s="18" t="n"/>
      <c r="T32" s="18" t="n"/>
      <c r="U32" s="18" t="n"/>
      <c r="V32" s="18" t="n"/>
      <c r="W32" s="18" t="n"/>
      <c r="X32" s="18" t="n"/>
      <c r="Y32" s="18" t="n"/>
      <c r="Z32" s="18" t="n"/>
      <c r="AA32" s="18" t="n"/>
      <c r="AB32" s="18" t="n"/>
      <c r="AC32" s="18" t="n"/>
      <c r="AD32" s="18" t="n"/>
      <c r="AE32" s="18" t="n"/>
      <c r="AF32" s="18" t="n"/>
      <c r="AG32" s="18" t="n"/>
      <c r="AH32" s="18" t="n"/>
      <c r="AI32" s="18" t="n"/>
      <c r="AJ32" s="18" t="n"/>
      <c r="AK32" s="18" t="n"/>
      <c r="AL32" s="18" t="n"/>
      <c r="AM32" s="18" t="n"/>
      <c r="AN32" s="18" t="n"/>
      <c r="AO32" s="18" t="n"/>
      <c r="AP32" s="18" t="n"/>
      <c r="AQ32" s="18" t="n"/>
      <c r="AR32" s="18" t="n"/>
      <c r="AS32" s="18" t="n"/>
      <c r="AT32" s="18" t="n"/>
      <c r="AU32" s="18" t="n"/>
      <c r="AV32" s="18" t="n"/>
      <c r="AW32" s="18" t="n"/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18" t="n"/>
      <c r="BU32" s="18" t="n"/>
      <c r="BV32" s="18" t="n"/>
      <c r="BW32" s="18" t="n"/>
      <c r="BX32" s="18" t="n"/>
      <c r="BY32" s="18" t="n"/>
      <c r="BZ32" s="18" t="n"/>
      <c r="CA32" s="18" t="n"/>
      <c r="CB32" s="18" t="n"/>
      <c r="CC32" s="18" t="n"/>
      <c r="CD32" s="18" t="n"/>
      <c r="CE32" s="18" t="n"/>
      <c r="CF32" s="18" t="n"/>
      <c r="CG32" s="18" t="n"/>
      <c r="CH32" s="18" t="n"/>
      <c r="CI32" s="18" t="n"/>
      <c r="CJ32" s="18" t="n"/>
      <c r="CK32" s="18" t="n"/>
      <c r="CL32" s="18" t="n"/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</row>
    <row r="33">
      <c r="A33" s="18">
        <f>'Schedule_Data_Option_B'!A34</f>
        <v/>
      </c>
      <c r="B33" s="18">
        <f>'Schedule_Data_Option_B'!B34</f>
        <v/>
      </c>
      <c r="C33" s="18">
        <f>'Schedule_Data_Option_B'!C34</f>
        <v/>
      </c>
      <c r="D33" s="21">
        <f>'Schedule_Data_Option_B'!D34</f>
        <v/>
      </c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  <c r="AD33" s="18" t="n"/>
      <c r="AE33" s="18" t="n"/>
      <c r="AF33" s="18" t="n"/>
      <c r="AG33" s="18" t="n"/>
      <c r="AH33" s="18" t="n"/>
      <c r="AI33" s="18" t="n"/>
      <c r="AJ33" s="18" t="n"/>
      <c r="AK33" s="18" t="n"/>
      <c r="AL33" s="18" t="n"/>
      <c r="AM33" s="18" t="n"/>
      <c r="AN33" s="18" t="n"/>
      <c r="AO33" s="18" t="n"/>
      <c r="AP33" s="18" t="n"/>
      <c r="AQ33" s="18" t="n"/>
      <c r="AR33" s="18" t="n"/>
      <c r="AS33" s="18" t="n"/>
      <c r="AT33" s="18" t="n"/>
      <c r="AU33" s="18" t="n"/>
      <c r="AV33" s="18" t="n"/>
      <c r="AW33" s="18" t="n"/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18" t="n"/>
      <c r="BU33" s="18" t="n"/>
      <c r="BV33" s="18" t="n"/>
      <c r="BW33" s="18" t="n"/>
      <c r="BX33" s="18" t="n"/>
      <c r="BY33" s="18" t="n"/>
      <c r="BZ33" s="18" t="n"/>
      <c r="CA33" s="18" t="n"/>
      <c r="CB33" s="18" t="n"/>
      <c r="CC33" s="18" t="n"/>
      <c r="CD33" s="18" t="n"/>
      <c r="CE33" s="18" t="n"/>
      <c r="CF33" s="18" t="n"/>
      <c r="CG33" s="18" t="n"/>
      <c r="CH33" s="18" t="n"/>
      <c r="CI33" s="18" t="n"/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</row>
    <row r="34">
      <c r="A34" s="18">
        <f>'Schedule_Data_Option_B'!A35</f>
        <v/>
      </c>
      <c r="B34" s="18">
        <f>'Schedule_Data_Option_B'!B35</f>
        <v/>
      </c>
      <c r="C34" s="18">
        <f>'Schedule_Data_Option_B'!C35</f>
        <v/>
      </c>
      <c r="D34" s="23">
        <f>'Schedule_Data_Option_B'!D35</f>
        <v/>
      </c>
      <c r="E34" s="18" t="n"/>
      <c r="F34" s="18" t="n"/>
      <c r="G34" s="18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18" t="n"/>
      <c r="X34" s="18" t="n"/>
      <c r="Y34" s="18" t="n"/>
      <c r="Z34" s="18" t="n"/>
      <c r="AA34" s="18" t="n"/>
      <c r="AB34" s="18" t="n"/>
      <c r="AC34" s="18" t="n"/>
      <c r="AD34" s="18" t="n"/>
      <c r="AE34" s="18" t="n"/>
      <c r="AF34" s="18" t="n"/>
      <c r="AG34" s="18" t="n"/>
      <c r="AH34" s="18" t="n"/>
      <c r="AI34" s="18" t="n"/>
      <c r="AJ34" s="18" t="n"/>
      <c r="AK34" s="18" t="n"/>
      <c r="AL34" s="18" t="n"/>
      <c r="AM34" s="18" t="n"/>
      <c r="AN34" s="18" t="n"/>
      <c r="AO34" s="18" t="n"/>
      <c r="AP34" s="18" t="n"/>
      <c r="AQ34" s="18" t="n"/>
      <c r="AR34" s="18" t="n"/>
      <c r="AS34" s="18" t="n"/>
      <c r="AT34" s="18" t="n"/>
      <c r="AU34" s="18" t="n"/>
      <c r="AV34" s="18" t="n"/>
      <c r="AW34" s="18" t="n"/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18" t="n"/>
      <c r="BU34" s="18" t="n"/>
      <c r="BV34" s="18" t="n"/>
      <c r="BW34" s="18" t="n"/>
      <c r="BX34" s="18" t="n"/>
      <c r="BY34" s="18" t="n"/>
      <c r="BZ34" s="18" t="n"/>
      <c r="CA34" s="18" t="n"/>
      <c r="CB34" s="18" t="n"/>
      <c r="CC34" s="18" t="n"/>
      <c r="CD34" s="18" t="n"/>
      <c r="CE34" s="18" t="n"/>
      <c r="CF34" s="18" t="n"/>
      <c r="CG34" s="18" t="n"/>
      <c r="CH34" s="18" t="n"/>
      <c r="CI34" s="18" t="n"/>
      <c r="CJ34" s="18" t="n"/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</row>
    <row r="35">
      <c r="A35" s="18">
        <f>'Schedule_Data_Option_B'!A36</f>
        <v/>
      </c>
      <c r="B35" s="18">
        <f>'Schedule_Data_Option_B'!B36</f>
        <v/>
      </c>
      <c r="C35" s="18">
        <f>'Schedule_Data_Option_B'!C36</f>
        <v/>
      </c>
      <c r="D35" s="24">
        <f>'Schedule_Data_Option_B'!D36</f>
        <v/>
      </c>
      <c r="E35" s="18" t="n"/>
      <c r="F35" s="18" t="n"/>
      <c r="G35" s="18" t="n"/>
      <c r="H35" s="18" t="n"/>
      <c r="I35" s="24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18" t="n"/>
      <c r="X35" s="18" t="n"/>
      <c r="Y35" s="18" t="n"/>
      <c r="Z35" s="18" t="n"/>
      <c r="AA35" s="18" t="n"/>
      <c r="AB35" s="18" t="n"/>
      <c r="AC35" s="18" t="n"/>
      <c r="AD35" s="18" t="n"/>
      <c r="AE35" s="18" t="n"/>
      <c r="AF35" s="18" t="n"/>
      <c r="AG35" s="18" t="n"/>
      <c r="AH35" s="18" t="n"/>
      <c r="AI35" s="18" t="n"/>
      <c r="AJ35" s="18" t="n"/>
      <c r="AK35" s="18" t="n"/>
      <c r="AL35" s="18" t="n"/>
      <c r="AM35" s="18" t="n"/>
      <c r="AN35" s="18" t="n"/>
      <c r="AO35" s="18" t="n"/>
      <c r="AP35" s="18" t="n"/>
      <c r="AQ35" s="18" t="n"/>
      <c r="AR35" s="18" t="n"/>
      <c r="AS35" s="18" t="n"/>
      <c r="AT35" s="18" t="n"/>
      <c r="AU35" s="18" t="n"/>
      <c r="AV35" s="18" t="n"/>
      <c r="AW35" s="18" t="n"/>
      <c r="AX35" s="18" t="n"/>
      <c r="AY35" s="18" t="n"/>
      <c r="AZ35" s="18" t="n"/>
      <c r="BA35" s="18" t="n"/>
      <c r="BB35" s="18" t="n"/>
      <c r="BC35" s="18" t="n"/>
      <c r="BD35" s="18" t="n"/>
      <c r="BE35" s="18" t="n"/>
      <c r="BF35" s="18" t="n"/>
      <c r="BG35" s="18" t="n"/>
      <c r="BH35" s="18" t="n"/>
      <c r="BI35" s="18" t="n"/>
      <c r="BJ35" s="18" t="n"/>
      <c r="BK35" s="18" t="n"/>
      <c r="BL35" s="18" t="n"/>
      <c r="BM35" s="18" t="n"/>
      <c r="BN35" s="18" t="n"/>
      <c r="BO35" s="18" t="n"/>
      <c r="BP35" s="18" t="n"/>
      <c r="BQ35" s="18" t="n"/>
      <c r="BR35" s="18" t="n"/>
      <c r="BS35" s="18" t="n"/>
      <c r="BT35" s="18" t="n"/>
      <c r="BU35" s="18" t="n"/>
      <c r="BV35" s="18" t="n"/>
      <c r="BW35" s="18" t="n"/>
      <c r="BX35" s="18" t="n"/>
      <c r="BY35" s="18" t="n"/>
      <c r="BZ35" s="18" t="n"/>
      <c r="CA35" s="18" t="n"/>
      <c r="CB35" s="18" t="n"/>
      <c r="CC35" s="18" t="n"/>
      <c r="CD35" s="18" t="n"/>
      <c r="CE35" s="18" t="n"/>
      <c r="CF35" s="18" t="n"/>
      <c r="CG35" s="18" t="n"/>
      <c r="CH35" s="18" t="n"/>
      <c r="CI35" s="18" t="n"/>
      <c r="CJ35" s="18" t="n"/>
      <c r="CK35" s="18" t="n"/>
      <c r="CL35" s="18" t="n"/>
      <c r="CM35" s="18" t="n"/>
      <c r="CN35" s="18" t="n"/>
      <c r="CO35" s="18" t="n"/>
      <c r="CP35" s="18" t="n"/>
      <c r="CQ35" s="18" t="n"/>
      <c r="CR35" s="18" t="n"/>
      <c r="CS35" s="18" t="n"/>
      <c r="CT35" s="18" t="n"/>
      <c r="CU35" s="18" t="n"/>
      <c r="CV35" s="18" t="n"/>
      <c r="CW35" s="18" t="n"/>
      <c r="CX35" s="18" t="n"/>
      <c r="CY35" s="18" t="n"/>
      <c r="CZ35" s="18" t="n"/>
      <c r="DA35" s="18" t="n"/>
      <c r="DB35" s="18" t="n"/>
      <c r="DC35" s="18" t="n"/>
      <c r="DD35" s="18" t="n"/>
      <c r="DE35" s="18" t="n"/>
      <c r="DF35" s="18" t="n"/>
      <c r="DG35" s="18" t="n"/>
      <c r="DH35" s="18" t="n"/>
      <c r="DI35" s="18" t="n"/>
      <c r="DJ35" s="18" t="n"/>
      <c r="DK35" s="18" t="n"/>
      <c r="DL35" s="18" t="n"/>
      <c r="DM35" s="18" t="n"/>
      <c r="DN35" s="18" t="n"/>
      <c r="DO35" s="18" t="n"/>
      <c r="DP35" s="18" t="n"/>
      <c r="DQ35" s="18" t="n"/>
      <c r="DR35" s="18" t="n"/>
      <c r="DS35" s="18" t="n"/>
      <c r="DT35" s="18" t="n"/>
    </row>
    <row r="36">
      <c r="A36" s="18">
        <f>'Schedule_Data_Option_B'!A37</f>
        <v/>
      </c>
      <c r="B36" s="18">
        <f>'Schedule_Data_Option_B'!B37</f>
        <v/>
      </c>
      <c r="C36" s="18">
        <f>'Schedule_Data_Option_B'!C37</f>
        <v/>
      </c>
      <c r="D36" s="25">
        <f>'Schedule_Data_Option_B'!D37</f>
        <v/>
      </c>
      <c r="E36" s="18" t="n"/>
      <c r="F36" s="18" t="n"/>
      <c r="G36" s="18" t="n"/>
      <c r="H36" s="18" t="n"/>
      <c r="I36" s="18" t="n"/>
      <c r="J36" s="25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18" t="n"/>
      <c r="X36" s="18" t="n"/>
      <c r="Y36" s="18" t="n"/>
      <c r="Z36" s="18" t="n"/>
      <c r="AA36" s="18" t="n"/>
      <c r="AB36" s="18" t="n"/>
      <c r="AC36" s="18" t="n"/>
      <c r="AD36" s="18" t="n"/>
      <c r="AE36" s="18" t="n"/>
      <c r="AF36" s="18" t="n"/>
      <c r="AG36" s="18" t="n"/>
      <c r="AH36" s="18" t="n"/>
      <c r="AI36" s="18" t="n"/>
      <c r="AJ36" s="18" t="n"/>
      <c r="AK36" s="18" t="n"/>
      <c r="AL36" s="18" t="n"/>
      <c r="AM36" s="18" t="n"/>
      <c r="AN36" s="18" t="n"/>
      <c r="AO36" s="18" t="n"/>
      <c r="AP36" s="18" t="n"/>
      <c r="AQ36" s="18" t="n"/>
      <c r="AR36" s="18" t="n"/>
      <c r="AS36" s="18" t="n"/>
      <c r="AT36" s="18" t="n"/>
      <c r="AU36" s="18" t="n"/>
      <c r="AV36" s="18" t="n"/>
      <c r="AW36" s="18" t="n"/>
      <c r="AX36" s="18" t="n"/>
      <c r="AY36" s="18" t="n"/>
      <c r="AZ36" s="18" t="n"/>
      <c r="BA36" s="18" t="n"/>
      <c r="BB36" s="18" t="n"/>
      <c r="BC36" s="18" t="n"/>
      <c r="BD36" s="18" t="n"/>
      <c r="BE36" s="18" t="n"/>
      <c r="BF36" s="18" t="n"/>
      <c r="BG36" s="18" t="n"/>
      <c r="BH36" s="18" t="n"/>
      <c r="BI36" s="18" t="n"/>
      <c r="BJ36" s="18" t="n"/>
      <c r="BK36" s="18" t="n"/>
      <c r="BL36" s="18" t="n"/>
      <c r="BM36" s="18" t="n"/>
      <c r="BN36" s="18" t="n"/>
      <c r="BO36" s="18" t="n"/>
      <c r="BP36" s="18" t="n"/>
      <c r="BQ36" s="18" t="n"/>
      <c r="BR36" s="18" t="n"/>
      <c r="BS36" s="18" t="n"/>
      <c r="BT36" s="18" t="n"/>
      <c r="BU36" s="18" t="n"/>
      <c r="BV36" s="18" t="n"/>
      <c r="BW36" s="18" t="n"/>
      <c r="BX36" s="18" t="n"/>
      <c r="BY36" s="18" t="n"/>
      <c r="BZ36" s="18" t="n"/>
      <c r="CA36" s="18" t="n"/>
      <c r="CB36" s="18" t="n"/>
      <c r="CC36" s="18" t="n"/>
      <c r="CD36" s="18" t="n"/>
      <c r="CE36" s="18" t="n"/>
      <c r="CF36" s="18" t="n"/>
      <c r="CG36" s="18" t="n"/>
      <c r="CH36" s="18" t="n"/>
      <c r="CI36" s="18" t="n"/>
      <c r="CJ36" s="18" t="n"/>
      <c r="CK36" s="18" t="n"/>
      <c r="CL36" s="18" t="n"/>
      <c r="CM36" s="18" t="n"/>
      <c r="CN36" s="18" t="n"/>
      <c r="CO36" s="18" t="n"/>
      <c r="CP36" s="18" t="n"/>
      <c r="CQ36" s="18" t="n"/>
      <c r="CR36" s="18" t="n"/>
      <c r="CS36" s="18" t="n"/>
      <c r="CT36" s="18" t="n"/>
      <c r="CU36" s="18" t="n"/>
      <c r="CV36" s="18" t="n"/>
      <c r="CW36" s="18" t="n"/>
      <c r="CX36" s="18" t="n"/>
      <c r="CY36" s="18" t="n"/>
      <c r="CZ36" s="18" t="n"/>
      <c r="DA36" s="18" t="n"/>
      <c r="DB36" s="18" t="n"/>
      <c r="DC36" s="18" t="n"/>
      <c r="DD36" s="18" t="n"/>
      <c r="DE36" s="18" t="n"/>
      <c r="DF36" s="18" t="n"/>
      <c r="DG36" s="18" t="n"/>
      <c r="DH36" s="18" t="n"/>
      <c r="DI36" s="18" t="n"/>
      <c r="DJ36" s="18" t="n"/>
      <c r="DK36" s="18" t="n"/>
      <c r="DL36" s="18" t="n"/>
      <c r="DM36" s="18" t="n"/>
      <c r="DN36" s="18" t="n"/>
      <c r="DO36" s="18" t="n"/>
      <c r="DP36" s="18" t="n"/>
      <c r="DQ36" s="18" t="n"/>
      <c r="DR36" s="18" t="n"/>
      <c r="DS36" s="18" t="n"/>
      <c r="DT36" s="18" t="n"/>
    </row>
    <row r="37">
      <c r="A37" s="18">
        <f>'Schedule_Data_Option_B'!A38</f>
        <v/>
      </c>
      <c r="B37" s="18">
        <f>'Schedule_Data_Option_B'!B38</f>
        <v/>
      </c>
      <c r="C37" s="18">
        <f>'Schedule_Data_Option_B'!C38</f>
        <v/>
      </c>
      <c r="D37" s="21">
        <f>'Schedule_Data_Option_B'!D38</f>
        <v/>
      </c>
      <c r="E37" s="18" t="n"/>
      <c r="F37" s="18" t="n"/>
      <c r="G37" s="18" t="n"/>
      <c r="H37" s="18" t="n"/>
      <c r="I37" s="18" t="n"/>
      <c r="J37" s="21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18" t="n"/>
      <c r="X37" s="18" t="n"/>
      <c r="Y37" s="18" t="n"/>
      <c r="Z37" s="18" t="n"/>
      <c r="AA37" s="18" t="n"/>
      <c r="AB37" s="18" t="n"/>
      <c r="AC37" s="18" t="n"/>
      <c r="AD37" s="18" t="n"/>
      <c r="AE37" s="18" t="n"/>
      <c r="AF37" s="18" t="n"/>
      <c r="AG37" s="18" t="n"/>
      <c r="AH37" s="18" t="n"/>
      <c r="AI37" s="18" t="n"/>
      <c r="AJ37" s="18" t="n"/>
      <c r="AK37" s="18" t="n"/>
      <c r="AL37" s="18" t="n"/>
      <c r="AM37" s="18" t="n"/>
      <c r="AN37" s="18" t="n"/>
      <c r="AO37" s="18" t="n"/>
      <c r="AP37" s="18" t="n"/>
      <c r="AQ37" s="18" t="n"/>
      <c r="AR37" s="18" t="n"/>
      <c r="AS37" s="18" t="n"/>
      <c r="AT37" s="18" t="n"/>
      <c r="AU37" s="18" t="n"/>
      <c r="AV37" s="18" t="n"/>
      <c r="AW37" s="18" t="n"/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18" t="n"/>
      <c r="BU37" s="18" t="n"/>
      <c r="BV37" s="18" t="n"/>
      <c r="BW37" s="18" t="n"/>
      <c r="BX37" s="18" t="n"/>
      <c r="BY37" s="18" t="n"/>
      <c r="BZ37" s="18" t="n"/>
      <c r="CA37" s="18" t="n"/>
      <c r="CB37" s="18" t="n"/>
      <c r="CC37" s="18" t="n"/>
      <c r="CD37" s="18" t="n"/>
      <c r="CE37" s="18" t="n"/>
      <c r="CF37" s="18" t="n"/>
      <c r="CG37" s="18" t="n"/>
      <c r="CH37" s="18" t="n"/>
      <c r="CI37" s="18" t="n"/>
      <c r="CJ37" s="18" t="n"/>
      <c r="CK37" s="18" t="n"/>
      <c r="CL37" s="18" t="n"/>
      <c r="CM37" s="18" t="n"/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</row>
    <row r="38">
      <c r="A38" s="18">
        <f>'Schedule_Data_Option_B'!A39</f>
        <v/>
      </c>
      <c r="B38" s="18">
        <f>'Schedule_Data_Option_B'!B39</f>
        <v/>
      </c>
      <c r="C38" s="18">
        <f>'Schedule_Data_Option_B'!C39</f>
        <v/>
      </c>
      <c r="D38" s="26">
        <f>'Schedule_Data_Option_B'!D39</f>
        <v/>
      </c>
      <c r="E38" s="18" t="n"/>
      <c r="F38" s="18" t="n"/>
      <c r="G38" s="18" t="n"/>
      <c r="H38" s="18" t="n"/>
      <c r="I38" s="18" t="n"/>
      <c r="J38" s="18" t="n"/>
      <c r="K38" s="26" t="n"/>
      <c r="L38" s="18" t="n"/>
      <c r="M38" s="18" t="n"/>
      <c r="N38" s="18" t="n"/>
      <c r="O38" s="18" t="n"/>
      <c r="P38" s="18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  <c r="AD38" s="18" t="n"/>
      <c r="AE38" s="18" t="n"/>
      <c r="AF38" s="18" t="n"/>
      <c r="AG38" s="18" t="n"/>
      <c r="AH38" s="18" t="n"/>
      <c r="AI38" s="18" t="n"/>
      <c r="AJ38" s="18" t="n"/>
      <c r="AK38" s="18" t="n"/>
      <c r="AL38" s="18" t="n"/>
      <c r="AM38" s="18" t="n"/>
      <c r="AN38" s="18" t="n"/>
      <c r="AO38" s="18" t="n"/>
      <c r="AP38" s="18" t="n"/>
      <c r="AQ38" s="18" t="n"/>
      <c r="AR38" s="18" t="n"/>
      <c r="AS38" s="18" t="n"/>
      <c r="AT38" s="18" t="n"/>
      <c r="AU38" s="18" t="n"/>
      <c r="AV38" s="18" t="n"/>
      <c r="AW38" s="18" t="n"/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18" t="n"/>
      <c r="BU38" s="18" t="n"/>
      <c r="BV38" s="18" t="n"/>
      <c r="BW38" s="18" t="n"/>
      <c r="BX38" s="18" t="n"/>
      <c r="BY38" s="18" t="n"/>
      <c r="BZ38" s="18" t="n"/>
      <c r="CA38" s="18" t="n"/>
      <c r="CB38" s="18" t="n"/>
      <c r="CC38" s="18" t="n"/>
      <c r="CD38" s="18" t="n"/>
      <c r="CE38" s="18" t="n"/>
      <c r="CF38" s="18" t="n"/>
      <c r="CG38" s="18" t="n"/>
      <c r="CH38" s="18" t="n"/>
      <c r="CI38" s="18" t="n"/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</row>
    <row r="39">
      <c r="A39" s="18">
        <f>'Schedule_Data_Option_B'!A40</f>
        <v/>
      </c>
      <c r="B39" s="18">
        <f>'Schedule_Data_Option_B'!B40</f>
        <v/>
      </c>
      <c r="C39" s="18">
        <f>'Schedule_Data_Option_B'!C40</f>
        <v/>
      </c>
      <c r="D39" s="21">
        <f>'Schedule_Data_Option_B'!D40</f>
        <v/>
      </c>
      <c r="E39" s="18" t="n"/>
      <c r="F39" s="18" t="n"/>
      <c r="G39" s="18" t="n"/>
      <c r="H39" s="18" t="n"/>
      <c r="I39" s="18" t="n"/>
      <c r="J39" s="18" t="n"/>
      <c r="K39" s="21" t="n"/>
      <c r="L39" s="18" t="n"/>
      <c r="M39" s="18" t="n"/>
      <c r="N39" s="18" t="n"/>
      <c r="O39" s="18" t="n"/>
      <c r="P39" s="18" t="n"/>
      <c r="Q39" s="18" t="n"/>
      <c r="R39" s="18" t="n"/>
      <c r="S39" s="18" t="n"/>
      <c r="T39" s="18" t="n"/>
      <c r="U39" s="18" t="n"/>
      <c r="V39" s="18" t="n"/>
      <c r="W39" s="18" t="n"/>
      <c r="X39" s="18" t="n"/>
      <c r="Y39" s="18" t="n"/>
      <c r="Z39" s="18" t="n"/>
      <c r="AA39" s="18" t="n"/>
      <c r="AB39" s="18" t="n"/>
      <c r="AC39" s="18" t="n"/>
      <c r="AD39" s="18" t="n"/>
      <c r="AE39" s="18" t="n"/>
      <c r="AF39" s="18" t="n"/>
      <c r="AG39" s="18" t="n"/>
      <c r="AH39" s="18" t="n"/>
      <c r="AI39" s="18" t="n"/>
      <c r="AJ39" s="18" t="n"/>
      <c r="AK39" s="18" t="n"/>
      <c r="AL39" s="18" t="n"/>
      <c r="AM39" s="18" t="n"/>
      <c r="AN39" s="18" t="n"/>
      <c r="AO39" s="18" t="n"/>
      <c r="AP39" s="18" t="n"/>
      <c r="AQ39" s="18" t="n"/>
      <c r="AR39" s="18" t="n"/>
      <c r="AS39" s="18" t="n"/>
      <c r="AT39" s="18" t="n"/>
      <c r="AU39" s="18" t="n"/>
      <c r="AV39" s="18" t="n"/>
      <c r="AW39" s="18" t="n"/>
      <c r="AX39" s="18" t="n"/>
      <c r="AY39" s="18" t="n"/>
      <c r="AZ39" s="18" t="n"/>
      <c r="BA39" s="18" t="n"/>
      <c r="BB39" s="18" t="n"/>
      <c r="BC39" s="18" t="n"/>
      <c r="BD39" s="18" t="n"/>
      <c r="BE39" s="18" t="n"/>
      <c r="BF39" s="18" t="n"/>
      <c r="BG39" s="18" t="n"/>
      <c r="BH39" s="18" t="n"/>
      <c r="BI39" s="18" t="n"/>
      <c r="BJ39" s="18" t="n"/>
      <c r="BK39" s="18" t="n"/>
      <c r="BL39" s="18" t="n"/>
      <c r="BM39" s="18" t="n"/>
      <c r="BN39" s="18" t="n"/>
      <c r="BO39" s="18" t="n"/>
      <c r="BP39" s="18" t="n"/>
      <c r="BQ39" s="18" t="n"/>
      <c r="BR39" s="18" t="n"/>
      <c r="BS39" s="18" t="n"/>
      <c r="BT39" s="18" t="n"/>
      <c r="BU39" s="18" t="n"/>
      <c r="BV39" s="18" t="n"/>
      <c r="BW39" s="18" t="n"/>
      <c r="BX39" s="18" t="n"/>
      <c r="BY39" s="18" t="n"/>
      <c r="BZ39" s="18" t="n"/>
      <c r="CA39" s="18" t="n"/>
      <c r="CB39" s="18" t="n"/>
      <c r="CC39" s="18" t="n"/>
      <c r="CD39" s="18" t="n"/>
      <c r="CE39" s="18" t="n"/>
      <c r="CF39" s="18" t="n"/>
      <c r="CG39" s="18" t="n"/>
      <c r="CH39" s="18" t="n"/>
      <c r="CI39" s="18" t="n"/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</row>
    <row r="40">
      <c r="A40" s="18">
        <f>'Schedule_Data_Option_B'!A41</f>
        <v/>
      </c>
      <c r="B40" s="18">
        <f>'Schedule_Data_Option_B'!B41</f>
        <v/>
      </c>
      <c r="C40" s="18">
        <f>'Schedule_Data_Option_B'!C41</f>
        <v/>
      </c>
      <c r="D40" s="23">
        <f>'Schedule_Data_Option_B'!D41</f>
        <v/>
      </c>
      <c r="E40" s="18" t="n"/>
      <c r="F40" s="18" t="n"/>
      <c r="G40" s="18" t="n"/>
      <c r="H40" s="18" t="n"/>
      <c r="I40" s="18" t="n"/>
      <c r="J40" s="18" t="n"/>
      <c r="K40" s="18" t="n"/>
      <c r="L40" s="23" t="n"/>
      <c r="M40" s="18" t="n"/>
      <c r="N40" s="18" t="n"/>
      <c r="O40" s="18" t="n"/>
      <c r="P40" s="18" t="n"/>
      <c r="Q40" s="18" t="n"/>
      <c r="R40" s="18" t="n"/>
      <c r="S40" s="18" t="n"/>
      <c r="T40" s="18" t="n"/>
      <c r="U40" s="18" t="n"/>
      <c r="V40" s="18" t="n"/>
      <c r="W40" s="18" t="n"/>
      <c r="X40" s="18" t="n"/>
      <c r="Y40" s="18" t="n"/>
      <c r="Z40" s="18" t="n"/>
      <c r="AA40" s="18" t="n"/>
      <c r="AB40" s="18" t="n"/>
      <c r="AC40" s="18" t="n"/>
      <c r="AD40" s="18" t="n"/>
      <c r="AE40" s="18" t="n"/>
      <c r="AF40" s="18" t="n"/>
      <c r="AG40" s="18" t="n"/>
      <c r="AH40" s="18" t="n"/>
      <c r="AI40" s="18" t="n"/>
      <c r="AJ40" s="18" t="n"/>
      <c r="AK40" s="18" t="n"/>
      <c r="AL40" s="18" t="n"/>
      <c r="AM40" s="18" t="n"/>
      <c r="AN40" s="18" t="n"/>
      <c r="AO40" s="18" t="n"/>
      <c r="AP40" s="18" t="n"/>
      <c r="AQ40" s="18" t="n"/>
      <c r="AR40" s="18" t="n"/>
      <c r="AS40" s="18" t="n"/>
      <c r="AT40" s="18" t="n"/>
      <c r="AU40" s="18" t="n"/>
      <c r="AV40" s="18" t="n"/>
      <c r="AW40" s="18" t="n"/>
      <c r="AX40" s="18" t="n"/>
      <c r="AY40" s="18" t="n"/>
      <c r="AZ40" s="18" t="n"/>
      <c r="BA40" s="18" t="n"/>
      <c r="BB40" s="18" t="n"/>
      <c r="BC40" s="18" t="n"/>
      <c r="BD40" s="18" t="n"/>
      <c r="BE40" s="18" t="n"/>
      <c r="BF40" s="18" t="n"/>
      <c r="BG40" s="18" t="n"/>
      <c r="BH40" s="18" t="n"/>
      <c r="BI40" s="18" t="n"/>
      <c r="BJ40" s="18" t="n"/>
      <c r="BK40" s="18" t="n"/>
      <c r="BL40" s="18" t="n"/>
      <c r="BM40" s="18" t="n"/>
      <c r="BN40" s="18" t="n"/>
      <c r="BO40" s="18" t="n"/>
      <c r="BP40" s="18" t="n"/>
      <c r="BQ40" s="18" t="n"/>
      <c r="BR40" s="18" t="n"/>
      <c r="BS40" s="18" t="n"/>
      <c r="BT40" s="18" t="n"/>
      <c r="BU40" s="18" t="n"/>
      <c r="BV40" s="18" t="n"/>
      <c r="BW40" s="18" t="n"/>
      <c r="BX40" s="18" t="n"/>
      <c r="BY40" s="18" t="n"/>
      <c r="BZ40" s="18" t="n"/>
      <c r="CA40" s="18" t="n"/>
      <c r="CB40" s="18" t="n"/>
      <c r="CC40" s="18" t="n"/>
      <c r="CD40" s="18" t="n"/>
      <c r="CE40" s="18" t="n"/>
      <c r="CF40" s="18" t="n"/>
      <c r="CG40" s="18" t="n"/>
      <c r="CH40" s="18" t="n"/>
      <c r="CI40" s="18" t="n"/>
      <c r="CJ40" s="18" t="n"/>
      <c r="CK40" s="18" t="n"/>
      <c r="CL40" s="18" t="n"/>
      <c r="CM40" s="18" t="n"/>
      <c r="CN40" s="18" t="n"/>
      <c r="CO40" s="18" t="n"/>
      <c r="CP40" s="18" t="n"/>
      <c r="CQ40" s="18" t="n"/>
      <c r="CR40" s="18" t="n"/>
      <c r="CS40" s="18" t="n"/>
      <c r="CT40" s="18" t="n"/>
      <c r="CU40" s="18" t="n"/>
      <c r="CV40" s="18" t="n"/>
      <c r="CW40" s="18" t="n"/>
      <c r="CX40" s="18" t="n"/>
      <c r="CY40" s="18" t="n"/>
      <c r="CZ40" s="18" t="n"/>
      <c r="DA40" s="18" t="n"/>
      <c r="DB40" s="18" t="n"/>
      <c r="DC40" s="18" t="n"/>
      <c r="DD40" s="18" t="n"/>
      <c r="DE40" s="18" t="n"/>
      <c r="DF40" s="18" t="n"/>
      <c r="DG40" s="18" t="n"/>
      <c r="DH40" s="18" t="n"/>
      <c r="DI40" s="18" t="n"/>
      <c r="DJ40" s="18" t="n"/>
      <c r="DK40" s="18" t="n"/>
      <c r="DL40" s="18" t="n"/>
      <c r="DM40" s="18" t="n"/>
      <c r="DN40" s="18" t="n"/>
      <c r="DO40" s="18" t="n"/>
      <c r="DP40" s="18" t="n"/>
      <c r="DQ40" s="18" t="n"/>
      <c r="DR40" s="18" t="n"/>
      <c r="DS40" s="18" t="n"/>
      <c r="DT40" s="18" t="n"/>
    </row>
    <row r="41">
      <c r="A41" s="18">
        <f>'Schedule_Data_Option_B'!A42</f>
        <v/>
      </c>
      <c r="B41" s="18">
        <f>'Schedule_Data_Option_B'!B42</f>
        <v/>
      </c>
      <c r="C41" s="18">
        <f>'Schedule_Data_Option_B'!C42</f>
        <v/>
      </c>
      <c r="D41" s="23">
        <f>'Schedule_Data_Option_B'!D42</f>
        <v/>
      </c>
      <c r="E41" s="18" t="n"/>
      <c r="F41" s="18" t="n"/>
      <c r="G41" s="18" t="n"/>
      <c r="H41" s="18" t="n"/>
      <c r="I41" s="18" t="n"/>
      <c r="J41" s="18" t="n"/>
      <c r="K41" s="18" t="n"/>
      <c r="L41" s="18" t="n"/>
      <c r="M41" s="23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  <c r="AA41" s="18" t="n"/>
      <c r="AB41" s="18" t="n"/>
      <c r="AC41" s="18" t="n"/>
      <c r="AD41" s="18" t="n"/>
      <c r="AE41" s="18" t="n"/>
      <c r="AF41" s="18" t="n"/>
      <c r="AG41" s="18" t="n"/>
      <c r="AH41" s="18" t="n"/>
      <c r="AI41" s="18" t="n"/>
      <c r="AJ41" s="18" t="n"/>
      <c r="AK41" s="18" t="n"/>
      <c r="AL41" s="18" t="n"/>
      <c r="AM41" s="18" t="n"/>
      <c r="AN41" s="18" t="n"/>
      <c r="AO41" s="18" t="n"/>
      <c r="AP41" s="18" t="n"/>
      <c r="AQ41" s="18" t="n"/>
      <c r="AR41" s="18" t="n"/>
      <c r="AS41" s="18" t="n"/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18" t="n"/>
      <c r="BU41" s="18" t="n"/>
      <c r="BV41" s="18" t="n"/>
      <c r="BW41" s="18" t="n"/>
      <c r="BX41" s="18" t="n"/>
      <c r="BY41" s="18" t="n"/>
      <c r="BZ41" s="18" t="n"/>
      <c r="CA41" s="18" t="n"/>
      <c r="CB41" s="18" t="n"/>
      <c r="CC41" s="18" t="n"/>
      <c r="CD41" s="18" t="n"/>
      <c r="CE41" s="18" t="n"/>
      <c r="CF41" s="18" t="n"/>
      <c r="CG41" s="18" t="n"/>
      <c r="CH41" s="18" t="n"/>
      <c r="CI41" s="18" t="n"/>
      <c r="CJ41" s="18" t="n"/>
      <c r="CK41" s="18" t="n"/>
      <c r="CL41" s="18" t="n"/>
      <c r="CM41" s="18" t="n"/>
      <c r="CN41" s="18" t="n"/>
      <c r="CO41" s="18" t="n"/>
      <c r="CP41" s="18" t="n"/>
      <c r="CQ41" s="18" t="n"/>
      <c r="CR41" s="18" t="n"/>
      <c r="CS41" s="18" t="n"/>
      <c r="CT41" s="18" t="n"/>
      <c r="CU41" s="18" t="n"/>
      <c r="CV41" s="18" t="n"/>
      <c r="CW41" s="18" t="n"/>
      <c r="CX41" s="18" t="n"/>
      <c r="CY41" s="18" t="n"/>
      <c r="CZ41" s="18" t="n"/>
      <c r="DA41" s="18" t="n"/>
      <c r="DB41" s="18" t="n"/>
      <c r="DC41" s="18" t="n"/>
      <c r="DD41" s="18" t="n"/>
      <c r="DE41" s="18" t="n"/>
      <c r="DF41" s="18" t="n"/>
      <c r="DG41" s="18" t="n"/>
      <c r="DH41" s="18" t="n"/>
      <c r="DI41" s="18" t="n"/>
      <c r="DJ41" s="18" t="n"/>
      <c r="DK41" s="18" t="n"/>
      <c r="DL41" s="18" t="n"/>
      <c r="DM41" s="18" t="n"/>
      <c r="DN41" s="18" t="n"/>
      <c r="DO41" s="18" t="n"/>
      <c r="DP41" s="18" t="n"/>
      <c r="DQ41" s="18" t="n"/>
      <c r="DR41" s="18" t="n"/>
      <c r="DS41" s="18" t="n"/>
      <c r="DT41" s="18" t="n"/>
    </row>
    <row r="42">
      <c r="A42" s="18">
        <f>'Schedule_Data_Option_B'!A43</f>
        <v/>
      </c>
      <c r="B42" s="18">
        <f>'Schedule_Data_Option_B'!B43</f>
        <v/>
      </c>
      <c r="C42" s="18">
        <f>'Schedule_Data_Option_B'!C43</f>
        <v/>
      </c>
      <c r="D42" s="21">
        <f>'Schedule_Data_Option_B'!D43</f>
        <v/>
      </c>
      <c r="E42" s="18" t="n"/>
      <c r="F42" s="18" t="n"/>
      <c r="G42" s="18" t="n"/>
      <c r="H42" s="18" t="n"/>
      <c r="I42" s="18" t="n"/>
      <c r="J42" s="18" t="n"/>
      <c r="K42" s="18" t="n"/>
      <c r="L42" s="18" t="n"/>
      <c r="M42" s="18" t="n"/>
      <c r="N42" s="18" t="n"/>
      <c r="O42" s="18" t="n"/>
      <c r="P42" s="18" t="n"/>
      <c r="Q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  <c r="AA42" s="18" t="n"/>
      <c r="AB42" s="18" t="n"/>
      <c r="AC42" s="18" t="n"/>
      <c r="AD42" s="18" t="n"/>
      <c r="AE42" s="18" t="n"/>
      <c r="AF42" s="18" t="n"/>
      <c r="AG42" s="18" t="n"/>
      <c r="AH42" s="18" t="n"/>
      <c r="AI42" s="18" t="n"/>
      <c r="AJ42" s="18" t="n"/>
      <c r="AK42" s="18" t="n"/>
      <c r="AL42" s="18" t="n"/>
      <c r="AM42" s="18" t="n"/>
      <c r="AN42" s="18" t="n"/>
      <c r="AO42" s="18" t="n"/>
      <c r="AP42" s="18" t="n"/>
      <c r="AQ42" s="18" t="n"/>
      <c r="AR42" s="18" t="n"/>
      <c r="AS42" s="18" t="n"/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18" t="n"/>
      <c r="BU42" s="18" t="n"/>
      <c r="BV42" s="18" t="n"/>
      <c r="BW42" s="18" t="n"/>
      <c r="BX42" s="18" t="n"/>
      <c r="BY42" s="18" t="n"/>
      <c r="BZ42" s="18" t="n"/>
      <c r="CA42" s="18" t="n"/>
      <c r="CB42" s="18" t="n"/>
      <c r="CC42" s="18" t="n"/>
      <c r="CD42" s="18" t="n"/>
      <c r="CE42" s="18" t="n"/>
      <c r="CF42" s="18" t="n"/>
      <c r="CG42" s="18" t="n"/>
      <c r="CH42" s="18" t="n"/>
      <c r="CI42" s="18" t="n"/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</row>
    <row r="43">
      <c r="A43" s="18">
        <f>'Schedule_Data_Option_B'!A44</f>
        <v/>
      </c>
      <c r="B43" s="18">
        <f>'Schedule_Data_Option_B'!B44</f>
        <v/>
      </c>
      <c r="C43" s="18">
        <f>'Schedule_Data_Option_B'!C44</f>
        <v/>
      </c>
      <c r="D43" s="21">
        <f>'Schedule_Data_Option_B'!D44</f>
        <v/>
      </c>
      <c r="E43" s="18" t="n"/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18" t="n"/>
      <c r="Q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  <c r="AA43" s="18" t="n"/>
      <c r="AB43" s="18" t="n"/>
      <c r="AC43" s="18" t="n"/>
      <c r="AD43" s="18" t="n"/>
      <c r="AE43" s="18" t="n"/>
      <c r="AF43" s="18" t="n"/>
      <c r="AG43" s="18" t="n"/>
      <c r="AH43" s="18" t="n"/>
      <c r="AI43" s="18" t="n"/>
      <c r="AJ43" s="18" t="n"/>
      <c r="AK43" s="18" t="n"/>
      <c r="AL43" s="18" t="n"/>
      <c r="AM43" s="18" t="n"/>
      <c r="AN43" s="18" t="n"/>
      <c r="AO43" s="18" t="n"/>
      <c r="AP43" s="18" t="n"/>
      <c r="AQ43" s="18" t="n"/>
      <c r="AR43" s="18" t="n"/>
      <c r="AS43" s="18" t="n"/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18" t="n"/>
      <c r="BU43" s="18" t="n"/>
      <c r="BV43" s="18" t="n"/>
      <c r="BW43" s="18" t="n"/>
      <c r="BX43" s="18" t="n"/>
      <c r="BY43" s="18" t="n"/>
      <c r="BZ43" s="18" t="n"/>
      <c r="CA43" s="18" t="n"/>
      <c r="CB43" s="18" t="n"/>
      <c r="CC43" s="18" t="n"/>
      <c r="CD43" s="18" t="n"/>
      <c r="CE43" s="18" t="n"/>
      <c r="CF43" s="18" t="n"/>
      <c r="CG43" s="18" t="n"/>
      <c r="CH43" s="18" t="n"/>
      <c r="CI43" s="18" t="n"/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</row>
    <row r="44">
      <c r="A44" s="18">
        <f>'Schedule_Data_Option_B'!A45</f>
        <v/>
      </c>
      <c r="B44" s="18">
        <f>'Schedule_Data_Option_B'!B45</f>
        <v/>
      </c>
      <c r="C44" s="18">
        <f>'Schedule_Data_Option_B'!C45</f>
        <v/>
      </c>
      <c r="D44" s="27">
        <f>'Schedule_Data_Option_B'!D45</f>
        <v/>
      </c>
      <c r="E44" s="18" t="n"/>
      <c r="F44" s="18" t="n"/>
      <c r="G44" s="18" t="n"/>
      <c r="H44" s="18" t="n"/>
      <c r="I44" s="18" t="n"/>
      <c r="J44" s="18" t="n"/>
      <c r="K44" s="18" t="n"/>
      <c r="L44" s="18" t="n"/>
      <c r="M44" s="18" t="n"/>
      <c r="N44" s="18" t="n"/>
      <c r="O44" s="27" t="n"/>
      <c r="P44" s="18" t="n"/>
      <c r="Q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  <c r="AA44" s="18" t="n"/>
      <c r="AB44" s="18" t="n"/>
      <c r="AC44" s="18" t="n"/>
      <c r="AD44" s="18" t="n"/>
      <c r="AE44" s="18" t="n"/>
      <c r="AF44" s="18" t="n"/>
      <c r="AG44" s="18" t="n"/>
      <c r="AH44" s="18" t="n"/>
      <c r="AI44" s="18" t="n"/>
      <c r="AJ44" s="18" t="n"/>
      <c r="AK44" s="18" t="n"/>
      <c r="AL44" s="18" t="n"/>
      <c r="AM44" s="18" t="n"/>
      <c r="AN44" s="18" t="n"/>
      <c r="AO44" s="18" t="n"/>
      <c r="AP44" s="18" t="n"/>
      <c r="AQ44" s="18" t="n"/>
      <c r="AR44" s="18" t="n"/>
      <c r="AS44" s="18" t="n"/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/>
      <c r="BQ44" s="18" t="n"/>
      <c r="BR44" s="18" t="n"/>
      <c r="BS44" s="18" t="n"/>
      <c r="BT44" s="18" t="n"/>
      <c r="BU44" s="18" t="n"/>
      <c r="BV44" s="18" t="n"/>
      <c r="BW44" s="18" t="n"/>
      <c r="BX44" s="18" t="n"/>
      <c r="BY44" s="18" t="n"/>
      <c r="BZ44" s="18" t="n"/>
      <c r="CA44" s="18" t="n"/>
      <c r="CB44" s="18" t="n"/>
      <c r="CC44" s="18" t="n"/>
      <c r="CD44" s="18" t="n"/>
      <c r="CE44" s="18" t="n"/>
      <c r="CF44" s="18" t="n"/>
      <c r="CG44" s="18" t="n"/>
      <c r="CH44" s="18" t="n"/>
      <c r="CI44" s="18" t="n"/>
      <c r="CJ44" s="18" t="n"/>
      <c r="CK44" s="18" t="n"/>
      <c r="CL44" s="18" t="n"/>
      <c r="CM44" s="18" t="n"/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</row>
    <row r="45">
      <c r="A45" s="18">
        <f>'Schedule_Data_Option_B'!A46</f>
        <v/>
      </c>
      <c r="B45" s="18">
        <f>'Schedule_Data_Option_B'!B46</f>
        <v/>
      </c>
      <c r="C45" s="18">
        <f>'Schedule_Data_Option_B'!C46</f>
        <v/>
      </c>
      <c r="D45" s="38">
        <f>'Schedule_Data_Option_B'!D46</f>
        <v/>
      </c>
      <c r="E45" s="18" t="n"/>
      <c r="F45" s="18" t="n"/>
      <c r="G45" s="18" t="n"/>
      <c r="H45" s="18" t="n"/>
      <c r="I45" s="18" t="n"/>
      <c r="J45" s="18" t="n"/>
      <c r="K45" s="18" t="n"/>
      <c r="L45" s="18" t="n"/>
      <c r="M45" s="18" t="n"/>
      <c r="N45" s="18" t="n"/>
      <c r="O45" s="18" t="n"/>
      <c r="P45" s="18" t="n"/>
      <c r="Q45" s="18" t="n"/>
      <c r="R45" s="38" t="n"/>
      <c r="S45" s="18" t="n"/>
      <c r="T45" s="18" t="n"/>
      <c r="U45" s="18" t="n"/>
      <c r="V45" s="18" t="n"/>
      <c r="W45" s="18" t="n"/>
      <c r="X45" s="18" t="n"/>
      <c r="Y45" s="18" t="n"/>
      <c r="Z45" s="18" t="n"/>
      <c r="AA45" s="18" t="n"/>
      <c r="AB45" s="18" t="n"/>
      <c r="AC45" s="18" t="n"/>
      <c r="AD45" s="18" t="n"/>
      <c r="AE45" s="18" t="n"/>
      <c r="AF45" s="18" t="n"/>
      <c r="AG45" s="18" t="n"/>
      <c r="AH45" s="18" t="n"/>
      <c r="AI45" s="18" t="n"/>
      <c r="AJ45" s="18" t="n"/>
      <c r="AK45" s="18" t="n"/>
      <c r="AL45" s="18" t="n"/>
      <c r="AM45" s="18" t="n"/>
      <c r="AN45" s="18" t="n"/>
      <c r="AO45" s="18" t="n"/>
      <c r="AP45" s="18" t="n"/>
      <c r="AQ45" s="18" t="n"/>
      <c r="AR45" s="18" t="n"/>
      <c r="AS45" s="18" t="n"/>
      <c r="AT45" s="18" t="n"/>
      <c r="AU45" s="18" t="n"/>
      <c r="AV45" s="18" t="n"/>
      <c r="AW45" s="18" t="n"/>
      <c r="AX45" s="18" t="n"/>
      <c r="AY45" s="18" t="n"/>
      <c r="AZ45" s="18" t="n"/>
      <c r="BA45" s="18" t="n"/>
      <c r="BB45" s="18" t="n"/>
      <c r="BC45" s="18" t="n"/>
      <c r="BD45" s="18" t="n"/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/>
      <c r="BO45" s="18" t="n"/>
      <c r="BP45" s="18" t="n"/>
      <c r="BQ45" s="18" t="n"/>
      <c r="BR45" s="18" t="n"/>
      <c r="BS45" s="18" t="n"/>
      <c r="BT45" s="18" t="n"/>
      <c r="BU45" s="18" t="n"/>
      <c r="BV45" s="18" t="n"/>
      <c r="BW45" s="18" t="n"/>
      <c r="BX45" s="18" t="n"/>
      <c r="BY45" s="18" t="n"/>
      <c r="BZ45" s="18" t="n"/>
      <c r="CA45" s="18" t="n"/>
      <c r="CB45" s="18" t="n"/>
      <c r="CC45" s="18" t="n"/>
      <c r="CD45" s="18" t="n"/>
      <c r="CE45" s="18" t="n"/>
      <c r="CF45" s="18" t="n"/>
      <c r="CG45" s="18" t="n"/>
      <c r="CH45" s="18" t="n"/>
      <c r="CI45" s="18" t="n"/>
      <c r="CJ45" s="18" t="n"/>
      <c r="CK45" s="18" t="n"/>
      <c r="CL45" s="18" t="n"/>
      <c r="CM45" s="18" t="n"/>
      <c r="CN45" s="18" t="n"/>
      <c r="CO45" s="18" t="n"/>
      <c r="CP45" s="18" t="n"/>
      <c r="CQ45" s="18" t="n"/>
      <c r="CR45" s="18" t="n"/>
      <c r="CS45" s="18" t="n"/>
      <c r="CT45" s="18" t="n"/>
      <c r="CU45" s="18" t="n"/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  <c r="DR45" s="18" t="n"/>
      <c r="DS45" s="18" t="n"/>
      <c r="DT45" s="18" t="n"/>
    </row>
    <row r="46">
      <c r="A46" s="18">
        <f>'Schedule_Data_Option_B'!A47</f>
        <v/>
      </c>
      <c r="B46" s="18">
        <f>'Schedule_Data_Option_B'!B47</f>
        <v/>
      </c>
      <c r="C46" s="18">
        <f>'Schedule_Data_Option_B'!C47</f>
        <v/>
      </c>
      <c r="D46" s="21">
        <f>'Schedule_Data_Option_B'!D47</f>
        <v/>
      </c>
      <c r="E46" s="18" t="n"/>
      <c r="F46" s="18" t="n"/>
      <c r="G46" s="18" t="n"/>
      <c r="H46" s="18" t="n"/>
      <c r="I46" s="18" t="n"/>
      <c r="J46" s="18" t="n"/>
      <c r="K46" s="18" t="n"/>
      <c r="L46" s="18" t="n"/>
      <c r="M46" s="18" t="n"/>
      <c r="N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18" t="n"/>
      <c r="X46" s="18" t="n"/>
      <c r="Y46" s="18" t="n"/>
      <c r="Z46" s="18" t="n"/>
      <c r="AA46" s="18" t="n"/>
      <c r="AB46" s="18" t="n"/>
      <c r="AC46" s="18" t="n"/>
      <c r="AD46" s="18" t="n"/>
      <c r="AE46" s="18" t="n"/>
      <c r="AF46" s="18" t="n"/>
      <c r="AG46" s="18" t="n"/>
      <c r="AH46" s="18" t="n"/>
      <c r="AI46" s="18" t="n"/>
      <c r="AJ46" s="18" t="n"/>
      <c r="AK46" s="18" t="n"/>
      <c r="AL46" s="18" t="n"/>
      <c r="AM46" s="18" t="n"/>
      <c r="AN46" s="18" t="n"/>
      <c r="AO46" s="18" t="n"/>
      <c r="AP46" s="18" t="n"/>
      <c r="AQ46" s="18" t="n"/>
      <c r="AR46" s="18" t="n"/>
      <c r="AS46" s="18" t="n"/>
      <c r="AT46" s="18" t="n"/>
      <c r="AU46" s="18" t="n"/>
      <c r="AV46" s="18" t="n"/>
      <c r="AW46" s="18" t="n"/>
      <c r="AX46" s="18" t="n"/>
      <c r="AY46" s="18" t="n"/>
      <c r="AZ46" s="18" t="n"/>
      <c r="BA46" s="18" t="n"/>
      <c r="BB46" s="18" t="n"/>
      <c r="BC46" s="18" t="n"/>
      <c r="BD46" s="18" t="n"/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18" t="n"/>
      <c r="BU46" s="18" t="n"/>
      <c r="BV46" s="18" t="n"/>
      <c r="BW46" s="18" t="n"/>
      <c r="BX46" s="18" t="n"/>
      <c r="BY46" s="18" t="n"/>
      <c r="BZ46" s="18" t="n"/>
      <c r="CA46" s="18" t="n"/>
      <c r="CB46" s="18" t="n"/>
      <c r="CC46" s="18" t="n"/>
      <c r="CD46" s="18" t="n"/>
      <c r="CE46" s="18" t="n"/>
      <c r="CF46" s="18" t="n"/>
      <c r="CG46" s="18" t="n"/>
      <c r="CH46" s="18" t="n"/>
      <c r="CI46" s="18" t="n"/>
      <c r="CJ46" s="18" t="n"/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</row>
    <row r="47">
      <c r="A47" s="18">
        <f>'Schedule_Data_Option_B'!A48</f>
        <v/>
      </c>
      <c r="B47" s="18">
        <f>'Schedule_Data_Option_B'!B48</f>
        <v/>
      </c>
      <c r="C47" s="18">
        <f>'Schedule_Data_Option_B'!C48</f>
        <v/>
      </c>
      <c r="D47" s="21">
        <f>'Schedule_Data_Option_B'!D48</f>
        <v/>
      </c>
      <c r="E47" s="18" t="n"/>
      <c r="F47" s="18" t="n"/>
      <c r="G47" s="18" t="n"/>
      <c r="H47" s="18" t="n"/>
      <c r="I47" s="18" t="n"/>
      <c r="J47" s="18" t="n"/>
      <c r="K47" s="18" t="n"/>
      <c r="L47" s="18" t="n"/>
      <c r="M47" s="18" t="n"/>
      <c r="N47" s="18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18" t="n"/>
      <c r="X47" s="18" t="n"/>
      <c r="Y47" s="18" t="n"/>
      <c r="Z47" s="18" t="n"/>
      <c r="AA47" s="18" t="n"/>
      <c r="AB47" s="18" t="n"/>
      <c r="AC47" s="18" t="n"/>
      <c r="AD47" s="18" t="n"/>
      <c r="AE47" s="18" t="n"/>
      <c r="AF47" s="18" t="n"/>
      <c r="AG47" s="18" t="n"/>
      <c r="AH47" s="18" t="n"/>
      <c r="AI47" s="18" t="n"/>
      <c r="AJ47" s="18" t="n"/>
      <c r="AK47" s="18" t="n"/>
      <c r="AL47" s="18" t="n"/>
      <c r="AM47" s="18" t="n"/>
      <c r="AN47" s="18" t="n"/>
      <c r="AO47" s="18" t="n"/>
      <c r="AP47" s="18" t="n"/>
      <c r="AQ47" s="18" t="n"/>
      <c r="AR47" s="18" t="n"/>
      <c r="AS47" s="18" t="n"/>
      <c r="AT47" s="18" t="n"/>
      <c r="AU47" s="18" t="n"/>
      <c r="AV47" s="18" t="n"/>
      <c r="AW47" s="18" t="n"/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18" t="n"/>
      <c r="BU47" s="18" t="n"/>
      <c r="BV47" s="18" t="n"/>
      <c r="BW47" s="18" t="n"/>
      <c r="BX47" s="18" t="n"/>
      <c r="BY47" s="18" t="n"/>
      <c r="BZ47" s="18" t="n"/>
      <c r="CA47" s="18" t="n"/>
      <c r="CB47" s="18" t="n"/>
      <c r="CC47" s="18" t="n"/>
      <c r="CD47" s="18" t="n"/>
      <c r="CE47" s="18" t="n"/>
      <c r="CF47" s="18" t="n"/>
      <c r="CG47" s="18" t="n"/>
      <c r="CH47" s="18" t="n"/>
      <c r="CI47" s="18" t="n"/>
      <c r="CJ47" s="18" t="n"/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</row>
    <row r="48">
      <c r="A48" s="18">
        <f>'Schedule_Data_Option_B'!A49</f>
        <v/>
      </c>
      <c r="B48" s="18">
        <f>'Schedule_Data_Option_B'!B49</f>
        <v/>
      </c>
      <c r="C48" s="18">
        <f>'Schedule_Data_Option_B'!C49</f>
        <v/>
      </c>
      <c r="D48" s="27">
        <f>'Schedule_Data_Option_B'!D49</f>
        <v/>
      </c>
      <c r="E48" s="18" t="n"/>
      <c r="F48" s="18" t="n"/>
      <c r="G48" s="18" t="n"/>
      <c r="H48" s="18" t="n"/>
      <c r="I48" s="18" t="n"/>
      <c r="J48" s="18" t="n"/>
      <c r="K48" s="18" t="n"/>
      <c r="L48" s="18" t="n"/>
      <c r="M48" s="18" t="n"/>
      <c r="N48" s="18" t="n"/>
      <c r="O48" s="18" t="n"/>
      <c r="P48" s="18" t="n"/>
      <c r="Q48" s="18" t="n"/>
      <c r="R48" s="18" t="n"/>
      <c r="S48" s="27" t="n"/>
      <c r="T48" s="18" t="n"/>
      <c r="U48" s="18" t="n"/>
      <c r="V48" s="18" t="n"/>
      <c r="W48" s="18" t="n"/>
      <c r="X48" s="18" t="n"/>
      <c r="Y48" s="18" t="n"/>
      <c r="Z48" s="18" t="n"/>
      <c r="AA48" s="18" t="n"/>
      <c r="AB48" s="18" t="n"/>
      <c r="AC48" s="18" t="n"/>
      <c r="AD48" s="18" t="n"/>
      <c r="AE48" s="18" t="n"/>
      <c r="AF48" s="18" t="n"/>
      <c r="AG48" s="18" t="n"/>
      <c r="AH48" s="18" t="n"/>
      <c r="AI48" s="18" t="n"/>
      <c r="AJ48" s="18" t="n"/>
      <c r="AK48" s="18" t="n"/>
      <c r="AL48" s="18" t="n"/>
      <c r="AM48" s="18" t="n"/>
      <c r="AN48" s="18" t="n"/>
      <c r="AO48" s="18" t="n"/>
      <c r="AP48" s="18" t="n"/>
      <c r="AQ48" s="18" t="n"/>
      <c r="AR48" s="18" t="n"/>
      <c r="AS48" s="18" t="n"/>
      <c r="AT48" s="18" t="n"/>
      <c r="AU48" s="18" t="n"/>
      <c r="AV48" s="18" t="n"/>
      <c r="AW48" s="18" t="n"/>
      <c r="AX48" s="18" t="n"/>
      <c r="AY48" s="18" t="n"/>
      <c r="AZ48" s="18" t="n"/>
      <c r="BA48" s="18" t="n"/>
      <c r="BB48" s="18" t="n"/>
      <c r="BC48" s="18" t="n"/>
      <c r="BD48" s="18" t="n"/>
      <c r="BE48" s="18" t="n"/>
      <c r="BF48" s="18" t="n"/>
      <c r="BG48" s="18" t="n"/>
      <c r="BH48" s="18" t="n"/>
      <c r="BI48" s="18" t="n"/>
      <c r="BJ48" s="18" t="n"/>
      <c r="BK48" s="18" t="n"/>
      <c r="BL48" s="18" t="n"/>
      <c r="BM48" s="18" t="n"/>
      <c r="BN48" s="18" t="n"/>
      <c r="BO48" s="18" t="n"/>
      <c r="BP48" s="18" t="n"/>
      <c r="BQ48" s="18" t="n"/>
      <c r="BR48" s="18" t="n"/>
      <c r="BS48" s="18" t="n"/>
      <c r="BT48" s="18" t="n"/>
      <c r="BU48" s="18" t="n"/>
      <c r="BV48" s="18" t="n"/>
      <c r="BW48" s="18" t="n"/>
      <c r="BX48" s="18" t="n"/>
      <c r="BY48" s="18" t="n"/>
      <c r="BZ48" s="18" t="n"/>
      <c r="CA48" s="18" t="n"/>
      <c r="CB48" s="18" t="n"/>
      <c r="CC48" s="18" t="n"/>
      <c r="CD48" s="18" t="n"/>
      <c r="CE48" s="18" t="n"/>
      <c r="CF48" s="18" t="n"/>
      <c r="CG48" s="18" t="n"/>
      <c r="CH48" s="18" t="n"/>
      <c r="CI48" s="18" t="n"/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</row>
    <row r="49">
      <c r="A49" s="18">
        <f>'Schedule_Data_Option_B'!A50</f>
        <v/>
      </c>
      <c r="B49" s="18">
        <f>'Schedule_Data_Option_B'!B50</f>
        <v/>
      </c>
      <c r="C49" s="18">
        <f>'Schedule_Data_Option_B'!C50</f>
        <v/>
      </c>
      <c r="D49" s="38">
        <f>'Schedule_Data_Option_B'!D50</f>
        <v/>
      </c>
      <c r="E49" s="18" t="n"/>
      <c r="F49" s="18" t="n"/>
      <c r="G49" s="18" t="n"/>
      <c r="H49" s="18" t="n"/>
      <c r="I49" s="18" t="n"/>
      <c r="J49" s="18" t="n"/>
      <c r="K49" s="18" t="n"/>
      <c r="L49" s="18" t="n"/>
      <c r="M49" s="18" t="n"/>
      <c r="N49" s="18" t="n"/>
      <c r="O49" s="18" t="n"/>
      <c r="P49" s="18" t="n"/>
      <c r="Q49" s="18" t="n"/>
      <c r="R49" s="18" t="n"/>
      <c r="S49" s="18" t="n"/>
      <c r="T49" s="18" t="n"/>
      <c r="U49" s="18" t="n"/>
      <c r="V49" s="38" t="n"/>
      <c r="W49" s="18" t="n"/>
      <c r="X49" s="18" t="n"/>
      <c r="Y49" s="18" t="n"/>
      <c r="Z49" s="18" t="n"/>
      <c r="AA49" s="18" t="n"/>
      <c r="AB49" s="18" t="n"/>
      <c r="AC49" s="18" t="n"/>
      <c r="AD49" s="18" t="n"/>
      <c r="AE49" s="18" t="n"/>
      <c r="AF49" s="18" t="n"/>
      <c r="AG49" s="18" t="n"/>
      <c r="AH49" s="18" t="n"/>
      <c r="AI49" s="18" t="n"/>
      <c r="AJ49" s="18" t="n"/>
      <c r="AK49" s="18" t="n"/>
      <c r="AL49" s="18" t="n"/>
      <c r="AM49" s="18" t="n"/>
      <c r="AN49" s="18" t="n"/>
      <c r="AO49" s="18" t="n"/>
      <c r="AP49" s="18" t="n"/>
      <c r="AQ49" s="18" t="n"/>
      <c r="AR49" s="18" t="n"/>
      <c r="AS49" s="18" t="n"/>
      <c r="AT49" s="18" t="n"/>
      <c r="AU49" s="18" t="n"/>
      <c r="AV49" s="18" t="n"/>
      <c r="AW49" s="18" t="n"/>
      <c r="AX49" s="18" t="n"/>
      <c r="AY49" s="18" t="n"/>
      <c r="AZ49" s="18" t="n"/>
      <c r="BA49" s="18" t="n"/>
      <c r="BB49" s="18" t="n"/>
      <c r="BC49" s="18" t="n"/>
      <c r="BD49" s="18" t="n"/>
      <c r="BE49" s="18" t="n"/>
      <c r="BF49" s="18" t="n"/>
      <c r="BG49" s="18" t="n"/>
      <c r="BH49" s="18" t="n"/>
      <c r="BI49" s="18" t="n"/>
      <c r="BJ49" s="18" t="n"/>
      <c r="BK49" s="18" t="n"/>
      <c r="BL49" s="18" t="n"/>
      <c r="BM49" s="18" t="n"/>
      <c r="BN49" s="18" t="n"/>
      <c r="BO49" s="18" t="n"/>
      <c r="BP49" s="18" t="n"/>
      <c r="BQ49" s="18" t="n"/>
      <c r="BR49" s="18" t="n"/>
      <c r="BS49" s="18" t="n"/>
      <c r="BT49" s="18" t="n"/>
      <c r="BU49" s="18" t="n"/>
      <c r="BV49" s="18" t="n"/>
      <c r="BW49" s="18" t="n"/>
      <c r="BX49" s="18" t="n"/>
      <c r="BY49" s="18" t="n"/>
      <c r="BZ49" s="18" t="n"/>
      <c r="CA49" s="18" t="n"/>
      <c r="CB49" s="18" t="n"/>
      <c r="CC49" s="18" t="n"/>
      <c r="CD49" s="18" t="n"/>
      <c r="CE49" s="18" t="n"/>
      <c r="CF49" s="18" t="n"/>
      <c r="CG49" s="18" t="n"/>
      <c r="CH49" s="18" t="n"/>
      <c r="CI49" s="18" t="n"/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</row>
    <row r="50">
      <c r="A50" s="18">
        <f>'Schedule_Data_Option_B'!A51</f>
        <v/>
      </c>
      <c r="B50" s="18">
        <f>'Schedule_Data_Option_B'!B51</f>
        <v/>
      </c>
      <c r="C50" s="18">
        <f>'Schedule_Data_Option_B'!C51</f>
        <v/>
      </c>
      <c r="D50" s="21">
        <f>'Schedule_Data_Option_B'!D51</f>
        <v/>
      </c>
      <c r="E50" s="18" t="n"/>
      <c r="F50" s="18" t="n"/>
      <c r="G50" s="18" t="n"/>
      <c r="H50" s="18" t="n"/>
      <c r="I50" s="18" t="n"/>
      <c r="J50" s="18" t="n"/>
      <c r="K50" s="18" t="n"/>
      <c r="L50" s="18" t="n"/>
      <c r="M50" s="18" t="n"/>
      <c r="N50" s="18" t="n"/>
      <c r="O50" s="18" t="n"/>
      <c r="P50" s="18" t="n"/>
      <c r="Q50" s="18" t="n"/>
      <c r="R50" s="18" t="n"/>
      <c r="S50" s="18" t="n"/>
      <c r="T50" s="18" t="n"/>
      <c r="U50" s="21" t="n"/>
      <c r="V50" s="18" t="n"/>
      <c r="W50" s="18" t="n"/>
      <c r="X50" s="18" t="n"/>
      <c r="Y50" s="18" t="n"/>
      <c r="Z50" s="18" t="n"/>
      <c r="AA50" s="18" t="n"/>
      <c r="AB50" s="18" t="n"/>
      <c r="AC50" s="18" t="n"/>
      <c r="AD50" s="18" t="n"/>
      <c r="AE50" s="18" t="n"/>
      <c r="AF50" s="18" t="n"/>
      <c r="AG50" s="18" t="n"/>
      <c r="AH50" s="18" t="n"/>
      <c r="AI50" s="18" t="n"/>
      <c r="AJ50" s="18" t="n"/>
      <c r="AK50" s="18" t="n"/>
      <c r="AL50" s="18" t="n"/>
      <c r="AM50" s="18" t="n"/>
      <c r="AN50" s="18" t="n"/>
      <c r="AO50" s="18" t="n"/>
      <c r="AP50" s="18" t="n"/>
      <c r="AQ50" s="18" t="n"/>
      <c r="AR50" s="18" t="n"/>
      <c r="AS50" s="18" t="n"/>
      <c r="AT50" s="18" t="n"/>
      <c r="AU50" s="18" t="n"/>
      <c r="AV50" s="18" t="n"/>
      <c r="AW50" s="18" t="n"/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18" t="n"/>
      <c r="BU50" s="18" t="n"/>
      <c r="BV50" s="18" t="n"/>
      <c r="BW50" s="18" t="n"/>
      <c r="BX50" s="18" t="n"/>
      <c r="BY50" s="18" t="n"/>
      <c r="BZ50" s="18" t="n"/>
      <c r="CA50" s="18" t="n"/>
      <c r="CB50" s="18" t="n"/>
      <c r="CC50" s="18" t="n"/>
      <c r="CD50" s="18" t="n"/>
      <c r="CE50" s="18" t="n"/>
      <c r="CF50" s="18" t="n"/>
      <c r="CG50" s="18" t="n"/>
      <c r="CH50" s="18" t="n"/>
      <c r="CI50" s="18" t="n"/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</row>
    <row r="51">
      <c r="A51" s="18">
        <f>'Schedule_Data_Option_B'!A52</f>
        <v/>
      </c>
      <c r="B51" s="18">
        <f>'Schedule_Data_Option_B'!B52</f>
        <v/>
      </c>
      <c r="C51" s="18">
        <f>'Schedule_Data_Option_B'!C52</f>
        <v/>
      </c>
      <c r="D51" s="19">
        <f>'Schedule_Data_Option_B'!D52</f>
        <v/>
      </c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9" t="n"/>
      <c r="W51" s="18" t="n"/>
      <c r="X51" s="18" t="n"/>
      <c r="Y51" s="18" t="n"/>
      <c r="Z51" s="18" t="n"/>
      <c r="AA51" s="18" t="n"/>
      <c r="AB51" s="18" t="n"/>
      <c r="AC51" s="18" t="n"/>
      <c r="AD51" s="18" t="n"/>
      <c r="AE51" s="18" t="n"/>
      <c r="AF51" s="18" t="n"/>
      <c r="AG51" s="18" t="n"/>
      <c r="AH51" s="18" t="n"/>
      <c r="AI51" s="18" t="n"/>
      <c r="AJ51" s="18" t="n"/>
      <c r="AK51" s="18" t="n"/>
      <c r="AL51" s="18" t="n"/>
      <c r="AM51" s="18" t="n"/>
      <c r="AN51" s="18" t="n"/>
      <c r="AO51" s="18" t="n"/>
      <c r="AP51" s="18" t="n"/>
      <c r="AQ51" s="18" t="n"/>
      <c r="AR51" s="18" t="n"/>
      <c r="AS51" s="18" t="n"/>
      <c r="AT51" s="18" t="n"/>
      <c r="AU51" s="18" t="n"/>
      <c r="AV51" s="18" t="n"/>
      <c r="AW51" s="18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18" t="n"/>
      <c r="BU51" s="18" t="n"/>
      <c r="BV51" s="18" t="n"/>
      <c r="BW51" s="18" t="n"/>
      <c r="BX51" s="18" t="n"/>
      <c r="BY51" s="18" t="n"/>
      <c r="BZ51" s="18" t="n"/>
      <c r="CA51" s="18" t="n"/>
      <c r="CB51" s="18" t="n"/>
      <c r="CC51" s="18" t="n"/>
      <c r="CD51" s="18" t="n"/>
      <c r="CE51" s="18" t="n"/>
      <c r="CF51" s="18" t="n"/>
      <c r="CG51" s="18" t="n"/>
      <c r="CH51" s="18" t="n"/>
      <c r="CI51" s="18" t="n"/>
      <c r="CJ51" s="18" t="n"/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</row>
    <row r="52">
      <c r="A52" s="18">
        <f>'Schedule_Data_Option_B'!A53</f>
        <v/>
      </c>
      <c r="B52" s="18">
        <f>'Schedule_Data_Option_B'!B53</f>
        <v/>
      </c>
      <c r="C52" s="18">
        <f>'Schedule_Data_Option_B'!C53</f>
        <v/>
      </c>
      <c r="D52" s="19">
        <f>'Schedule_Data_Option_B'!D53</f>
        <v/>
      </c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9" t="n"/>
      <c r="X52" s="18" t="n"/>
      <c r="Y52" s="18" t="n"/>
      <c r="Z52" s="18" t="n"/>
      <c r="AA52" s="18" t="n"/>
      <c r="AB52" s="18" t="n"/>
      <c r="AC52" s="18" t="n"/>
      <c r="AD52" s="18" t="n"/>
      <c r="AE52" s="18" t="n"/>
      <c r="AF52" s="18" t="n"/>
      <c r="AG52" s="18" t="n"/>
      <c r="AH52" s="18" t="n"/>
      <c r="AI52" s="18" t="n"/>
      <c r="AJ52" s="18" t="n"/>
      <c r="AK52" s="18" t="n"/>
      <c r="AL52" s="18" t="n"/>
      <c r="AM52" s="18" t="n"/>
      <c r="AN52" s="18" t="n"/>
      <c r="AO52" s="18" t="n"/>
      <c r="AP52" s="18" t="n"/>
      <c r="AQ52" s="18" t="n"/>
      <c r="AR52" s="18" t="n"/>
      <c r="AS52" s="18" t="n"/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18" t="n"/>
      <c r="BU52" s="18" t="n"/>
      <c r="BV52" s="18" t="n"/>
      <c r="BW52" s="18" t="n"/>
      <c r="BX52" s="18" t="n"/>
      <c r="BY52" s="18" t="n"/>
      <c r="BZ52" s="18" t="n"/>
      <c r="CA52" s="18" t="n"/>
      <c r="CB52" s="18" t="n"/>
      <c r="CC52" s="18" t="n"/>
      <c r="CD52" s="18" t="n"/>
      <c r="CE52" s="18" t="n"/>
      <c r="CF52" s="18" t="n"/>
      <c r="CG52" s="18" t="n"/>
      <c r="CH52" s="18" t="n"/>
      <c r="CI52" s="18" t="n"/>
      <c r="CJ52" s="18" t="n"/>
      <c r="CK52" s="18" t="n"/>
      <c r="CL52" s="18" t="n"/>
      <c r="CM52" s="18" t="n"/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</row>
    <row r="53">
      <c r="A53" s="18">
        <f>'Schedule_Data_Option_B'!A54</f>
        <v/>
      </c>
      <c r="B53" s="18">
        <f>'Schedule_Data_Option_B'!B54</f>
        <v/>
      </c>
      <c r="C53" s="18">
        <f>'Schedule_Data_Option_B'!C54</f>
        <v/>
      </c>
      <c r="D53" s="21">
        <f>'Schedule_Data_Option_B'!D54</f>
        <v/>
      </c>
      <c r="E53" s="18" t="n"/>
      <c r="F53" s="18" t="n"/>
      <c r="G53" s="18" t="n"/>
      <c r="H53" s="18" t="n"/>
      <c r="I53" s="18" t="n"/>
      <c r="J53" s="18" t="n"/>
      <c r="K53" s="18" t="n"/>
      <c r="L53" s="18" t="n"/>
      <c r="M53" s="18" t="n"/>
      <c r="N53" s="18" t="n"/>
      <c r="O53" s="18" t="n"/>
      <c r="P53" s="18" t="n"/>
      <c r="Q53" s="18" t="n"/>
      <c r="R53" s="18" t="n"/>
      <c r="S53" s="18" t="n"/>
      <c r="T53" s="18" t="n"/>
      <c r="U53" s="18" t="n"/>
      <c r="V53" s="18" t="n"/>
      <c r="W53" s="36" t="inlineStr">
        <is>
          <t>*</t>
        </is>
      </c>
      <c r="X53" s="18" t="n"/>
      <c r="Y53" s="18" t="n"/>
      <c r="Z53" s="18" t="n"/>
      <c r="AA53" s="18" t="n"/>
      <c r="AB53" s="18" t="n"/>
      <c r="AC53" s="18" t="n"/>
      <c r="AD53" s="18" t="n"/>
      <c r="AE53" s="18" t="n"/>
      <c r="AF53" s="18" t="n"/>
      <c r="AG53" s="18" t="n"/>
      <c r="AH53" s="18" t="n"/>
      <c r="AI53" s="18" t="n"/>
      <c r="AJ53" s="18" t="n"/>
      <c r="AK53" s="18" t="n"/>
      <c r="AL53" s="18" t="n"/>
      <c r="AM53" s="18" t="n"/>
      <c r="AN53" s="18" t="n"/>
      <c r="AO53" s="18" t="n"/>
      <c r="AP53" s="18" t="n"/>
      <c r="AQ53" s="18" t="n"/>
      <c r="AR53" s="18" t="n"/>
      <c r="AS53" s="18" t="n"/>
      <c r="AT53" s="18" t="n"/>
      <c r="AU53" s="18" t="n"/>
      <c r="AV53" s="18" t="n"/>
      <c r="AW53" s="18" t="n"/>
      <c r="AX53" s="18" t="n"/>
      <c r="AY53" s="18" t="n"/>
      <c r="AZ53" s="18" t="n"/>
      <c r="BA53" s="18" t="n"/>
      <c r="BB53" s="18" t="n"/>
      <c r="BC53" s="18" t="n"/>
      <c r="BD53" s="18" t="n"/>
      <c r="BE53" s="18" t="n"/>
      <c r="BF53" s="18" t="n"/>
      <c r="BG53" s="18" t="n"/>
      <c r="BH53" s="18" t="n"/>
      <c r="BI53" s="18" t="n"/>
      <c r="BJ53" s="18" t="n"/>
      <c r="BK53" s="18" t="n"/>
      <c r="BL53" s="18" t="n"/>
      <c r="BM53" s="18" t="n"/>
      <c r="BN53" s="18" t="n"/>
      <c r="BO53" s="18" t="n"/>
      <c r="BP53" s="18" t="n"/>
      <c r="BQ53" s="18" t="n"/>
      <c r="BR53" s="18" t="n"/>
      <c r="BS53" s="18" t="n"/>
      <c r="BT53" s="18" t="n"/>
      <c r="BU53" s="18" t="n"/>
      <c r="BV53" s="18" t="n"/>
      <c r="BW53" s="18" t="n"/>
      <c r="BX53" s="18" t="n"/>
      <c r="BY53" s="18" t="n"/>
      <c r="BZ53" s="18" t="n"/>
      <c r="CA53" s="18" t="n"/>
      <c r="CB53" s="18" t="n"/>
      <c r="CC53" s="18" t="n"/>
      <c r="CD53" s="18" t="n"/>
      <c r="CE53" s="18" t="n"/>
      <c r="CF53" s="18" t="n"/>
      <c r="CG53" s="18" t="n"/>
      <c r="CH53" s="18" t="n"/>
      <c r="CI53" s="18" t="n"/>
      <c r="CJ53" s="18" t="n"/>
      <c r="CK53" s="18" t="n"/>
      <c r="CL53" s="18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18" t="n"/>
      <c r="DP53" s="18" t="n"/>
      <c r="DQ53" s="18" t="n"/>
      <c r="DR53" s="18" t="n"/>
      <c r="DS53" s="18" t="n"/>
      <c r="DT53" s="18" t="n"/>
    </row>
    <row r="54">
      <c r="A54" s="18">
        <f>'Schedule_Data_Option_B'!A55</f>
        <v/>
      </c>
      <c r="B54" s="18">
        <f>'Schedule_Data_Option_B'!B55</f>
        <v/>
      </c>
      <c r="C54" s="18">
        <f>'Schedule_Data_Option_B'!C55</f>
        <v/>
      </c>
      <c r="D54" s="22">
        <f>'Schedule_Data_Option_B'!D55</f>
        <v/>
      </c>
      <c r="E54" s="18" t="n"/>
      <c r="F54" s="18" t="n"/>
      <c r="G54" s="18" t="n"/>
      <c r="H54" s="18" t="n"/>
      <c r="I54" s="18" t="n"/>
      <c r="J54" s="18" t="n"/>
      <c r="K54" s="18" t="n"/>
      <c r="L54" s="18" t="n"/>
      <c r="M54" s="18" t="n"/>
      <c r="N54" s="18" t="n"/>
      <c r="O54" s="18" t="n"/>
      <c r="P54" s="18" t="n"/>
      <c r="Q54" s="18" t="n"/>
      <c r="R54" s="18" t="n"/>
      <c r="S54" s="18" t="n"/>
      <c r="T54" s="18" t="n"/>
      <c r="U54" s="18" t="n"/>
      <c r="V54" s="18" t="n"/>
      <c r="W54" s="22" t="n"/>
      <c r="X54" s="18" t="n"/>
      <c r="Y54" s="18" t="n"/>
      <c r="Z54" s="18" t="n"/>
      <c r="AA54" s="18" t="n"/>
      <c r="AB54" s="18" t="n"/>
      <c r="AC54" s="18" t="n"/>
      <c r="AD54" s="18" t="n"/>
      <c r="AE54" s="18" t="n"/>
      <c r="AF54" s="18" t="n"/>
      <c r="AG54" s="18" t="n"/>
      <c r="AH54" s="18" t="n"/>
      <c r="AI54" s="18" t="n"/>
      <c r="AJ54" s="18" t="n"/>
      <c r="AK54" s="18" t="n"/>
      <c r="AL54" s="18" t="n"/>
      <c r="AM54" s="18" t="n"/>
      <c r="AN54" s="18" t="n"/>
      <c r="AO54" s="18" t="n"/>
      <c r="AP54" s="18" t="n"/>
      <c r="AQ54" s="18" t="n"/>
      <c r="AR54" s="18" t="n"/>
      <c r="AS54" s="18" t="n"/>
      <c r="AT54" s="18" t="n"/>
      <c r="AU54" s="18" t="n"/>
      <c r="AV54" s="18" t="n"/>
      <c r="AW54" s="18" t="n"/>
      <c r="AX54" s="18" t="n"/>
      <c r="AY54" s="18" t="n"/>
      <c r="AZ54" s="18" t="n"/>
      <c r="BA54" s="18" t="n"/>
      <c r="BB54" s="18" t="n"/>
      <c r="BC54" s="18" t="n"/>
      <c r="BD54" s="18" t="n"/>
      <c r="BE54" s="18" t="n"/>
      <c r="BF54" s="18" t="n"/>
      <c r="BG54" s="18" t="n"/>
      <c r="BH54" s="18" t="n"/>
      <c r="BI54" s="18" t="n"/>
      <c r="BJ54" s="18" t="n"/>
      <c r="BK54" s="18" t="n"/>
      <c r="BL54" s="18" t="n"/>
      <c r="BM54" s="18" t="n"/>
      <c r="BN54" s="18" t="n"/>
      <c r="BO54" s="18" t="n"/>
      <c r="BP54" s="18" t="n"/>
      <c r="BQ54" s="18" t="n"/>
      <c r="BR54" s="18" t="n"/>
      <c r="BS54" s="18" t="n"/>
      <c r="BT54" s="18" t="n"/>
      <c r="BU54" s="18" t="n"/>
      <c r="BV54" s="18" t="n"/>
      <c r="BW54" s="18" t="n"/>
      <c r="BX54" s="18" t="n"/>
      <c r="BY54" s="18" t="n"/>
      <c r="BZ54" s="18" t="n"/>
      <c r="CA54" s="18" t="n"/>
      <c r="CB54" s="18" t="n"/>
      <c r="CC54" s="18" t="n"/>
      <c r="CD54" s="18" t="n"/>
      <c r="CE54" s="18" t="n"/>
      <c r="CF54" s="18" t="n"/>
      <c r="CG54" s="18" t="n"/>
      <c r="CH54" s="18" t="n"/>
      <c r="CI54" s="18" t="n"/>
      <c r="CJ54" s="18" t="n"/>
      <c r="CK54" s="18" t="n"/>
      <c r="CL54" s="18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18" t="n"/>
      <c r="DP54" s="18" t="n"/>
      <c r="DQ54" s="18" t="n"/>
      <c r="DR54" s="18" t="n"/>
      <c r="DS54" s="18" t="n"/>
      <c r="DT54" s="18" t="n"/>
    </row>
    <row r="55">
      <c r="A55" s="18">
        <f>'Schedule_Data_Option_B'!A56</f>
        <v/>
      </c>
      <c r="B55" s="18">
        <f>'Schedule_Data_Option_B'!B56</f>
        <v/>
      </c>
      <c r="C55" s="18">
        <f>'Schedule_Data_Option_B'!C56</f>
        <v/>
      </c>
      <c r="D55" s="21">
        <f>'Schedule_Data_Option_B'!D56</f>
        <v/>
      </c>
      <c r="E55" s="18" t="n"/>
      <c r="F55" s="18" t="n"/>
      <c r="G55" s="18" t="n"/>
      <c r="H55" s="18" t="n"/>
      <c r="I55" s="18" t="n"/>
      <c r="J55" s="18" t="n"/>
      <c r="K55" s="18" t="n"/>
      <c r="L55" s="18" t="n"/>
      <c r="M55" s="18" t="n"/>
      <c r="N55" s="18" t="n"/>
      <c r="O55" s="18" t="n"/>
      <c r="P55" s="18" t="n"/>
      <c r="Q55" s="18" t="n"/>
      <c r="R55" s="18" t="n"/>
      <c r="S55" s="18" t="n"/>
      <c r="T55" s="18" t="n"/>
      <c r="U55" s="18" t="n"/>
      <c r="V55" s="18" t="n"/>
      <c r="W55" s="21" t="n"/>
      <c r="X55" s="18" t="n"/>
      <c r="Y55" s="18" t="n"/>
      <c r="Z55" s="18" t="n"/>
      <c r="AA55" s="18" t="n"/>
      <c r="AB55" s="18" t="n"/>
      <c r="AC55" s="18" t="n"/>
      <c r="AD55" s="18" t="n"/>
      <c r="AE55" s="18" t="n"/>
      <c r="AF55" s="18" t="n"/>
      <c r="AG55" s="18" t="n"/>
      <c r="AH55" s="18" t="n"/>
      <c r="AI55" s="18" t="n"/>
      <c r="AJ55" s="18" t="n"/>
      <c r="AK55" s="18" t="n"/>
      <c r="AL55" s="18" t="n"/>
      <c r="AM55" s="18" t="n"/>
      <c r="AN55" s="18" t="n"/>
      <c r="AO55" s="18" t="n"/>
      <c r="AP55" s="18" t="n"/>
      <c r="AQ55" s="18" t="n"/>
      <c r="AR55" s="18" t="n"/>
      <c r="AS55" s="18" t="n"/>
      <c r="AT55" s="18" t="n"/>
      <c r="AU55" s="18" t="n"/>
      <c r="AV55" s="18" t="n"/>
      <c r="AW55" s="18" t="n"/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18" t="n"/>
      <c r="BU55" s="18" t="n"/>
      <c r="BV55" s="18" t="n"/>
      <c r="BW55" s="18" t="n"/>
      <c r="BX55" s="18" t="n"/>
      <c r="BY55" s="18" t="n"/>
      <c r="BZ55" s="18" t="n"/>
      <c r="CA55" s="18" t="n"/>
      <c r="CB55" s="18" t="n"/>
      <c r="CC55" s="18" t="n"/>
      <c r="CD55" s="18" t="n"/>
      <c r="CE55" s="18" t="n"/>
      <c r="CF55" s="18" t="n"/>
      <c r="CG55" s="18" t="n"/>
      <c r="CH55" s="18" t="n"/>
      <c r="CI55" s="18" t="n"/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</row>
    <row r="56">
      <c r="A56" s="18">
        <f>'Schedule_Data_Option_B'!A57</f>
        <v/>
      </c>
      <c r="B56" s="18">
        <f>'Schedule_Data_Option_B'!B57</f>
        <v/>
      </c>
      <c r="C56" s="18">
        <f>'Schedule_Data_Option_B'!C57</f>
        <v/>
      </c>
      <c r="D56" s="21">
        <f>'Schedule_Data_Option_B'!D57</f>
        <v/>
      </c>
      <c r="E56" s="18" t="n"/>
      <c r="F56" s="18" t="n"/>
      <c r="G56" s="18" t="n"/>
      <c r="H56" s="18" t="n"/>
      <c r="I56" s="18" t="n"/>
      <c r="J56" s="18" t="n"/>
      <c r="K56" s="18" t="n"/>
      <c r="L56" s="18" t="n"/>
      <c r="M56" s="18" t="n"/>
      <c r="N56" s="18" t="n"/>
      <c r="O56" s="18" t="n"/>
      <c r="P56" s="18" t="n"/>
      <c r="Q56" s="18" t="n"/>
      <c r="R56" s="18" t="n"/>
      <c r="S56" s="18" t="n"/>
      <c r="T56" s="18" t="n"/>
      <c r="U56" s="18" t="n"/>
      <c r="V56" s="18" t="n"/>
      <c r="W56" s="18" t="n"/>
      <c r="X56" s="18" t="n"/>
      <c r="Y56" s="18" t="n"/>
      <c r="Z56" s="18" t="n"/>
      <c r="AA56" s="18" t="n"/>
      <c r="AB56" s="18" t="n"/>
      <c r="AC56" s="18" t="n"/>
      <c r="AD56" s="18" t="n"/>
      <c r="AE56" s="18" t="n"/>
      <c r="AF56" s="18" t="n"/>
      <c r="AG56" s="18" t="n"/>
      <c r="AH56" s="18" t="n"/>
      <c r="AI56" s="18" t="n"/>
      <c r="AJ56" s="18" t="n"/>
      <c r="AK56" s="18" t="n"/>
      <c r="AL56" s="18" t="n"/>
      <c r="AM56" s="18" t="n"/>
      <c r="AN56" s="18" t="n"/>
      <c r="AO56" s="18" t="n"/>
      <c r="AP56" s="18" t="n"/>
      <c r="AQ56" s="18" t="n"/>
      <c r="AR56" s="18" t="n"/>
      <c r="AS56" s="18" t="n"/>
      <c r="AT56" s="18" t="n"/>
      <c r="AU56" s="18" t="n"/>
      <c r="AV56" s="18" t="n"/>
      <c r="AW56" s="18" t="n"/>
      <c r="AX56" s="18" t="n"/>
      <c r="AY56" s="18" t="n"/>
      <c r="AZ56" s="18" t="n"/>
      <c r="BA56" s="18" t="n"/>
      <c r="BB56" s="18" t="n"/>
      <c r="BC56" s="18" t="n"/>
      <c r="BD56" s="18" t="n"/>
      <c r="BE56" s="18" t="n"/>
      <c r="BF56" s="18" t="n"/>
      <c r="BG56" s="18" t="n"/>
      <c r="BH56" s="18" t="n"/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18" t="n"/>
      <c r="BU56" s="18" t="n"/>
      <c r="BV56" s="18" t="n"/>
      <c r="BW56" s="18" t="n"/>
      <c r="BX56" s="18" t="n"/>
      <c r="BY56" s="18" t="n"/>
      <c r="BZ56" s="18" t="n"/>
      <c r="CA56" s="18" t="n"/>
      <c r="CB56" s="18" t="n"/>
      <c r="CC56" s="18" t="n"/>
      <c r="CD56" s="18" t="n"/>
      <c r="CE56" s="18" t="n"/>
      <c r="CF56" s="18" t="n"/>
      <c r="CG56" s="18" t="n"/>
      <c r="CH56" s="18" t="n"/>
      <c r="CI56" s="18" t="n"/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</row>
    <row r="57">
      <c r="A57" s="18">
        <f>'Schedule_Data_Option_B'!A58</f>
        <v/>
      </c>
      <c r="B57" s="18">
        <f>'Schedule_Data_Option_B'!B58</f>
        <v/>
      </c>
      <c r="C57" s="18">
        <f>'Schedule_Data_Option_B'!C58</f>
        <v/>
      </c>
      <c r="D57" s="21">
        <f>'Schedule_Data_Option_B'!D58</f>
        <v/>
      </c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  <c r="AA57" s="18" t="n"/>
      <c r="AB57" s="18" t="n"/>
      <c r="AC57" s="18" t="n"/>
      <c r="AD57" s="18" t="n"/>
      <c r="AE57" s="18" t="n"/>
      <c r="AF57" s="18" t="n"/>
      <c r="AG57" s="18" t="n"/>
      <c r="AH57" s="18" t="n"/>
      <c r="AI57" s="18" t="n"/>
      <c r="AJ57" s="18" t="n"/>
      <c r="AK57" s="18" t="n"/>
      <c r="AL57" s="18" t="n"/>
      <c r="AM57" s="18" t="n"/>
      <c r="AN57" s="18" t="n"/>
      <c r="AO57" s="18" t="n"/>
      <c r="AP57" s="18" t="n"/>
      <c r="AQ57" s="18" t="n"/>
      <c r="AR57" s="18" t="n"/>
      <c r="AS57" s="18" t="n"/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18" t="n"/>
      <c r="BU57" s="18" t="n"/>
      <c r="BV57" s="18" t="n"/>
      <c r="BW57" s="18" t="n"/>
      <c r="BX57" s="18" t="n"/>
      <c r="BY57" s="18" t="n"/>
      <c r="BZ57" s="18" t="n"/>
      <c r="CA57" s="18" t="n"/>
      <c r="CB57" s="18" t="n"/>
      <c r="CC57" s="18" t="n"/>
      <c r="CD57" s="18" t="n"/>
      <c r="CE57" s="18" t="n"/>
      <c r="CF57" s="18" t="n"/>
      <c r="CG57" s="18" t="n"/>
      <c r="CH57" s="18" t="n"/>
      <c r="CI57" s="18" t="n"/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</row>
    <row r="58">
      <c r="A58" s="18">
        <f>'Schedule_Data_Option_B'!A59</f>
        <v/>
      </c>
      <c r="B58" s="18">
        <f>'Schedule_Data_Option_B'!B59</f>
        <v/>
      </c>
      <c r="C58" s="18">
        <f>'Schedule_Data_Option_B'!C59</f>
        <v/>
      </c>
      <c r="D58" s="23">
        <f>'Schedule_Data_Option_B'!D59</f>
        <v/>
      </c>
      <c r="E58" s="18" t="n"/>
      <c r="F58" s="18" t="n"/>
      <c r="G58" s="18" t="n"/>
      <c r="H58" s="18" t="n"/>
      <c r="I58" s="18" t="n"/>
      <c r="J58" s="18" t="n"/>
      <c r="K58" s="18" t="n"/>
      <c r="L58" s="18" t="n"/>
      <c r="M58" s="18" t="n"/>
      <c r="N58" s="18" t="n"/>
      <c r="O58" s="18" t="n"/>
      <c r="P58" s="18" t="n"/>
      <c r="Q58" s="18" t="n"/>
      <c r="R58" s="18" t="n"/>
      <c r="S58" s="18" t="n"/>
      <c r="T58" s="18" t="n"/>
      <c r="U58" s="18" t="n"/>
      <c r="V58" s="18" t="n"/>
      <c r="W58" s="18" t="n"/>
      <c r="X58" s="18" t="n"/>
      <c r="Y58" s="18" t="n"/>
      <c r="Z58" s="18" t="n"/>
      <c r="AA58" s="18" t="n"/>
      <c r="AB58" s="18" t="n"/>
      <c r="AC58" s="18" t="n"/>
      <c r="AD58" s="18" t="n"/>
      <c r="AE58" s="18" t="n"/>
      <c r="AF58" s="18" t="n"/>
      <c r="AG58" s="18" t="n"/>
      <c r="AH58" s="18" t="n"/>
      <c r="AI58" s="18" t="n"/>
      <c r="AJ58" s="18" t="n"/>
      <c r="AK58" s="18" t="n"/>
      <c r="AL58" s="18" t="n"/>
      <c r="AM58" s="18" t="n"/>
      <c r="AN58" s="18" t="n"/>
      <c r="AO58" s="18" t="n"/>
      <c r="AP58" s="18" t="n"/>
      <c r="AQ58" s="18" t="n"/>
      <c r="AR58" s="18" t="n"/>
      <c r="AS58" s="18" t="n"/>
      <c r="AT58" s="18" t="n"/>
      <c r="AU58" s="18" t="n"/>
      <c r="AV58" s="18" t="n"/>
      <c r="AW58" s="18" t="n"/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18" t="n"/>
      <c r="BU58" s="18" t="n"/>
      <c r="BV58" s="18" t="n"/>
      <c r="BW58" s="18" t="n"/>
      <c r="BX58" s="18" t="n"/>
      <c r="BY58" s="18" t="n"/>
      <c r="BZ58" s="18" t="n"/>
      <c r="CA58" s="18" t="n"/>
      <c r="CB58" s="18" t="n"/>
      <c r="CC58" s="18" t="n"/>
      <c r="CD58" s="18" t="n"/>
      <c r="CE58" s="18" t="n"/>
      <c r="CF58" s="18" t="n"/>
      <c r="CG58" s="18" t="n"/>
      <c r="CH58" s="18" t="n"/>
      <c r="CI58" s="18" t="n"/>
      <c r="CJ58" s="18" t="n"/>
      <c r="CK58" s="18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18" t="n"/>
      <c r="DP58" s="18" t="n"/>
      <c r="DQ58" s="18" t="n"/>
      <c r="DR58" s="18" t="n"/>
      <c r="DS58" s="18" t="n"/>
      <c r="DT58" s="18" t="n"/>
    </row>
    <row r="59">
      <c r="A59" s="18">
        <f>'Schedule_Data_Option_B'!A60</f>
        <v/>
      </c>
      <c r="B59" s="18">
        <f>'Schedule_Data_Option_B'!B60</f>
        <v/>
      </c>
      <c r="C59" s="18">
        <f>'Schedule_Data_Option_B'!C60</f>
        <v/>
      </c>
      <c r="D59" s="24">
        <f>'Schedule_Data_Option_B'!D60</f>
        <v/>
      </c>
      <c r="E59" s="18" t="n"/>
      <c r="F59" s="18" t="n"/>
      <c r="G59" s="18" t="n"/>
      <c r="H59" s="18" t="n"/>
      <c r="I59" s="18" t="n"/>
      <c r="J59" s="18" t="n"/>
      <c r="K59" s="18" t="n"/>
      <c r="L59" s="18" t="n"/>
      <c r="M59" s="18" t="n"/>
      <c r="N59" s="18" t="n"/>
      <c r="O59" s="18" t="n"/>
      <c r="P59" s="18" t="n"/>
      <c r="Q59" s="18" t="n"/>
      <c r="R59" s="18" t="n"/>
      <c r="S59" s="18" t="n"/>
      <c r="T59" s="18" t="n"/>
      <c r="U59" s="18" t="n"/>
      <c r="V59" s="18" t="n"/>
      <c r="W59" s="18" t="n"/>
      <c r="X59" s="24" t="n"/>
      <c r="Y59" s="18" t="n"/>
      <c r="Z59" s="18" t="n"/>
      <c r="AA59" s="18" t="n"/>
      <c r="AB59" s="18" t="n"/>
      <c r="AC59" s="18" t="n"/>
      <c r="AD59" s="18" t="n"/>
      <c r="AE59" s="18" t="n"/>
      <c r="AF59" s="18" t="n"/>
      <c r="AG59" s="18" t="n"/>
      <c r="AH59" s="18" t="n"/>
      <c r="AI59" s="18" t="n"/>
      <c r="AJ59" s="18" t="n"/>
      <c r="AK59" s="18" t="n"/>
      <c r="AL59" s="18" t="n"/>
      <c r="AM59" s="18" t="n"/>
      <c r="AN59" s="18" t="n"/>
      <c r="AO59" s="18" t="n"/>
      <c r="AP59" s="18" t="n"/>
      <c r="AQ59" s="18" t="n"/>
      <c r="AR59" s="18" t="n"/>
      <c r="AS59" s="18" t="n"/>
      <c r="AT59" s="18" t="n"/>
      <c r="AU59" s="18" t="n"/>
      <c r="AV59" s="18" t="n"/>
      <c r="AW59" s="18" t="n"/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18" t="n"/>
      <c r="BU59" s="18" t="n"/>
      <c r="BV59" s="18" t="n"/>
      <c r="BW59" s="18" t="n"/>
      <c r="BX59" s="18" t="n"/>
      <c r="BY59" s="18" t="n"/>
      <c r="BZ59" s="18" t="n"/>
      <c r="CA59" s="18" t="n"/>
      <c r="CB59" s="18" t="n"/>
      <c r="CC59" s="18" t="n"/>
      <c r="CD59" s="18" t="n"/>
      <c r="CE59" s="18" t="n"/>
      <c r="CF59" s="18" t="n"/>
      <c r="CG59" s="18" t="n"/>
      <c r="CH59" s="18" t="n"/>
      <c r="CI59" s="18" t="n"/>
      <c r="CJ59" s="18" t="n"/>
      <c r="CK59" s="18" t="n"/>
      <c r="CL59" s="18" t="n"/>
      <c r="CM59" s="18" t="n"/>
      <c r="CN59" s="18" t="n"/>
      <c r="CO59" s="18" t="n"/>
      <c r="CP59" s="18" t="n"/>
      <c r="CQ59" s="18" t="n"/>
      <c r="CR59" s="18" t="n"/>
      <c r="CS59" s="18" t="n"/>
      <c r="CT59" s="18" t="n"/>
      <c r="CU59" s="18" t="n"/>
      <c r="CV59" s="18" t="n"/>
      <c r="CW59" s="18" t="n"/>
      <c r="CX59" s="18" t="n"/>
      <c r="CY59" s="18" t="n"/>
      <c r="CZ59" s="18" t="n"/>
      <c r="DA59" s="18" t="n"/>
      <c r="DB59" s="18" t="n"/>
      <c r="DC59" s="18" t="n"/>
      <c r="DD59" s="18" t="n"/>
      <c r="DE59" s="18" t="n"/>
      <c r="DF59" s="18" t="n"/>
      <c r="DG59" s="18" t="n"/>
      <c r="DH59" s="18" t="n"/>
      <c r="DI59" s="18" t="n"/>
      <c r="DJ59" s="18" t="n"/>
      <c r="DK59" s="18" t="n"/>
      <c r="DL59" s="18" t="n"/>
      <c r="DM59" s="18" t="n"/>
      <c r="DN59" s="18" t="n"/>
      <c r="DO59" s="18" t="n"/>
      <c r="DP59" s="18" t="n"/>
      <c r="DQ59" s="18" t="n"/>
      <c r="DR59" s="18" t="n"/>
      <c r="DS59" s="18" t="n"/>
      <c r="DT59" s="18" t="n"/>
    </row>
    <row r="60">
      <c r="A60" s="18">
        <f>'Schedule_Data_Option_B'!A61</f>
        <v/>
      </c>
      <c r="B60" s="18">
        <f>'Schedule_Data_Option_B'!B61</f>
        <v/>
      </c>
      <c r="C60" s="18">
        <f>'Schedule_Data_Option_B'!C61</f>
        <v/>
      </c>
      <c r="D60" s="21">
        <f>'Schedule_Data_Option_B'!D61</f>
        <v/>
      </c>
      <c r="E60" s="18" t="n"/>
      <c r="F60" s="18" t="n"/>
      <c r="G60" s="18" t="n"/>
      <c r="H60" s="18" t="n"/>
      <c r="I60" s="18" t="n"/>
      <c r="J60" s="18" t="n"/>
      <c r="K60" s="18" t="n"/>
      <c r="L60" s="18" t="n"/>
      <c r="M60" s="18" t="n"/>
      <c r="N60" s="18" t="n"/>
      <c r="O60" s="18" t="n"/>
      <c r="P60" s="18" t="n"/>
      <c r="Q60" s="18" t="n"/>
      <c r="R60" s="18" t="n"/>
      <c r="S60" s="18" t="n"/>
      <c r="T60" s="18" t="n"/>
      <c r="U60" s="18" t="n"/>
      <c r="V60" s="18" t="n"/>
      <c r="W60" s="18" t="n"/>
      <c r="X60" s="18" t="n"/>
      <c r="Y60" s="18" t="n"/>
      <c r="Z60" s="18" t="n"/>
      <c r="AA60" s="18" t="n"/>
      <c r="AB60" s="18" t="n"/>
      <c r="AC60" s="18" t="n"/>
      <c r="AD60" s="18" t="n"/>
      <c r="AE60" s="18" t="n"/>
      <c r="AF60" s="18" t="n"/>
      <c r="AG60" s="18" t="n"/>
      <c r="AH60" s="18" t="n"/>
      <c r="AI60" s="18" t="n"/>
      <c r="AJ60" s="18" t="n"/>
      <c r="AK60" s="18" t="n"/>
      <c r="AL60" s="18" t="n"/>
      <c r="AM60" s="18" t="n"/>
      <c r="AN60" s="18" t="n"/>
      <c r="AO60" s="18" t="n"/>
      <c r="AP60" s="18" t="n"/>
      <c r="AQ60" s="18" t="n"/>
      <c r="AR60" s="18" t="n"/>
      <c r="AS60" s="18" t="n"/>
      <c r="AT60" s="18" t="n"/>
      <c r="AU60" s="18" t="n"/>
      <c r="AV60" s="18" t="n"/>
      <c r="AW60" s="18" t="n"/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18" t="n"/>
      <c r="BU60" s="18" t="n"/>
      <c r="BV60" s="18" t="n"/>
      <c r="BW60" s="18" t="n"/>
      <c r="BX60" s="18" t="n"/>
      <c r="BY60" s="18" t="n"/>
      <c r="BZ60" s="18" t="n"/>
      <c r="CA60" s="18" t="n"/>
      <c r="CB60" s="18" t="n"/>
      <c r="CC60" s="18" t="n"/>
      <c r="CD60" s="18" t="n"/>
      <c r="CE60" s="18" t="n"/>
      <c r="CF60" s="18" t="n"/>
      <c r="CG60" s="18" t="n"/>
      <c r="CH60" s="18" t="n"/>
      <c r="CI60" s="18" t="n"/>
      <c r="CJ60" s="18" t="n"/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</row>
    <row r="61">
      <c r="A61" s="18">
        <f>'Schedule_Data_Option_B'!A62</f>
        <v/>
      </c>
      <c r="B61" s="18">
        <f>'Schedule_Data_Option_B'!B62</f>
        <v/>
      </c>
      <c r="C61" s="18">
        <f>'Schedule_Data_Option_B'!C62</f>
        <v/>
      </c>
      <c r="D61" s="21">
        <f>'Schedule_Data_Option_B'!D62</f>
        <v/>
      </c>
      <c r="E61" s="18" t="n"/>
      <c r="F61" s="18" t="n"/>
      <c r="G61" s="18" t="n"/>
      <c r="H61" s="18" t="n"/>
      <c r="I61" s="18" t="n"/>
      <c r="J61" s="18" t="n"/>
      <c r="K61" s="18" t="n"/>
      <c r="L61" s="18" t="n"/>
      <c r="M61" s="18" t="n"/>
      <c r="N61" s="18" t="n"/>
      <c r="O61" s="18" t="n"/>
      <c r="P61" s="18" t="n"/>
      <c r="Q61" s="18" t="n"/>
      <c r="R61" s="18" t="n"/>
      <c r="S61" s="18" t="n"/>
      <c r="T61" s="18" t="n"/>
      <c r="U61" s="18" t="n"/>
      <c r="V61" s="18" t="n"/>
      <c r="W61" s="18" t="n"/>
      <c r="X61" s="18" t="n"/>
      <c r="Y61" s="18" t="n"/>
      <c r="Z61" s="18" t="n"/>
      <c r="AA61" s="18" t="n"/>
      <c r="AB61" s="18" t="n"/>
      <c r="AC61" s="18" t="n"/>
      <c r="AD61" s="18" t="n"/>
      <c r="AE61" s="18" t="n"/>
      <c r="AF61" s="18" t="n"/>
      <c r="AG61" s="18" t="n"/>
      <c r="AH61" s="18" t="n"/>
      <c r="AI61" s="18" t="n"/>
      <c r="AJ61" s="18" t="n"/>
      <c r="AK61" s="18" t="n"/>
      <c r="AL61" s="18" t="n"/>
      <c r="AM61" s="18" t="n"/>
      <c r="AN61" s="18" t="n"/>
      <c r="AO61" s="18" t="n"/>
      <c r="AP61" s="18" t="n"/>
      <c r="AQ61" s="18" t="n"/>
      <c r="AR61" s="18" t="n"/>
      <c r="AS61" s="18" t="n"/>
      <c r="AT61" s="18" t="n"/>
      <c r="AU61" s="18" t="n"/>
      <c r="AV61" s="18" t="n"/>
      <c r="AW61" s="18" t="n"/>
      <c r="AX61" s="18" t="n"/>
      <c r="AY61" s="18" t="n"/>
      <c r="AZ61" s="18" t="n"/>
      <c r="BA61" s="18" t="n"/>
      <c r="BB61" s="18" t="n"/>
      <c r="BC61" s="18" t="n"/>
      <c r="BD61" s="18" t="n"/>
      <c r="BE61" s="18" t="n"/>
      <c r="BF61" s="18" t="n"/>
      <c r="BG61" s="18" t="n"/>
      <c r="BH61" s="18" t="n"/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18" t="n"/>
      <c r="BU61" s="18" t="n"/>
      <c r="BV61" s="18" t="n"/>
      <c r="BW61" s="18" t="n"/>
      <c r="BX61" s="18" t="n"/>
      <c r="BY61" s="18" t="n"/>
      <c r="BZ61" s="18" t="n"/>
      <c r="CA61" s="18" t="n"/>
      <c r="CB61" s="18" t="n"/>
      <c r="CC61" s="18" t="n"/>
      <c r="CD61" s="18" t="n"/>
      <c r="CE61" s="18" t="n"/>
      <c r="CF61" s="18" t="n"/>
      <c r="CG61" s="18" t="n"/>
      <c r="CH61" s="18" t="n"/>
      <c r="CI61" s="18" t="n"/>
      <c r="CJ61" s="18" t="n"/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</row>
    <row r="62">
      <c r="A62" s="18">
        <f>'Schedule_Data_Option_B'!A63</f>
        <v/>
      </c>
      <c r="B62" s="18">
        <f>'Schedule_Data_Option_B'!B63</f>
        <v/>
      </c>
      <c r="C62" s="18">
        <f>'Schedule_Data_Option_B'!C63</f>
        <v/>
      </c>
      <c r="D62" s="21">
        <f>'Schedule_Data_Option_B'!D63</f>
        <v/>
      </c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  <c r="AA62" s="18" t="n"/>
      <c r="AB62" s="18" t="n"/>
      <c r="AC62" s="18" t="n"/>
      <c r="AD62" s="18" t="n"/>
      <c r="AE62" s="18" t="n"/>
      <c r="AF62" s="18" t="n"/>
      <c r="AG62" s="18" t="n"/>
      <c r="AH62" s="18" t="n"/>
      <c r="AI62" s="18" t="n"/>
      <c r="AJ62" s="18" t="n"/>
      <c r="AK62" s="18" t="n"/>
      <c r="AL62" s="18" t="n"/>
      <c r="AM62" s="18" t="n"/>
      <c r="AN62" s="18" t="n"/>
      <c r="AO62" s="18" t="n"/>
      <c r="AP62" s="18" t="n"/>
      <c r="AQ62" s="18" t="n"/>
      <c r="AR62" s="18" t="n"/>
      <c r="AS62" s="18" t="n"/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18" t="n"/>
      <c r="BU62" s="18" t="n"/>
      <c r="BV62" s="18" t="n"/>
      <c r="BW62" s="18" t="n"/>
      <c r="BX62" s="18" t="n"/>
      <c r="BY62" s="18" t="n"/>
      <c r="BZ62" s="18" t="n"/>
      <c r="CA62" s="18" t="n"/>
      <c r="CB62" s="18" t="n"/>
      <c r="CC62" s="18" t="n"/>
      <c r="CD62" s="18" t="n"/>
      <c r="CE62" s="18" t="n"/>
      <c r="CF62" s="18" t="n"/>
      <c r="CG62" s="18" t="n"/>
      <c r="CH62" s="18" t="n"/>
      <c r="CI62" s="18" t="n"/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</row>
    <row r="63">
      <c r="A63" s="18">
        <f>'Schedule_Data_Option_B'!A64</f>
        <v/>
      </c>
      <c r="B63" s="18">
        <f>'Schedule_Data_Option_B'!B64</f>
        <v/>
      </c>
      <c r="C63" s="18">
        <f>'Schedule_Data_Option_B'!C64</f>
        <v/>
      </c>
      <c r="D63" s="21">
        <f>'Schedule_Data_Option_B'!D64</f>
        <v/>
      </c>
      <c r="E63" s="18" t="n"/>
      <c r="F63" s="18" t="n"/>
      <c r="G63" s="18" t="n"/>
      <c r="H63" s="18" t="n"/>
      <c r="I63" s="18" t="n"/>
      <c r="J63" s="18" t="n"/>
      <c r="K63" s="18" t="n"/>
      <c r="L63" s="18" t="n"/>
      <c r="M63" s="18" t="n"/>
      <c r="N63" s="18" t="n"/>
      <c r="O63" s="18" t="n"/>
      <c r="P63" s="18" t="n"/>
      <c r="Q63" s="18" t="n"/>
      <c r="R63" s="18" t="n"/>
      <c r="S63" s="18" t="n"/>
      <c r="T63" s="18" t="n"/>
      <c r="U63" s="18" t="n"/>
      <c r="V63" s="18" t="n"/>
      <c r="W63" s="18" t="n"/>
      <c r="X63" s="18" t="n"/>
      <c r="Y63" s="18" t="n"/>
      <c r="Z63" s="18" t="n"/>
      <c r="AA63" s="18" t="n"/>
      <c r="AB63" s="18" t="n"/>
      <c r="AC63" s="18" t="n"/>
      <c r="AD63" s="18" t="n"/>
      <c r="AE63" s="18" t="n"/>
      <c r="AF63" s="18" t="n"/>
      <c r="AG63" s="18" t="n"/>
      <c r="AH63" s="18" t="n"/>
      <c r="AI63" s="18" t="n"/>
      <c r="AJ63" s="18" t="n"/>
      <c r="AK63" s="18" t="n"/>
      <c r="AL63" s="18" t="n"/>
      <c r="AM63" s="18" t="n"/>
      <c r="AN63" s="18" t="n"/>
      <c r="AO63" s="18" t="n"/>
      <c r="AP63" s="18" t="n"/>
      <c r="AQ63" s="18" t="n"/>
      <c r="AR63" s="18" t="n"/>
      <c r="AS63" s="18" t="n"/>
      <c r="AT63" s="18" t="n"/>
      <c r="AU63" s="18" t="n"/>
      <c r="AV63" s="18" t="n"/>
      <c r="AW63" s="18" t="n"/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18" t="n"/>
      <c r="BU63" s="18" t="n"/>
      <c r="BV63" s="18" t="n"/>
      <c r="BW63" s="18" t="n"/>
      <c r="BX63" s="18" t="n"/>
      <c r="BY63" s="18" t="n"/>
      <c r="BZ63" s="18" t="n"/>
      <c r="CA63" s="18" t="n"/>
      <c r="CB63" s="18" t="n"/>
      <c r="CC63" s="18" t="n"/>
      <c r="CD63" s="18" t="n"/>
      <c r="CE63" s="18" t="n"/>
      <c r="CF63" s="18" t="n"/>
      <c r="CG63" s="18" t="n"/>
      <c r="CH63" s="18" t="n"/>
      <c r="CI63" s="18" t="n"/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</row>
    <row r="64">
      <c r="A64" s="18">
        <f>'Schedule_Data_Option_B'!A65</f>
        <v/>
      </c>
      <c r="B64" s="18">
        <f>'Schedule_Data_Option_B'!B65</f>
        <v/>
      </c>
      <c r="C64" s="18">
        <f>'Schedule_Data_Option_B'!C65</f>
        <v/>
      </c>
      <c r="D64" s="23">
        <f>'Schedule_Data_Option_B'!D65</f>
        <v/>
      </c>
      <c r="E64" s="18" t="n"/>
      <c r="F64" s="18" t="n"/>
      <c r="G64" s="18" t="n"/>
      <c r="H64" s="18" t="n"/>
      <c r="I64" s="18" t="n"/>
      <c r="J64" s="18" t="n"/>
      <c r="K64" s="18" t="n"/>
      <c r="L64" s="18" t="n"/>
      <c r="M64" s="18" t="n"/>
      <c r="N64" s="18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  <c r="Y64" s="18" t="n"/>
      <c r="Z64" s="18" t="n"/>
      <c r="AA64" s="18" t="n"/>
      <c r="AB64" s="18" t="n"/>
      <c r="AC64" s="18" t="n"/>
      <c r="AD64" s="18" t="n"/>
      <c r="AE64" s="18" t="n"/>
      <c r="AF64" s="18" t="n"/>
      <c r="AG64" s="18" t="n"/>
      <c r="AH64" s="18" t="n"/>
      <c r="AI64" s="18" t="n"/>
      <c r="AJ64" s="18" t="n"/>
      <c r="AK64" s="18" t="n"/>
      <c r="AL64" s="18" t="n"/>
      <c r="AM64" s="18" t="n"/>
      <c r="AN64" s="18" t="n"/>
      <c r="AO64" s="18" t="n"/>
      <c r="AP64" s="18" t="n"/>
      <c r="AQ64" s="18" t="n"/>
      <c r="AR64" s="18" t="n"/>
      <c r="AS64" s="18" t="n"/>
      <c r="AT64" s="18" t="n"/>
      <c r="AU64" s="18" t="n"/>
      <c r="AV64" s="18" t="n"/>
      <c r="AW64" s="18" t="n"/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18" t="n"/>
      <c r="BU64" s="18" t="n"/>
      <c r="BV64" s="18" t="n"/>
      <c r="BW64" s="18" t="n"/>
      <c r="BX64" s="18" t="n"/>
      <c r="BY64" s="18" t="n"/>
      <c r="BZ64" s="18" t="n"/>
      <c r="CA64" s="18" t="n"/>
      <c r="CB64" s="18" t="n"/>
      <c r="CC64" s="18" t="n"/>
      <c r="CD64" s="18" t="n"/>
      <c r="CE64" s="18" t="n"/>
      <c r="CF64" s="18" t="n"/>
      <c r="CG64" s="18" t="n"/>
      <c r="CH64" s="18" t="n"/>
      <c r="CI64" s="18" t="n"/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</row>
    <row r="65">
      <c r="A65" s="18">
        <f>'Schedule_Data_Option_B'!A66</f>
        <v/>
      </c>
      <c r="B65" s="18">
        <f>'Schedule_Data_Option_B'!B66</f>
        <v/>
      </c>
      <c r="C65" s="18">
        <f>'Schedule_Data_Option_B'!C66</f>
        <v/>
      </c>
      <c r="D65" s="24">
        <f>'Schedule_Data_Option_B'!D66</f>
        <v/>
      </c>
      <c r="E65" s="18" t="n"/>
      <c r="F65" s="18" t="n"/>
      <c r="G65" s="18" t="n"/>
      <c r="H65" s="18" t="n"/>
      <c r="I65" s="18" t="n"/>
      <c r="J65" s="18" t="n"/>
      <c r="K65" s="18" t="n"/>
      <c r="L65" s="18" t="n"/>
      <c r="M65" s="18" t="n"/>
      <c r="N65" s="18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  <c r="Y65" s="24" t="n"/>
      <c r="Z65" s="18" t="n"/>
      <c r="AA65" s="18" t="n"/>
      <c r="AB65" s="18" t="n"/>
      <c r="AC65" s="18" t="n"/>
      <c r="AD65" s="18" t="n"/>
      <c r="AE65" s="18" t="n"/>
      <c r="AF65" s="18" t="n"/>
      <c r="AG65" s="18" t="n"/>
      <c r="AH65" s="18" t="n"/>
      <c r="AI65" s="18" t="n"/>
      <c r="AJ65" s="18" t="n"/>
      <c r="AK65" s="18" t="n"/>
      <c r="AL65" s="18" t="n"/>
      <c r="AM65" s="18" t="n"/>
      <c r="AN65" s="18" t="n"/>
      <c r="AO65" s="18" t="n"/>
      <c r="AP65" s="18" t="n"/>
      <c r="AQ65" s="18" t="n"/>
      <c r="AR65" s="18" t="n"/>
      <c r="AS65" s="18" t="n"/>
      <c r="AT65" s="18" t="n"/>
      <c r="AU65" s="18" t="n"/>
      <c r="AV65" s="18" t="n"/>
      <c r="AW65" s="18" t="n"/>
      <c r="AX65" s="18" t="n"/>
      <c r="AY65" s="18" t="n"/>
      <c r="AZ65" s="18" t="n"/>
      <c r="BA65" s="18" t="n"/>
      <c r="BB65" s="18" t="n"/>
      <c r="BC65" s="18" t="n"/>
      <c r="BD65" s="18" t="n"/>
      <c r="BE65" s="18" t="n"/>
      <c r="BF65" s="18" t="n"/>
      <c r="BG65" s="18" t="n"/>
      <c r="BH65" s="18" t="n"/>
      <c r="BI65" s="18" t="n"/>
      <c r="BJ65" s="18" t="n"/>
      <c r="BK65" s="18" t="n"/>
      <c r="BL65" s="18" t="n"/>
      <c r="BM65" s="18" t="n"/>
      <c r="BN65" s="18" t="n"/>
      <c r="BO65" s="18" t="n"/>
      <c r="BP65" s="18" t="n"/>
      <c r="BQ65" s="18" t="n"/>
      <c r="BR65" s="18" t="n"/>
      <c r="BS65" s="18" t="n"/>
      <c r="BT65" s="18" t="n"/>
      <c r="BU65" s="18" t="n"/>
      <c r="BV65" s="18" t="n"/>
      <c r="BW65" s="18" t="n"/>
      <c r="BX65" s="18" t="n"/>
      <c r="BY65" s="18" t="n"/>
      <c r="BZ65" s="18" t="n"/>
      <c r="CA65" s="18" t="n"/>
      <c r="CB65" s="18" t="n"/>
      <c r="CC65" s="18" t="n"/>
      <c r="CD65" s="18" t="n"/>
      <c r="CE65" s="18" t="n"/>
      <c r="CF65" s="18" t="n"/>
      <c r="CG65" s="18" t="n"/>
      <c r="CH65" s="18" t="n"/>
      <c r="CI65" s="18" t="n"/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</row>
    <row r="66">
      <c r="A66" s="18">
        <f>'Schedule_Data_Option_B'!A67</f>
        <v/>
      </c>
      <c r="B66" s="18">
        <f>'Schedule_Data_Option_B'!B67</f>
        <v/>
      </c>
      <c r="C66" s="18">
        <f>'Schedule_Data_Option_B'!C67</f>
        <v/>
      </c>
      <c r="D66" s="25">
        <f>'Schedule_Data_Option_B'!D67</f>
        <v/>
      </c>
      <c r="E66" s="18" t="n"/>
      <c r="F66" s="18" t="n"/>
      <c r="G66" s="18" t="n"/>
      <c r="H66" s="18" t="n"/>
      <c r="I66" s="18" t="n"/>
      <c r="J66" s="18" t="n"/>
      <c r="K66" s="18" t="n"/>
      <c r="L66" s="18" t="n"/>
      <c r="M66" s="18" t="n"/>
      <c r="N66" s="18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  <c r="Y66" s="18" t="n"/>
      <c r="Z66" s="18" t="n"/>
      <c r="AA66" s="25" t="n"/>
      <c r="AB66" s="18" t="n"/>
      <c r="AC66" s="18" t="n"/>
      <c r="AD66" s="18" t="n"/>
      <c r="AE66" s="18" t="n"/>
      <c r="AF66" s="18" t="n"/>
      <c r="AG66" s="18" t="n"/>
      <c r="AH66" s="18" t="n"/>
      <c r="AI66" s="18" t="n"/>
      <c r="AJ66" s="18" t="n"/>
      <c r="AK66" s="18" t="n"/>
      <c r="AL66" s="18" t="n"/>
      <c r="AM66" s="18" t="n"/>
      <c r="AN66" s="18" t="n"/>
      <c r="AO66" s="18" t="n"/>
      <c r="AP66" s="18" t="n"/>
      <c r="AQ66" s="18" t="n"/>
      <c r="AR66" s="18" t="n"/>
      <c r="AS66" s="18" t="n"/>
      <c r="AT66" s="18" t="n"/>
      <c r="AU66" s="18" t="n"/>
      <c r="AV66" s="18" t="n"/>
      <c r="AW66" s="18" t="n"/>
      <c r="AX66" s="18" t="n"/>
      <c r="AY66" s="18" t="n"/>
      <c r="AZ66" s="18" t="n"/>
      <c r="BA66" s="18" t="n"/>
      <c r="BB66" s="18" t="n"/>
      <c r="BC66" s="18" t="n"/>
      <c r="BD66" s="18" t="n"/>
      <c r="BE66" s="18" t="n"/>
      <c r="BF66" s="18" t="n"/>
      <c r="BG66" s="18" t="n"/>
      <c r="BH66" s="18" t="n"/>
      <c r="BI66" s="18" t="n"/>
      <c r="BJ66" s="18" t="n"/>
      <c r="BK66" s="18" t="n"/>
      <c r="BL66" s="18" t="n"/>
      <c r="BM66" s="18" t="n"/>
      <c r="BN66" s="18" t="n"/>
      <c r="BO66" s="18" t="n"/>
      <c r="BP66" s="18" t="n"/>
      <c r="BQ66" s="18" t="n"/>
      <c r="BR66" s="18" t="n"/>
      <c r="BS66" s="18" t="n"/>
      <c r="BT66" s="18" t="n"/>
      <c r="BU66" s="18" t="n"/>
      <c r="BV66" s="18" t="n"/>
      <c r="BW66" s="18" t="n"/>
      <c r="BX66" s="18" t="n"/>
      <c r="BY66" s="18" t="n"/>
      <c r="BZ66" s="18" t="n"/>
      <c r="CA66" s="18" t="n"/>
      <c r="CB66" s="18" t="n"/>
      <c r="CC66" s="18" t="n"/>
      <c r="CD66" s="18" t="n"/>
      <c r="CE66" s="18" t="n"/>
      <c r="CF66" s="18" t="n"/>
      <c r="CG66" s="18" t="n"/>
      <c r="CH66" s="18" t="n"/>
      <c r="CI66" s="18" t="n"/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</row>
    <row r="67">
      <c r="A67" s="18">
        <f>'Schedule_Data_Option_B'!A68</f>
        <v/>
      </c>
      <c r="B67" s="18">
        <f>'Schedule_Data_Option_B'!B68</f>
        <v/>
      </c>
      <c r="C67" s="18">
        <f>'Schedule_Data_Option_B'!C68</f>
        <v/>
      </c>
      <c r="D67" s="21">
        <f>'Schedule_Data_Option_B'!D68</f>
        <v/>
      </c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  <c r="AA67" s="21" t="n"/>
      <c r="AB67" s="18" t="n"/>
      <c r="AC67" s="18" t="n"/>
      <c r="AD67" s="18" t="n"/>
      <c r="AE67" s="18" t="n"/>
      <c r="AF67" s="18" t="n"/>
      <c r="AG67" s="18" t="n"/>
      <c r="AH67" s="18" t="n"/>
      <c r="AI67" s="18" t="n"/>
      <c r="AJ67" s="18" t="n"/>
      <c r="AK67" s="18" t="n"/>
      <c r="AL67" s="18" t="n"/>
      <c r="AM67" s="18" t="n"/>
      <c r="AN67" s="18" t="n"/>
      <c r="AO67" s="18" t="n"/>
      <c r="AP67" s="18" t="n"/>
      <c r="AQ67" s="18" t="n"/>
      <c r="AR67" s="18" t="n"/>
      <c r="AS67" s="18" t="n"/>
      <c r="AT67" s="18" t="n"/>
      <c r="AU67" s="18" t="n"/>
      <c r="AV67" s="18" t="n"/>
      <c r="AW67" s="18" t="n"/>
      <c r="AX67" s="18" t="n"/>
      <c r="AY67" s="18" t="n"/>
      <c r="AZ67" s="18" t="n"/>
      <c r="BA67" s="18" t="n"/>
      <c r="BB67" s="18" t="n"/>
      <c r="BC67" s="18" t="n"/>
      <c r="BD67" s="18" t="n"/>
      <c r="BE67" s="18" t="n"/>
      <c r="BF67" s="18" t="n"/>
      <c r="BG67" s="18" t="n"/>
      <c r="BH67" s="18" t="n"/>
      <c r="BI67" s="18" t="n"/>
      <c r="BJ67" s="18" t="n"/>
      <c r="BK67" s="18" t="n"/>
      <c r="BL67" s="18" t="n"/>
      <c r="BM67" s="18" t="n"/>
      <c r="BN67" s="18" t="n"/>
      <c r="BO67" s="18" t="n"/>
      <c r="BP67" s="18" t="n"/>
      <c r="BQ67" s="18" t="n"/>
      <c r="BR67" s="18" t="n"/>
      <c r="BS67" s="18" t="n"/>
      <c r="BT67" s="18" t="n"/>
      <c r="BU67" s="18" t="n"/>
      <c r="BV67" s="18" t="n"/>
      <c r="BW67" s="18" t="n"/>
      <c r="BX67" s="18" t="n"/>
      <c r="BY67" s="18" t="n"/>
      <c r="BZ67" s="18" t="n"/>
      <c r="CA67" s="18" t="n"/>
      <c r="CB67" s="18" t="n"/>
      <c r="CC67" s="18" t="n"/>
      <c r="CD67" s="18" t="n"/>
      <c r="CE67" s="18" t="n"/>
      <c r="CF67" s="18" t="n"/>
      <c r="CG67" s="18" t="n"/>
      <c r="CH67" s="18" t="n"/>
      <c r="CI67" s="18" t="n"/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</row>
    <row r="68">
      <c r="A68" s="18">
        <f>'Schedule_Data_Option_B'!A69</f>
        <v/>
      </c>
      <c r="B68" s="18">
        <f>'Schedule_Data_Option_B'!B69</f>
        <v/>
      </c>
      <c r="C68" s="18">
        <f>'Schedule_Data_Option_B'!C69</f>
        <v/>
      </c>
      <c r="D68" s="26">
        <f>'Schedule_Data_Option_B'!D69</f>
        <v/>
      </c>
      <c r="E68" s="18" t="n"/>
      <c r="F68" s="18" t="n"/>
      <c r="G68" s="18" t="n"/>
      <c r="H68" s="18" t="n"/>
      <c r="I68" s="18" t="n"/>
      <c r="J68" s="18" t="n"/>
      <c r="K68" s="18" t="n"/>
      <c r="L68" s="18" t="n"/>
      <c r="M68" s="18" t="n"/>
      <c r="N68" s="18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  <c r="Y68" s="18" t="n"/>
      <c r="Z68" s="18" t="n"/>
      <c r="AA68" s="18" t="n"/>
      <c r="AB68" s="26" t="n"/>
      <c r="AC68" s="18" t="n"/>
      <c r="AD68" s="18" t="n"/>
      <c r="AE68" s="18" t="n"/>
      <c r="AF68" s="18" t="n"/>
      <c r="AG68" s="18" t="n"/>
      <c r="AH68" s="18" t="n"/>
      <c r="AI68" s="18" t="n"/>
      <c r="AJ68" s="18" t="n"/>
      <c r="AK68" s="18" t="n"/>
      <c r="AL68" s="18" t="n"/>
      <c r="AM68" s="18" t="n"/>
      <c r="AN68" s="18" t="n"/>
      <c r="AO68" s="18" t="n"/>
      <c r="AP68" s="18" t="n"/>
      <c r="AQ68" s="18" t="n"/>
      <c r="AR68" s="18" t="n"/>
      <c r="AS68" s="18" t="n"/>
      <c r="AT68" s="18" t="n"/>
      <c r="AU68" s="18" t="n"/>
      <c r="AV68" s="18" t="n"/>
      <c r="AW68" s="18" t="n"/>
      <c r="AX68" s="18" t="n"/>
      <c r="AY68" s="18" t="n"/>
      <c r="AZ68" s="18" t="n"/>
      <c r="BA68" s="18" t="n"/>
      <c r="BB68" s="18" t="n"/>
      <c r="BC68" s="18" t="n"/>
      <c r="BD68" s="18" t="n"/>
      <c r="BE68" s="18" t="n"/>
      <c r="BF68" s="18" t="n"/>
      <c r="BG68" s="18" t="n"/>
      <c r="BH68" s="18" t="n"/>
      <c r="BI68" s="18" t="n"/>
      <c r="BJ68" s="18" t="n"/>
      <c r="BK68" s="18" t="n"/>
      <c r="BL68" s="18" t="n"/>
      <c r="BM68" s="18" t="n"/>
      <c r="BN68" s="18" t="n"/>
      <c r="BO68" s="18" t="n"/>
      <c r="BP68" s="18" t="n"/>
      <c r="BQ68" s="18" t="n"/>
      <c r="BR68" s="18" t="n"/>
      <c r="BS68" s="18" t="n"/>
      <c r="BT68" s="18" t="n"/>
      <c r="BU68" s="18" t="n"/>
      <c r="BV68" s="18" t="n"/>
      <c r="BW68" s="18" t="n"/>
      <c r="BX68" s="18" t="n"/>
      <c r="BY68" s="18" t="n"/>
      <c r="BZ68" s="18" t="n"/>
      <c r="CA68" s="18" t="n"/>
      <c r="CB68" s="18" t="n"/>
      <c r="CC68" s="18" t="n"/>
      <c r="CD68" s="18" t="n"/>
      <c r="CE68" s="18" t="n"/>
      <c r="CF68" s="18" t="n"/>
      <c r="CG68" s="18" t="n"/>
      <c r="CH68" s="18" t="n"/>
      <c r="CI68" s="18" t="n"/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</row>
    <row r="69">
      <c r="A69" s="18">
        <f>'Schedule_Data_Option_B'!A70</f>
        <v/>
      </c>
      <c r="B69" s="18">
        <f>'Schedule_Data_Option_B'!B70</f>
        <v/>
      </c>
      <c r="C69" s="18">
        <f>'Schedule_Data_Option_B'!C70</f>
        <v/>
      </c>
      <c r="D69" s="21">
        <f>'Schedule_Data_Option_B'!D70</f>
        <v/>
      </c>
      <c r="E69" s="18" t="n"/>
      <c r="F69" s="18" t="n"/>
      <c r="G69" s="18" t="n"/>
      <c r="H69" s="18" t="n"/>
      <c r="I69" s="18" t="n"/>
      <c r="J69" s="18" t="n"/>
      <c r="K69" s="18" t="n"/>
      <c r="L69" s="18" t="n"/>
      <c r="M69" s="18" t="n"/>
      <c r="N69" s="18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  <c r="Y69" s="18" t="n"/>
      <c r="Z69" s="18" t="n"/>
      <c r="AA69" s="18" t="n"/>
      <c r="AB69" s="21" t="n"/>
      <c r="AC69" s="18" t="n"/>
      <c r="AD69" s="18" t="n"/>
      <c r="AE69" s="18" t="n"/>
      <c r="AF69" s="18" t="n"/>
      <c r="AG69" s="18" t="n"/>
      <c r="AH69" s="18" t="n"/>
      <c r="AI69" s="18" t="n"/>
      <c r="AJ69" s="18" t="n"/>
      <c r="AK69" s="18" t="n"/>
      <c r="AL69" s="18" t="n"/>
      <c r="AM69" s="18" t="n"/>
      <c r="AN69" s="18" t="n"/>
      <c r="AO69" s="18" t="n"/>
      <c r="AP69" s="18" t="n"/>
      <c r="AQ69" s="18" t="n"/>
      <c r="AR69" s="18" t="n"/>
      <c r="AS69" s="18" t="n"/>
      <c r="AT69" s="18" t="n"/>
      <c r="AU69" s="18" t="n"/>
      <c r="AV69" s="18" t="n"/>
      <c r="AW69" s="18" t="n"/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/>
      <c r="BH69" s="18" t="n"/>
      <c r="BI69" s="18" t="n"/>
      <c r="BJ69" s="18" t="n"/>
      <c r="BK69" s="18" t="n"/>
      <c r="BL69" s="18" t="n"/>
      <c r="BM69" s="18" t="n"/>
      <c r="BN69" s="18" t="n"/>
      <c r="BO69" s="18" t="n"/>
      <c r="BP69" s="18" t="n"/>
      <c r="BQ69" s="18" t="n"/>
      <c r="BR69" s="18" t="n"/>
      <c r="BS69" s="18" t="n"/>
      <c r="BT69" s="18" t="n"/>
      <c r="BU69" s="18" t="n"/>
      <c r="BV69" s="18" t="n"/>
      <c r="BW69" s="18" t="n"/>
      <c r="BX69" s="18" t="n"/>
      <c r="BY69" s="18" t="n"/>
      <c r="BZ69" s="18" t="n"/>
      <c r="CA69" s="18" t="n"/>
      <c r="CB69" s="18" t="n"/>
      <c r="CC69" s="18" t="n"/>
      <c r="CD69" s="18" t="n"/>
      <c r="CE69" s="18" t="n"/>
      <c r="CF69" s="18" t="n"/>
      <c r="CG69" s="18" t="n"/>
      <c r="CH69" s="18" t="n"/>
      <c r="CI69" s="18" t="n"/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</row>
    <row r="70">
      <c r="A70" s="18">
        <f>'Schedule_Data_Option_B'!A71</f>
        <v/>
      </c>
      <c r="B70" s="18">
        <f>'Schedule_Data_Option_B'!B71</f>
        <v/>
      </c>
      <c r="C70" s="18">
        <f>'Schedule_Data_Option_B'!C71</f>
        <v/>
      </c>
      <c r="D70" s="23">
        <f>'Schedule_Data_Option_B'!D71</f>
        <v/>
      </c>
      <c r="E70" s="18" t="n"/>
      <c r="F70" s="18" t="n"/>
      <c r="G70" s="18" t="n"/>
      <c r="H70" s="18" t="n"/>
      <c r="I70" s="18" t="n"/>
      <c r="J70" s="18" t="n"/>
      <c r="K70" s="18" t="n"/>
      <c r="L70" s="18" t="n"/>
      <c r="M70" s="18" t="n"/>
      <c r="N70" s="18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  <c r="Y70" s="18" t="n"/>
      <c r="Z70" s="18" t="n"/>
      <c r="AA70" s="18" t="n"/>
      <c r="AB70" s="18" t="n"/>
      <c r="AC70" s="23" t="n"/>
      <c r="AD70" s="18" t="n"/>
      <c r="AE70" s="18" t="n"/>
      <c r="AF70" s="18" t="n"/>
      <c r="AG70" s="18" t="n"/>
      <c r="AH70" s="18" t="n"/>
      <c r="AI70" s="18" t="n"/>
      <c r="AJ70" s="18" t="n"/>
      <c r="AK70" s="18" t="n"/>
      <c r="AL70" s="18" t="n"/>
      <c r="AM70" s="18" t="n"/>
      <c r="AN70" s="18" t="n"/>
      <c r="AO70" s="18" t="n"/>
      <c r="AP70" s="18" t="n"/>
      <c r="AQ70" s="18" t="n"/>
      <c r="AR70" s="18" t="n"/>
      <c r="AS70" s="18" t="n"/>
      <c r="AT70" s="18" t="n"/>
      <c r="AU70" s="18" t="n"/>
      <c r="AV70" s="18" t="n"/>
      <c r="AW70" s="18" t="n"/>
      <c r="AX70" s="18" t="n"/>
      <c r="AY70" s="18" t="n"/>
      <c r="AZ70" s="18" t="n"/>
      <c r="BA70" s="18" t="n"/>
      <c r="BB70" s="18" t="n"/>
      <c r="BC70" s="18" t="n"/>
      <c r="BD70" s="18" t="n"/>
      <c r="BE70" s="18" t="n"/>
      <c r="BF70" s="18" t="n"/>
      <c r="BG70" s="18" t="n"/>
      <c r="BH70" s="18" t="n"/>
      <c r="BI70" s="18" t="n"/>
      <c r="BJ70" s="18" t="n"/>
      <c r="BK70" s="18" t="n"/>
      <c r="BL70" s="18" t="n"/>
      <c r="BM70" s="18" t="n"/>
      <c r="BN70" s="18" t="n"/>
      <c r="BO70" s="18" t="n"/>
      <c r="BP70" s="18" t="n"/>
      <c r="BQ70" s="18" t="n"/>
      <c r="BR70" s="18" t="n"/>
      <c r="BS70" s="18" t="n"/>
      <c r="BT70" s="18" t="n"/>
      <c r="BU70" s="18" t="n"/>
      <c r="BV70" s="18" t="n"/>
      <c r="BW70" s="18" t="n"/>
      <c r="BX70" s="18" t="n"/>
      <c r="BY70" s="18" t="n"/>
      <c r="BZ70" s="18" t="n"/>
      <c r="CA70" s="18" t="n"/>
      <c r="CB70" s="18" t="n"/>
      <c r="CC70" s="18" t="n"/>
      <c r="CD70" s="18" t="n"/>
      <c r="CE70" s="18" t="n"/>
      <c r="CF70" s="18" t="n"/>
      <c r="CG70" s="18" t="n"/>
      <c r="CH70" s="18" t="n"/>
      <c r="CI70" s="18" t="n"/>
      <c r="CJ70" s="18" t="n"/>
      <c r="CK70" s="18" t="n"/>
      <c r="CL70" s="18" t="n"/>
      <c r="CM70" s="18" t="n"/>
      <c r="CN70" s="18" t="n"/>
      <c r="CO70" s="18" t="n"/>
      <c r="CP70" s="18" t="n"/>
      <c r="CQ70" s="18" t="n"/>
      <c r="CR70" s="18" t="n"/>
      <c r="CS70" s="18" t="n"/>
      <c r="CT70" s="18" t="n"/>
      <c r="CU70" s="18" t="n"/>
      <c r="CV70" s="18" t="n"/>
      <c r="CW70" s="18" t="n"/>
      <c r="CX70" s="18" t="n"/>
      <c r="CY70" s="18" t="n"/>
      <c r="CZ70" s="18" t="n"/>
      <c r="DA70" s="18" t="n"/>
      <c r="DB70" s="18" t="n"/>
      <c r="DC70" s="18" t="n"/>
      <c r="DD70" s="18" t="n"/>
      <c r="DE70" s="18" t="n"/>
      <c r="DF70" s="18" t="n"/>
      <c r="DG70" s="18" t="n"/>
      <c r="DH70" s="18" t="n"/>
      <c r="DI70" s="18" t="n"/>
      <c r="DJ70" s="18" t="n"/>
      <c r="DK70" s="18" t="n"/>
      <c r="DL70" s="18" t="n"/>
      <c r="DM70" s="18" t="n"/>
      <c r="DN70" s="18" t="n"/>
      <c r="DO70" s="18" t="n"/>
      <c r="DP70" s="18" t="n"/>
      <c r="DQ70" s="18" t="n"/>
      <c r="DR70" s="18" t="n"/>
      <c r="DS70" s="18" t="n"/>
      <c r="DT70" s="18" t="n"/>
    </row>
    <row r="71">
      <c r="A71" s="18">
        <f>'Schedule_Data_Option_B'!A72</f>
        <v/>
      </c>
      <c r="B71" s="18">
        <f>'Schedule_Data_Option_B'!B72</f>
        <v/>
      </c>
      <c r="C71" s="18">
        <f>'Schedule_Data_Option_B'!C72</f>
        <v/>
      </c>
      <c r="D71" s="23">
        <f>'Schedule_Data_Option_B'!D72</f>
        <v/>
      </c>
      <c r="E71" s="18" t="n"/>
      <c r="F71" s="18" t="n"/>
      <c r="G71" s="18" t="n"/>
      <c r="H71" s="18" t="n"/>
      <c r="I71" s="18" t="n"/>
      <c r="J71" s="18" t="n"/>
      <c r="K71" s="18" t="n"/>
      <c r="L71" s="18" t="n"/>
      <c r="M71" s="18" t="n"/>
      <c r="N71" s="18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  <c r="Y71" s="18" t="n"/>
      <c r="Z71" s="18" t="n"/>
      <c r="AA71" s="18" t="n"/>
      <c r="AB71" s="18" t="n"/>
      <c r="AC71" s="18" t="n"/>
      <c r="AD71" s="23" t="n"/>
      <c r="AE71" s="18" t="n"/>
      <c r="AF71" s="18" t="n"/>
      <c r="AG71" s="18" t="n"/>
      <c r="AH71" s="18" t="n"/>
      <c r="AI71" s="18" t="n"/>
      <c r="AJ71" s="18" t="n"/>
      <c r="AK71" s="18" t="n"/>
      <c r="AL71" s="18" t="n"/>
      <c r="AM71" s="18" t="n"/>
      <c r="AN71" s="18" t="n"/>
      <c r="AO71" s="18" t="n"/>
      <c r="AP71" s="18" t="n"/>
      <c r="AQ71" s="18" t="n"/>
      <c r="AR71" s="18" t="n"/>
      <c r="AS71" s="18" t="n"/>
      <c r="AT71" s="18" t="n"/>
      <c r="AU71" s="18" t="n"/>
      <c r="AV71" s="18" t="n"/>
      <c r="AW71" s="18" t="n"/>
      <c r="AX71" s="18" t="n"/>
      <c r="AY71" s="18" t="n"/>
      <c r="AZ71" s="18" t="n"/>
      <c r="BA71" s="18" t="n"/>
      <c r="BB71" s="18" t="n"/>
      <c r="BC71" s="18" t="n"/>
      <c r="BD71" s="18" t="n"/>
      <c r="BE71" s="18" t="n"/>
      <c r="BF71" s="18" t="n"/>
      <c r="BG71" s="18" t="n"/>
      <c r="BH71" s="18" t="n"/>
      <c r="BI71" s="18" t="n"/>
      <c r="BJ71" s="18" t="n"/>
      <c r="BK71" s="18" t="n"/>
      <c r="BL71" s="18" t="n"/>
      <c r="BM71" s="18" t="n"/>
      <c r="BN71" s="18" t="n"/>
      <c r="BO71" s="18" t="n"/>
      <c r="BP71" s="18" t="n"/>
      <c r="BQ71" s="18" t="n"/>
      <c r="BR71" s="18" t="n"/>
      <c r="BS71" s="18" t="n"/>
      <c r="BT71" s="18" t="n"/>
      <c r="BU71" s="18" t="n"/>
      <c r="BV71" s="18" t="n"/>
      <c r="BW71" s="18" t="n"/>
      <c r="BX71" s="18" t="n"/>
      <c r="BY71" s="18" t="n"/>
      <c r="BZ71" s="18" t="n"/>
      <c r="CA71" s="18" t="n"/>
      <c r="CB71" s="18" t="n"/>
      <c r="CC71" s="18" t="n"/>
      <c r="CD71" s="18" t="n"/>
      <c r="CE71" s="18" t="n"/>
      <c r="CF71" s="18" t="n"/>
      <c r="CG71" s="18" t="n"/>
      <c r="CH71" s="18" t="n"/>
      <c r="CI71" s="18" t="n"/>
      <c r="CJ71" s="18" t="n"/>
      <c r="CK71" s="18" t="n"/>
      <c r="CL71" s="18" t="n"/>
      <c r="CM71" s="18" t="n"/>
      <c r="CN71" s="18" t="n"/>
      <c r="CO71" s="18" t="n"/>
      <c r="CP71" s="18" t="n"/>
      <c r="CQ71" s="18" t="n"/>
      <c r="CR71" s="18" t="n"/>
      <c r="CS71" s="18" t="n"/>
      <c r="CT71" s="18" t="n"/>
      <c r="CU71" s="18" t="n"/>
      <c r="CV71" s="18" t="n"/>
      <c r="CW71" s="18" t="n"/>
      <c r="CX71" s="18" t="n"/>
      <c r="CY71" s="18" t="n"/>
      <c r="CZ71" s="18" t="n"/>
      <c r="DA71" s="18" t="n"/>
      <c r="DB71" s="18" t="n"/>
      <c r="DC71" s="18" t="n"/>
      <c r="DD71" s="18" t="n"/>
      <c r="DE71" s="18" t="n"/>
      <c r="DF71" s="18" t="n"/>
      <c r="DG71" s="18" t="n"/>
      <c r="DH71" s="18" t="n"/>
      <c r="DI71" s="18" t="n"/>
      <c r="DJ71" s="18" t="n"/>
      <c r="DK71" s="18" t="n"/>
      <c r="DL71" s="18" t="n"/>
      <c r="DM71" s="18" t="n"/>
      <c r="DN71" s="18" t="n"/>
      <c r="DO71" s="18" t="n"/>
      <c r="DP71" s="18" t="n"/>
      <c r="DQ71" s="18" t="n"/>
      <c r="DR71" s="18" t="n"/>
      <c r="DS71" s="18" t="n"/>
      <c r="DT71" s="18" t="n"/>
    </row>
    <row r="72">
      <c r="A72" s="18">
        <f>'Schedule_Data_Option_B'!A73</f>
        <v/>
      </c>
      <c r="B72" s="18">
        <f>'Schedule_Data_Option_B'!B73</f>
        <v/>
      </c>
      <c r="C72" s="18">
        <f>'Schedule_Data_Option_B'!C73</f>
        <v/>
      </c>
      <c r="D72" s="21">
        <f>'Schedule_Data_Option_B'!D73</f>
        <v/>
      </c>
      <c r="E72" s="18" t="n"/>
      <c r="F72" s="18" t="n"/>
      <c r="G72" s="18" t="n"/>
      <c r="H72" s="18" t="n"/>
      <c r="I72" s="18" t="n"/>
      <c r="J72" s="18" t="n"/>
      <c r="K72" s="18" t="n"/>
      <c r="L72" s="18" t="n"/>
      <c r="M72" s="18" t="n"/>
      <c r="N72" s="18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  <c r="Y72" s="18" t="n"/>
      <c r="Z72" s="18" t="n"/>
      <c r="AA72" s="18" t="n"/>
      <c r="AB72" s="18" t="n"/>
      <c r="AC72" s="18" t="n"/>
      <c r="AD72" s="18" t="n"/>
      <c r="AE72" s="18" t="n"/>
      <c r="AF72" s="18" t="n"/>
      <c r="AG72" s="18" t="n"/>
      <c r="AH72" s="18" t="n"/>
      <c r="AI72" s="18" t="n"/>
      <c r="AJ72" s="18" t="n"/>
      <c r="AK72" s="18" t="n"/>
      <c r="AL72" s="18" t="n"/>
      <c r="AM72" s="18" t="n"/>
      <c r="AN72" s="18" t="n"/>
      <c r="AO72" s="18" t="n"/>
      <c r="AP72" s="18" t="n"/>
      <c r="AQ72" s="18" t="n"/>
      <c r="AR72" s="18" t="n"/>
      <c r="AS72" s="18" t="n"/>
      <c r="AT72" s="18" t="n"/>
      <c r="AU72" s="18" t="n"/>
      <c r="AV72" s="18" t="n"/>
      <c r="AW72" s="18" t="n"/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18" t="n"/>
      <c r="BU72" s="18" t="n"/>
      <c r="BV72" s="18" t="n"/>
      <c r="BW72" s="18" t="n"/>
      <c r="BX72" s="18" t="n"/>
      <c r="BY72" s="18" t="n"/>
      <c r="BZ72" s="18" t="n"/>
      <c r="CA72" s="18" t="n"/>
      <c r="CB72" s="18" t="n"/>
      <c r="CC72" s="18" t="n"/>
      <c r="CD72" s="18" t="n"/>
      <c r="CE72" s="18" t="n"/>
      <c r="CF72" s="18" t="n"/>
      <c r="CG72" s="18" t="n"/>
      <c r="CH72" s="18" t="n"/>
      <c r="CI72" s="18" t="n"/>
      <c r="CJ72" s="18" t="n"/>
      <c r="CK72" s="18" t="n"/>
      <c r="CL72" s="18" t="n"/>
      <c r="CM72" s="18" t="n"/>
      <c r="CN72" s="18" t="n"/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8" t="n"/>
      <c r="DA72" s="18" t="n"/>
      <c r="DB72" s="18" t="n"/>
      <c r="DC72" s="18" t="n"/>
      <c r="DD72" s="18" t="n"/>
      <c r="DE72" s="18" t="n"/>
      <c r="DF72" s="18" t="n"/>
      <c r="DG72" s="18" t="n"/>
      <c r="DH72" s="18" t="n"/>
      <c r="DI72" s="18" t="n"/>
      <c r="DJ72" s="18" t="n"/>
      <c r="DK72" s="18" t="n"/>
      <c r="DL72" s="18" t="n"/>
      <c r="DM72" s="18" t="n"/>
      <c r="DN72" s="18" t="n"/>
      <c r="DO72" s="18" t="n"/>
      <c r="DP72" s="18" t="n"/>
      <c r="DQ72" s="18" t="n"/>
      <c r="DR72" s="18" t="n"/>
      <c r="DS72" s="18" t="n"/>
      <c r="DT72" s="18" t="n"/>
    </row>
    <row r="73">
      <c r="A73" s="18">
        <f>'Schedule_Data_Option_B'!A74</f>
        <v/>
      </c>
      <c r="B73" s="18">
        <f>'Schedule_Data_Option_B'!B74</f>
        <v/>
      </c>
      <c r="C73" s="18">
        <f>'Schedule_Data_Option_B'!C74</f>
        <v/>
      </c>
      <c r="D73" s="21">
        <f>'Schedule_Data_Option_B'!D74</f>
        <v/>
      </c>
      <c r="E73" s="18" t="n"/>
      <c r="F73" s="18" t="n"/>
      <c r="G73" s="18" t="n"/>
      <c r="H73" s="18" t="n"/>
      <c r="I73" s="18" t="n"/>
      <c r="J73" s="18" t="n"/>
      <c r="K73" s="18" t="n"/>
      <c r="L73" s="18" t="n"/>
      <c r="M73" s="18" t="n"/>
      <c r="N73" s="18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  <c r="Y73" s="18" t="n"/>
      <c r="Z73" s="18" t="n"/>
      <c r="AA73" s="18" t="n"/>
      <c r="AB73" s="18" t="n"/>
      <c r="AC73" s="18" t="n"/>
      <c r="AD73" s="18" t="n"/>
      <c r="AE73" s="18" t="n"/>
      <c r="AF73" s="18" t="n"/>
      <c r="AG73" s="18" t="n"/>
      <c r="AH73" s="18" t="n"/>
      <c r="AI73" s="18" t="n"/>
      <c r="AJ73" s="18" t="n"/>
      <c r="AK73" s="18" t="n"/>
      <c r="AL73" s="18" t="n"/>
      <c r="AM73" s="18" t="n"/>
      <c r="AN73" s="18" t="n"/>
      <c r="AO73" s="18" t="n"/>
      <c r="AP73" s="18" t="n"/>
      <c r="AQ73" s="18" t="n"/>
      <c r="AR73" s="18" t="n"/>
      <c r="AS73" s="18" t="n"/>
      <c r="AT73" s="18" t="n"/>
      <c r="AU73" s="18" t="n"/>
      <c r="AV73" s="18" t="n"/>
      <c r="AW73" s="18" t="n"/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18" t="n"/>
      <c r="BU73" s="18" t="n"/>
      <c r="BV73" s="18" t="n"/>
      <c r="BW73" s="18" t="n"/>
      <c r="BX73" s="18" t="n"/>
      <c r="BY73" s="18" t="n"/>
      <c r="BZ73" s="18" t="n"/>
      <c r="CA73" s="18" t="n"/>
      <c r="CB73" s="18" t="n"/>
      <c r="CC73" s="18" t="n"/>
      <c r="CD73" s="18" t="n"/>
      <c r="CE73" s="18" t="n"/>
      <c r="CF73" s="18" t="n"/>
      <c r="CG73" s="18" t="n"/>
      <c r="CH73" s="18" t="n"/>
      <c r="CI73" s="18" t="n"/>
      <c r="CJ73" s="18" t="n"/>
      <c r="CK73" s="18" t="n"/>
      <c r="CL73" s="18" t="n"/>
      <c r="CM73" s="18" t="n"/>
      <c r="CN73" s="18" t="n"/>
      <c r="CO73" s="18" t="n"/>
      <c r="CP73" s="18" t="n"/>
      <c r="CQ73" s="18" t="n"/>
      <c r="CR73" s="18" t="n"/>
      <c r="CS73" s="18" t="n"/>
      <c r="CT73" s="18" t="n"/>
      <c r="CU73" s="18" t="n"/>
      <c r="CV73" s="18" t="n"/>
      <c r="CW73" s="18" t="n"/>
      <c r="CX73" s="18" t="n"/>
      <c r="CY73" s="18" t="n"/>
      <c r="CZ73" s="18" t="n"/>
      <c r="DA73" s="18" t="n"/>
      <c r="DB73" s="18" t="n"/>
      <c r="DC73" s="18" t="n"/>
      <c r="DD73" s="18" t="n"/>
      <c r="DE73" s="18" t="n"/>
      <c r="DF73" s="18" t="n"/>
      <c r="DG73" s="18" t="n"/>
      <c r="DH73" s="18" t="n"/>
      <c r="DI73" s="18" t="n"/>
      <c r="DJ73" s="18" t="n"/>
      <c r="DK73" s="18" t="n"/>
      <c r="DL73" s="18" t="n"/>
      <c r="DM73" s="18" t="n"/>
      <c r="DN73" s="18" t="n"/>
      <c r="DO73" s="18" t="n"/>
      <c r="DP73" s="18" t="n"/>
      <c r="DQ73" s="18" t="n"/>
      <c r="DR73" s="18" t="n"/>
      <c r="DS73" s="18" t="n"/>
      <c r="DT73" s="18" t="n"/>
    </row>
    <row r="74">
      <c r="A74" s="18">
        <f>'Schedule_Data_Option_B'!A75</f>
        <v/>
      </c>
      <c r="B74" s="18">
        <f>'Schedule_Data_Option_B'!B75</f>
        <v/>
      </c>
      <c r="C74" s="18">
        <f>'Schedule_Data_Option_B'!C75</f>
        <v/>
      </c>
      <c r="D74" s="27">
        <f>'Schedule_Data_Option_B'!D75</f>
        <v/>
      </c>
      <c r="E74" s="18" t="n"/>
      <c r="F74" s="18" t="n"/>
      <c r="G74" s="18" t="n"/>
      <c r="H74" s="18" t="n"/>
      <c r="I74" s="18" t="n"/>
      <c r="J74" s="18" t="n"/>
      <c r="K74" s="18" t="n"/>
      <c r="L74" s="18" t="n"/>
      <c r="M74" s="18" t="n"/>
      <c r="N74" s="18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  <c r="Y74" s="18" t="n"/>
      <c r="Z74" s="18" t="n"/>
      <c r="AA74" s="18" t="n"/>
      <c r="AB74" s="18" t="n"/>
      <c r="AC74" s="18" t="n"/>
      <c r="AD74" s="18" t="n"/>
      <c r="AE74" s="18" t="n"/>
      <c r="AF74" s="27" t="n"/>
      <c r="AG74" s="18" t="n"/>
      <c r="AH74" s="18" t="n"/>
      <c r="AI74" s="18" t="n"/>
      <c r="AJ74" s="18" t="n"/>
      <c r="AK74" s="18" t="n"/>
      <c r="AL74" s="18" t="n"/>
      <c r="AM74" s="18" t="n"/>
      <c r="AN74" s="18" t="n"/>
      <c r="AO74" s="18" t="n"/>
      <c r="AP74" s="18" t="n"/>
      <c r="AQ74" s="18" t="n"/>
      <c r="AR74" s="18" t="n"/>
      <c r="AS74" s="18" t="n"/>
      <c r="AT74" s="18" t="n"/>
      <c r="AU74" s="18" t="n"/>
      <c r="AV74" s="18" t="n"/>
      <c r="AW74" s="18" t="n"/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18" t="n"/>
      <c r="BU74" s="18" t="n"/>
      <c r="BV74" s="18" t="n"/>
      <c r="BW74" s="18" t="n"/>
      <c r="BX74" s="18" t="n"/>
      <c r="BY74" s="18" t="n"/>
      <c r="BZ74" s="18" t="n"/>
      <c r="CA74" s="18" t="n"/>
      <c r="CB74" s="18" t="n"/>
      <c r="CC74" s="18" t="n"/>
      <c r="CD74" s="18" t="n"/>
      <c r="CE74" s="18" t="n"/>
      <c r="CF74" s="18" t="n"/>
      <c r="CG74" s="18" t="n"/>
      <c r="CH74" s="18" t="n"/>
      <c r="CI74" s="18" t="n"/>
      <c r="CJ74" s="18" t="n"/>
      <c r="CK74" s="18" t="n"/>
      <c r="CL74" s="18" t="n"/>
      <c r="CM74" s="18" t="n"/>
      <c r="CN74" s="18" t="n"/>
      <c r="CO74" s="18" t="n"/>
      <c r="CP74" s="18" t="n"/>
      <c r="CQ74" s="18" t="n"/>
      <c r="CR74" s="18" t="n"/>
      <c r="CS74" s="18" t="n"/>
      <c r="CT74" s="18" t="n"/>
      <c r="CU74" s="18" t="n"/>
      <c r="CV74" s="18" t="n"/>
      <c r="CW74" s="18" t="n"/>
      <c r="CX74" s="18" t="n"/>
      <c r="CY74" s="18" t="n"/>
      <c r="CZ74" s="18" t="n"/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/>
      <c r="DJ74" s="18" t="n"/>
      <c r="DK74" s="18" t="n"/>
      <c r="DL74" s="18" t="n"/>
      <c r="DM74" s="18" t="n"/>
      <c r="DN74" s="18" t="n"/>
      <c r="DO74" s="18" t="n"/>
      <c r="DP74" s="18" t="n"/>
      <c r="DQ74" s="18" t="n"/>
      <c r="DR74" s="18" t="n"/>
      <c r="DS74" s="18" t="n"/>
      <c r="DT74" s="18" t="n"/>
    </row>
    <row r="75">
      <c r="A75" s="18">
        <f>'Schedule_Data_Option_B'!A76</f>
        <v/>
      </c>
      <c r="B75" s="18">
        <f>'Schedule_Data_Option_B'!B76</f>
        <v/>
      </c>
      <c r="C75" s="18">
        <f>'Schedule_Data_Option_B'!C76</f>
        <v/>
      </c>
      <c r="D75" s="38">
        <f>'Schedule_Data_Option_B'!D76</f>
        <v/>
      </c>
      <c r="E75" s="18" t="n"/>
      <c r="F75" s="18" t="n"/>
      <c r="G75" s="18" t="n"/>
      <c r="H75" s="18" t="n"/>
      <c r="I75" s="18" t="n"/>
      <c r="J75" s="18" t="n"/>
      <c r="K75" s="18" t="n"/>
      <c r="L75" s="18" t="n"/>
      <c r="M75" s="18" t="n"/>
      <c r="N75" s="18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  <c r="Y75" s="18" t="n"/>
      <c r="Z75" s="18" t="n"/>
      <c r="AA75" s="18" t="n"/>
      <c r="AB75" s="18" t="n"/>
      <c r="AC75" s="18" t="n"/>
      <c r="AD75" s="18" t="n"/>
      <c r="AE75" s="18" t="n"/>
      <c r="AF75" s="18" t="n"/>
      <c r="AG75" s="18" t="n"/>
      <c r="AH75" s="18" t="n"/>
      <c r="AI75" s="38" t="n"/>
      <c r="AJ75" s="18" t="n"/>
      <c r="AK75" s="18" t="n"/>
      <c r="AL75" s="18" t="n"/>
      <c r="AM75" s="18" t="n"/>
      <c r="AN75" s="18" t="n"/>
      <c r="AO75" s="18" t="n"/>
      <c r="AP75" s="18" t="n"/>
      <c r="AQ75" s="18" t="n"/>
      <c r="AR75" s="18" t="n"/>
      <c r="AS75" s="18" t="n"/>
      <c r="AT75" s="18" t="n"/>
      <c r="AU75" s="18" t="n"/>
      <c r="AV75" s="18" t="n"/>
      <c r="AW75" s="18" t="n"/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18" t="n"/>
      <c r="BU75" s="18" t="n"/>
      <c r="BV75" s="18" t="n"/>
      <c r="BW75" s="18" t="n"/>
      <c r="BX75" s="18" t="n"/>
      <c r="BY75" s="18" t="n"/>
      <c r="BZ75" s="18" t="n"/>
      <c r="CA75" s="18" t="n"/>
      <c r="CB75" s="18" t="n"/>
      <c r="CC75" s="18" t="n"/>
      <c r="CD75" s="18" t="n"/>
      <c r="CE75" s="18" t="n"/>
      <c r="CF75" s="18" t="n"/>
      <c r="CG75" s="18" t="n"/>
      <c r="CH75" s="18" t="n"/>
      <c r="CI75" s="18" t="n"/>
      <c r="CJ75" s="18" t="n"/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</row>
    <row r="76">
      <c r="A76" s="18">
        <f>'Schedule_Data_Option_B'!A77</f>
        <v/>
      </c>
      <c r="B76" s="18">
        <f>'Schedule_Data_Option_B'!B77</f>
        <v/>
      </c>
      <c r="C76" s="18">
        <f>'Schedule_Data_Option_B'!C77</f>
        <v/>
      </c>
      <c r="D76" s="21">
        <f>'Schedule_Data_Option_B'!D77</f>
        <v/>
      </c>
      <c r="E76" s="18" t="n"/>
      <c r="F76" s="18" t="n"/>
      <c r="G76" s="18" t="n"/>
      <c r="H76" s="18" t="n"/>
      <c r="I76" s="18" t="n"/>
      <c r="J76" s="18" t="n"/>
      <c r="K76" s="18" t="n"/>
      <c r="L76" s="18" t="n"/>
      <c r="M76" s="18" t="n"/>
      <c r="N76" s="18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  <c r="Y76" s="18" t="n"/>
      <c r="Z76" s="18" t="n"/>
      <c r="AA76" s="18" t="n"/>
      <c r="AB76" s="18" t="n"/>
      <c r="AC76" s="18" t="n"/>
      <c r="AD76" s="18" t="n"/>
      <c r="AE76" s="18" t="n"/>
      <c r="AF76" s="18" t="n"/>
      <c r="AG76" s="18" t="n"/>
      <c r="AH76" s="18" t="n"/>
      <c r="AI76" s="18" t="n"/>
      <c r="AJ76" s="18" t="n"/>
      <c r="AK76" s="18" t="n"/>
      <c r="AL76" s="18" t="n"/>
      <c r="AM76" s="18" t="n"/>
      <c r="AN76" s="18" t="n"/>
      <c r="AO76" s="18" t="n"/>
      <c r="AP76" s="18" t="n"/>
      <c r="AQ76" s="18" t="n"/>
      <c r="AR76" s="18" t="n"/>
      <c r="AS76" s="18" t="n"/>
      <c r="AT76" s="18" t="n"/>
      <c r="AU76" s="18" t="n"/>
      <c r="AV76" s="18" t="n"/>
      <c r="AW76" s="18" t="n"/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18" t="n"/>
      <c r="BU76" s="18" t="n"/>
      <c r="BV76" s="18" t="n"/>
      <c r="BW76" s="18" t="n"/>
      <c r="BX76" s="18" t="n"/>
      <c r="BY76" s="18" t="n"/>
      <c r="BZ76" s="18" t="n"/>
      <c r="CA76" s="18" t="n"/>
      <c r="CB76" s="18" t="n"/>
      <c r="CC76" s="18" t="n"/>
      <c r="CD76" s="18" t="n"/>
      <c r="CE76" s="18" t="n"/>
      <c r="CF76" s="18" t="n"/>
      <c r="CG76" s="18" t="n"/>
      <c r="CH76" s="18" t="n"/>
      <c r="CI76" s="18" t="n"/>
      <c r="CJ76" s="18" t="n"/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</row>
    <row r="77">
      <c r="A77" s="18">
        <f>'Schedule_Data_Option_B'!A78</f>
        <v/>
      </c>
      <c r="B77" s="18">
        <f>'Schedule_Data_Option_B'!B78</f>
        <v/>
      </c>
      <c r="C77" s="18">
        <f>'Schedule_Data_Option_B'!C78</f>
        <v/>
      </c>
      <c r="D77" s="21">
        <f>'Schedule_Data_Option_B'!D78</f>
        <v/>
      </c>
      <c r="E77" s="18" t="n"/>
      <c r="F77" s="18" t="n"/>
      <c r="G77" s="18" t="n"/>
      <c r="H77" s="18" t="n"/>
      <c r="I77" s="18" t="n"/>
      <c r="J77" s="18" t="n"/>
      <c r="K77" s="18" t="n"/>
      <c r="L77" s="18" t="n"/>
      <c r="M77" s="18" t="n"/>
      <c r="N77" s="18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  <c r="Y77" s="18" t="n"/>
      <c r="Z77" s="18" t="n"/>
      <c r="AA77" s="18" t="n"/>
      <c r="AB77" s="18" t="n"/>
      <c r="AC77" s="18" t="n"/>
      <c r="AD77" s="18" t="n"/>
      <c r="AE77" s="18" t="n"/>
      <c r="AF77" s="18" t="n"/>
      <c r="AG77" s="18" t="n"/>
      <c r="AH77" s="18" t="n"/>
      <c r="AI77" s="18" t="n"/>
      <c r="AJ77" s="18" t="n"/>
      <c r="AK77" s="18" t="n"/>
      <c r="AL77" s="18" t="n"/>
      <c r="AM77" s="18" t="n"/>
      <c r="AN77" s="18" t="n"/>
      <c r="AO77" s="18" t="n"/>
      <c r="AP77" s="18" t="n"/>
      <c r="AQ77" s="18" t="n"/>
      <c r="AR77" s="18" t="n"/>
      <c r="AS77" s="18" t="n"/>
      <c r="AT77" s="18" t="n"/>
      <c r="AU77" s="18" t="n"/>
      <c r="AV77" s="18" t="n"/>
      <c r="AW77" s="18" t="n"/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18" t="n"/>
      <c r="BU77" s="18" t="n"/>
      <c r="BV77" s="18" t="n"/>
      <c r="BW77" s="18" t="n"/>
      <c r="BX77" s="18" t="n"/>
      <c r="BY77" s="18" t="n"/>
      <c r="BZ77" s="18" t="n"/>
      <c r="CA77" s="18" t="n"/>
      <c r="CB77" s="18" t="n"/>
      <c r="CC77" s="18" t="n"/>
      <c r="CD77" s="18" t="n"/>
      <c r="CE77" s="18" t="n"/>
      <c r="CF77" s="18" t="n"/>
      <c r="CG77" s="18" t="n"/>
      <c r="CH77" s="18" t="n"/>
      <c r="CI77" s="18" t="n"/>
      <c r="CJ77" s="18" t="n"/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</row>
    <row r="78">
      <c r="A78" s="18">
        <f>'Schedule_Data_Option_B'!A79</f>
        <v/>
      </c>
      <c r="B78" s="18">
        <f>'Schedule_Data_Option_B'!B79</f>
        <v/>
      </c>
      <c r="C78" s="18">
        <f>'Schedule_Data_Option_B'!C79</f>
        <v/>
      </c>
      <c r="D78" s="27">
        <f>'Schedule_Data_Option_B'!D79</f>
        <v/>
      </c>
      <c r="E78" s="18" t="n"/>
      <c r="F78" s="18" t="n"/>
      <c r="G78" s="18" t="n"/>
      <c r="H78" s="18" t="n"/>
      <c r="I78" s="18" t="n"/>
      <c r="J78" s="18" t="n"/>
      <c r="K78" s="18" t="n"/>
      <c r="L78" s="18" t="n"/>
      <c r="M78" s="18" t="n"/>
      <c r="N78" s="18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  <c r="Y78" s="18" t="n"/>
      <c r="Z78" s="18" t="n"/>
      <c r="AA78" s="18" t="n"/>
      <c r="AB78" s="18" t="n"/>
      <c r="AC78" s="18" t="n"/>
      <c r="AD78" s="18" t="n"/>
      <c r="AE78" s="18" t="n"/>
      <c r="AF78" s="18" t="n"/>
      <c r="AG78" s="18" t="n"/>
      <c r="AH78" s="18" t="n"/>
      <c r="AI78" s="18" t="n"/>
      <c r="AJ78" s="27" t="n"/>
      <c r="AK78" s="18" t="n"/>
      <c r="AL78" s="18" t="n"/>
      <c r="AM78" s="18" t="n"/>
      <c r="AN78" s="18" t="n"/>
      <c r="AO78" s="18" t="n"/>
      <c r="AP78" s="18" t="n"/>
      <c r="AQ78" s="18" t="n"/>
      <c r="AR78" s="18" t="n"/>
      <c r="AS78" s="18" t="n"/>
      <c r="AT78" s="18" t="n"/>
      <c r="AU78" s="18" t="n"/>
      <c r="AV78" s="18" t="n"/>
      <c r="AW78" s="18" t="n"/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18" t="n"/>
      <c r="BU78" s="18" t="n"/>
      <c r="BV78" s="18" t="n"/>
      <c r="BW78" s="18" t="n"/>
      <c r="BX78" s="18" t="n"/>
      <c r="BY78" s="18" t="n"/>
      <c r="BZ78" s="18" t="n"/>
      <c r="CA78" s="18" t="n"/>
      <c r="CB78" s="18" t="n"/>
      <c r="CC78" s="18" t="n"/>
      <c r="CD78" s="18" t="n"/>
      <c r="CE78" s="18" t="n"/>
      <c r="CF78" s="18" t="n"/>
      <c r="CG78" s="18" t="n"/>
      <c r="CH78" s="18" t="n"/>
      <c r="CI78" s="18" t="n"/>
      <c r="CJ78" s="18" t="n"/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</row>
    <row r="79">
      <c r="A79" s="18">
        <f>'Schedule_Data_Option_B'!A80</f>
        <v/>
      </c>
      <c r="B79" s="18">
        <f>'Schedule_Data_Option_B'!B80</f>
        <v/>
      </c>
      <c r="C79" s="18">
        <f>'Schedule_Data_Option_B'!C80</f>
        <v/>
      </c>
      <c r="D79" s="38">
        <f>'Schedule_Data_Option_B'!D80</f>
        <v/>
      </c>
      <c r="E79" s="18" t="n"/>
      <c r="F79" s="18" t="n"/>
      <c r="G79" s="18" t="n"/>
      <c r="H79" s="18" t="n"/>
      <c r="I79" s="18" t="n"/>
      <c r="J79" s="18" t="n"/>
      <c r="K79" s="18" t="n"/>
      <c r="L79" s="18" t="n"/>
      <c r="M79" s="18" t="n"/>
      <c r="N79" s="18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  <c r="Y79" s="18" t="n"/>
      <c r="Z79" s="18" t="n"/>
      <c r="AA79" s="18" t="n"/>
      <c r="AB79" s="18" t="n"/>
      <c r="AC79" s="18" t="n"/>
      <c r="AD79" s="18" t="n"/>
      <c r="AE79" s="18" t="n"/>
      <c r="AF79" s="18" t="n"/>
      <c r="AG79" s="18" t="n"/>
      <c r="AH79" s="18" t="n"/>
      <c r="AI79" s="18" t="n"/>
      <c r="AJ79" s="18" t="n"/>
      <c r="AK79" s="18" t="n"/>
      <c r="AL79" s="18" t="n"/>
      <c r="AM79" s="38" t="n"/>
      <c r="AN79" s="18" t="n"/>
      <c r="AO79" s="18" t="n"/>
      <c r="AP79" s="18" t="n"/>
      <c r="AQ79" s="18" t="n"/>
      <c r="AR79" s="18" t="n"/>
      <c r="AS79" s="18" t="n"/>
      <c r="AT79" s="18" t="n"/>
      <c r="AU79" s="18" t="n"/>
      <c r="AV79" s="18" t="n"/>
      <c r="AW79" s="18" t="n"/>
      <c r="AX79" s="18" t="n"/>
      <c r="AY79" s="18" t="n"/>
      <c r="AZ79" s="18" t="n"/>
      <c r="BA79" s="18" t="n"/>
      <c r="BB79" s="18" t="n"/>
      <c r="BC79" s="18" t="n"/>
      <c r="BD79" s="18" t="n"/>
      <c r="BE79" s="18" t="n"/>
      <c r="BF79" s="18" t="n"/>
      <c r="BG79" s="18" t="n"/>
      <c r="BH79" s="18" t="n"/>
      <c r="BI79" s="18" t="n"/>
      <c r="BJ79" s="18" t="n"/>
      <c r="BK79" s="18" t="n"/>
      <c r="BL79" s="18" t="n"/>
      <c r="BM79" s="18" t="n"/>
      <c r="BN79" s="18" t="n"/>
      <c r="BO79" s="18" t="n"/>
      <c r="BP79" s="18" t="n"/>
      <c r="BQ79" s="18" t="n"/>
      <c r="BR79" s="18" t="n"/>
      <c r="BS79" s="18" t="n"/>
      <c r="BT79" s="18" t="n"/>
      <c r="BU79" s="18" t="n"/>
      <c r="BV79" s="18" t="n"/>
      <c r="BW79" s="18" t="n"/>
      <c r="BX79" s="18" t="n"/>
      <c r="BY79" s="18" t="n"/>
      <c r="BZ79" s="18" t="n"/>
      <c r="CA79" s="18" t="n"/>
      <c r="CB79" s="18" t="n"/>
      <c r="CC79" s="18" t="n"/>
      <c r="CD79" s="18" t="n"/>
      <c r="CE79" s="18" t="n"/>
      <c r="CF79" s="18" t="n"/>
      <c r="CG79" s="18" t="n"/>
      <c r="CH79" s="18" t="n"/>
      <c r="CI79" s="18" t="n"/>
      <c r="CJ79" s="18" t="n"/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</row>
    <row r="80">
      <c r="A80" s="18">
        <f>'Schedule_Data_Option_B'!A81</f>
        <v/>
      </c>
      <c r="B80" s="18">
        <f>'Schedule_Data_Option_B'!B81</f>
        <v/>
      </c>
      <c r="C80" s="18">
        <f>'Schedule_Data_Option_B'!C81</f>
        <v/>
      </c>
      <c r="D80" s="21">
        <f>'Schedule_Data_Option_B'!D81</f>
        <v/>
      </c>
      <c r="E80" s="18" t="n"/>
      <c r="F80" s="18" t="n"/>
      <c r="G80" s="18" t="n"/>
      <c r="H80" s="18" t="n"/>
      <c r="I80" s="18" t="n"/>
      <c r="J80" s="18" t="n"/>
      <c r="K80" s="18" t="n"/>
      <c r="L80" s="18" t="n"/>
      <c r="M80" s="18" t="n"/>
      <c r="N80" s="18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  <c r="Y80" s="18" t="n"/>
      <c r="Z80" s="18" t="n"/>
      <c r="AA80" s="18" t="n"/>
      <c r="AB80" s="18" t="n"/>
      <c r="AC80" s="18" t="n"/>
      <c r="AD80" s="18" t="n"/>
      <c r="AE80" s="18" t="n"/>
      <c r="AF80" s="18" t="n"/>
      <c r="AG80" s="18" t="n"/>
      <c r="AH80" s="18" t="n"/>
      <c r="AI80" s="18" t="n"/>
      <c r="AJ80" s="18" t="n"/>
      <c r="AK80" s="18" t="n"/>
      <c r="AL80" s="21" t="n"/>
      <c r="AM80" s="18" t="n"/>
      <c r="AN80" s="18" t="n"/>
      <c r="AO80" s="18" t="n"/>
      <c r="AP80" s="18" t="n"/>
      <c r="AQ80" s="18" t="n"/>
      <c r="AR80" s="18" t="n"/>
      <c r="AS80" s="18" t="n"/>
      <c r="AT80" s="18" t="n"/>
      <c r="AU80" s="18" t="n"/>
      <c r="AV80" s="18" t="n"/>
      <c r="AW80" s="18" t="n"/>
      <c r="AX80" s="18" t="n"/>
      <c r="AY80" s="18" t="n"/>
      <c r="AZ80" s="18" t="n"/>
      <c r="BA80" s="18" t="n"/>
      <c r="BB80" s="18" t="n"/>
      <c r="BC80" s="18" t="n"/>
      <c r="BD80" s="18" t="n"/>
      <c r="BE80" s="18" t="n"/>
      <c r="BF80" s="18" t="n"/>
      <c r="BG80" s="18" t="n"/>
      <c r="BH80" s="18" t="n"/>
      <c r="BI80" s="18" t="n"/>
      <c r="BJ80" s="18" t="n"/>
      <c r="BK80" s="18" t="n"/>
      <c r="BL80" s="18" t="n"/>
      <c r="BM80" s="18" t="n"/>
      <c r="BN80" s="18" t="n"/>
      <c r="BO80" s="18" t="n"/>
      <c r="BP80" s="18" t="n"/>
      <c r="BQ80" s="18" t="n"/>
      <c r="BR80" s="18" t="n"/>
      <c r="BS80" s="18" t="n"/>
      <c r="BT80" s="18" t="n"/>
      <c r="BU80" s="18" t="n"/>
      <c r="BV80" s="18" t="n"/>
      <c r="BW80" s="18" t="n"/>
      <c r="BX80" s="18" t="n"/>
      <c r="BY80" s="18" t="n"/>
      <c r="BZ80" s="18" t="n"/>
      <c r="CA80" s="18" t="n"/>
      <c r="CB80" s="18" t="n"/>
      <c r="CC80" s="18" t="n"/>
      <c r="CD80" s="18" t="n"/>
      <c r="CE80" s="18" t="n"/>
      <c r="CF80" s="18" t="n"/>
      <c r="CG80" s="18" t="n"/>
      <c r="CH80" s="18" t="n"/>
      <c r="CI80" s="18" t="n"/>
      <c r="CJ80" s="18" t="n"/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</row>
    <row r="81">
      <c r="A81" s="18">
        <f>'Schedule_Data_Option_B'!A82</f>
        <v/>
      </c>
      <c r="B81" s="18">
        <f>'Schedule_Data_Option_B'!B82</f>
        <v/>
      </c>
      <c r="C81" s="18">
        <f>'Schedule_Data_Option_B'!C82</f>
        <v/>
      </c>
      <c r="D81" s="19">
        <f>'Schedule_Data_Option_B'!D82</f>
        <v/>
      </c>
      <c r="E81" s="18" t="n"/>
      <c r="F81" s="18" t="n"/>
      <c r="G81" s="18" t="n"/>
      <c r="H81" s="18" t="n"/>
      <c r="I81" s="18" t="n"/>
      <c r="J81" s="18" t="n"/>
      <c r="K81" s="18" t="n"/>
      <c r="L81" s="18" t="n"/>
      <c r="M81" s="18" t="n"/>
      <c r="N81" s="18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  <c r="Y81" s="18" t="n"/>
      <c r="Z81" s="18" t="n"/>
      <c r="AA81" s="18" t="n"/>
      <c r="AB81" s="18" t="n"/>
      <c r="AC81" s="18" t="n"/>
      <c r="AD81" s="18" t="n"/>
      <c r="AE81" s="18" t="n"/>
      <c r="AF81" s="18" t="n"/>
      <c r="AG81" s="18" t="n"/>
      <c r="AH81" s="18" t="n"/>
      <c r="AI81" s="18" t="n"/>
      <c r="AJ81" s="18" t="n"/>
      <c r="AK81" s="18" t="n"/>
      <c r="AL81" s="18" t="n"/>
      <c r="AM81" s="19" t="n"/>
      <c r="AN81" s="18" t="n"/>
      <c r="AO81" s="18" t="n"/>
      <c r="AP81" s="18" t="n"/>
      <c r="AQ81" s="18" t="n"/>
      <c r="AR81" s="18" t="n"/>
      <c r="AS81" s="18" t="n"/>
      <c r="AT81" s="18" t="n"/>
      <c r="AU81" s="18" t="n"/>
      <c r="AV81" s="18" t="n"/>
      <c r="AW81" s="18" t="n"/>
      <c r="AX81" s="18" t="n"/>
      <c r="AY81" s="18" t="n"/>
      <c r="AZ81" s="18" t="n"/>
      <c r="BA81" s="18" t="n"/>
      <c r="BB81" s="18" t="n"/>
      <c r="BC81" s="18" t="n"/>
      <c r="BD81" s="18" t="n"/>
      <c r="BE81" s="18" t="n"/>
      <c r="BF81" s="18" t="n"/>
      <c r="BG81" s="18" t="n"/>
      <c r="BH81" s="18" t="n"/>
      <c r="BI81" s="18" t="n"/>
      <c r="BJ81" s="18" t="n"/>
      <c r="BK81" s="18" t="n"/>
      <c r="BL81" s="18" t="n"/>
      <c r="BM81" s="18" t="n"/>
      <c r="BN81" s="18" t="n"/>
      <c r="BO81" s="18" t="n"/>
      <c r="BP81" s="18" t="n"/>
      <c r="BQ81" s="18" t="n"/>
      <c r="BR81" s="18" t="n"/>
      <c r="BS81" s="18" t="n"/>
      <c r="BT81" s="18" t="n"/>
      <c r="BU81" s="18" t="n"/>
      <c r="BV81" s="18" t="n"/>
      <c r="BW81" s="18" t="n"/>
      <c r="BX81" s="18" t="n"/>
      <c r="BY81" s="18" t="n"/>
      <c r="BZ81" s="18" t="n"/>
      <c r="CA81" s="18" t="n"/>
      <c r="CB81" s="18" t="n"/>
      <c r="CC81" s="18" t="n"/>
      <c r="CD81" s="18" t="n"/>
      <c r="CE81" s="18" t="n"/>
      <c r="CF81" s="18" t="n"/>
      <c r="CG81" s="18" t="n"/>
      <c r="CH81" s="18" t="n"/>
      <c r="CI81" s="18" t="n"/>
      <c r="CJ81" s="18" t="n"/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/>
      <c r="DM81" s="18" t="n"/>
      <c r="DN81" s="18" t="n"/>
      <c r="DO81" s="18" t="n"/>
      <c r="DP81" s="18" t="n"/>
      <c r="DQ81" s="18" t="n"/>
      <c r="DR81" s="18" t="n"/>
      <c r="DS81" s="18" t="n"/>
      <c r="DT81" s="18" t="n"/>
    </row>
    <row r="82">
      <c r="A82" s="18">
        <f>'Schedule_Data_Option_B'!A83</f>
        <v/>
      </c>
      <c r="B82" s="18">
        <f>'Schedule_Data_Option_B'!B83</f>
        <v/>
      </c>
      <c r="C82" s="18">
        <f>'Schedule_Data_Option_B'!C83</f>
        <v/>
      </c>
      <c r="D82" s="19">
        <f>'Schedule_Data_Option_B'!D83</f>
        <v/>
      </c>
      <c r="E82" s="18" t="n"/>
      <c r="F82" s="18" t="n"/>
      <c r="G82" s="18" t="n"/>
      <c r="H82" s="18" t="n"/>
      <c r="I82" s="18" t="n"/>
      <c r="J82" s="18" t="n"/>
      <c r="K82" s="18" t="n"/>
      <c r="L82" s="18" t="n"/>
      <c r="M82" s="18" t="n"/>
      <c r="N82" s="18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  <c r="Y82" s="18" t="n"/>
      <c r="Z82" s="18" t="n"/>
      <c r="AA82" s="18" t="n"/>
      <c r="AB82" s="18" t="n"/>
      <c r="AC82" s="18" t="n"/>
      <c r="AD82" s="18" t="n"/>
      <c r="AE82" s="18" t="n"/>
      <c r="AF82" s="18" t="n"/>
      <c r="AG82" s="18" t="n"/>
      <c r="AH82" s="18" t="n"/>
      <c r="AI82" s="18" t="n"/>
      <c r="AJ82" s="18" t="n"/>
      <c r="AK82" s="18" t="n"/>
      <c r="AL82" s="18" t="n"/>
      <c r="AM82" s="18" t="n"/>
      <c r="AN82" s="19" t="n"/>
      <c r="AO82" s="18" t="n"/>
      <c r="AP82" s="18" t="n"/>
      <c r="AQ82" s="18" t="n"/>
      <c r="AR82" s="18" t="n"/>
      <c r="AS82" s="18" t="n"/>
      <c r="AT82" s="18" t="n"/>
      <c r="AU82" s="18" t="n"/>
      <c r="AV82" s="18" t="n"/>
      <c r="AW82" s="18" t="n"/>
      <c r="AX82" s="18" t="n"/>
      <c r="AY82" s="18" t="n"/>
      <c r="AZ82" s="18" t="n"/>
      <c r="BA82" s="18" t="n"/>
      <c r="BB82" s="18" t="n"/>
      <c r="BC82" s="18" t="n"/>
      <c r="BD82" s="18" t="n"/>
      <c r="BE82" s="18" t="n"/>
      <c r="BF82" s="18" t="n"/>
      <c r="BG82" s="18" t="n"/>
      <c r="BH82" s="18" t="n"/>
      <c r="BI82" s="18" t="n"/>
      <c r="BJ82" s="18" t="n"/>
      <c r="BK82" s="18" t="n"/>
      <c r="BL82" s="18" t="n"/>
      <c r="BM82" s="18" t="n"/>
      <c r="BN82" s="18" t="n"/>
      <c r="BO82" s="18" t="n"/>
      <c r="BP82" s="18" t="n"/>
      <c r="BQ82" s="18" t="n"/>
      <c r="BR82" s="18" t="n"/>
      <c r="BS82" s="18" t="n"/>
      <c r="BT82" s="18" t="n"/>
      <c r="BU82" s="18" t="n"/>
      <c r="BV82" s="18" t="n"/>
      <c r="BW82" s="18" t="n"/>
      <c r="BX82" s="18" t="n"/>
      <c r="BY82" s="18" t="n"/>
      <c r="BZ82" s="18" t="n"/>
      <c r="CA82" s="18" t="n"/>
      <c r="CB82" s="18" t="n"/>
      <c r="CC82" s="18" t="n"/>
      <c r="CD82" s="18" t="n"/>
      <c r="CE82" s="18" t="n"/>
      <c r="CF82" s="18" t="n"/>
      <c r="CG82" s="18" t="n"/>
      <c r="CH82" s="18" t="n"/>
      <c r="CI82" s="18" t="n"/>
      <c r="CJ82" s="18" t="n"/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</row>
    <row r="83">
      <c r="A83" s="18">
        <f>'Schedule_Data_Option_B'!A84</f>
        <v/>
      </c>
      <c r="B83" s="18">
        <f>'Schedule_Data_Option_B'!B84</f>
        <v/>
      </c>
      <c r="C83" s="18">
        <f>'Schedule_Data_Option_B'!C84</f>
        <v/>
      </c>
      <c r="D83" s="21">
        <f>'Schedule_Data_Option_B'!D84</f>
        <v/>
      </c>
      <c r="E83" s="18" t="n"/>
      <c r="F83" s="18" t="n"/>
      <c r="G83" s="18" t="n"/>
      <c r="H83" s="18" t="n"/>
      <c r="I83" s="18" t="n"/>
      <c r="J83" s="18" t="n"/>
      <c r="K83" s="18" t="n"/>
      <c r="L83" s="18" t="n"/>
      <c r="M83" s="18" t="n"/>
      <c r="N83" s="18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  <c r="Y83" s="18" t="n"/>
      <c r="Z83" s="18" t="n"/>
      <c r="AA83" s="18" t="n"/>
      <c r="AB83" s="18" t="n"/>
      <c r="AC83" s="18" t="n"/>
      <c r="AD83" s="18" t="n"/>
      <c r="AE83" s="18" t="n"/>
      <c r="AF83" s="18" t="n"/>
      <c r="AG83" s="18" t="n"/>
      <c r="AH83" s="18" t="n"/>
      <c r="AI83" s="18" t="n"/>
      <c r="AJ83" s="18" t="n"/>
      <c r="AK83" s="18" t="n"/>
      <c r="AL83" s="18" t="n"/>
      <c r="AM83" s="18" t="n"/>
      <c r="AN83" s="36" t="inlineStr">
        <is>
          <t>*</t>
        </is>
      </c>
      <c r="AO83" s="18" t="n"/>
      <c r="AP83" s="18" t="n"/>
      <c r="AQ83" s="18" t="n"/>
      <c r="AR83" s="18" t="n"/>
      <c r="AS83" s="18" t="n"/>
      <c r="AT83" s="18" t="n"/>
      <c r="AU83" s="18" t="n"/>
      <c r="AV83" s="18" t="n"/>
      <c r="AW83" s="18" t="n"/>
      <c r="AX83" s="18" t="n"/>
      <c r="AY83" s="18" t="n"/>
      <c r="AZ83" s="18" t="n"/>
      <c r="BA83" s="18" t="n"/>
      <c r="BB83" s="18" t="n"/>
      <c r="BC83" s="18" t="n"/>
      <c r="BD83" s="18" t="n"/>
      <c r="BE83" s="18" t="n"/>
      <c r="BF83" s="18" t="n"/>
      <c r="BG83" s="18" t="n"/>
      <c r="BH83" s="18" t="n"/>
      <c r="BI83" s="18" t="n"/>
      <c r="BJ83" s="18" t="n"/>
      <c r="BK83" s="18" t="n"/>
      <c r="BL83" s="18" t="n"/>
      <c r="BM83" s="18" t="n"/>
      <c r="BN83" s="18" t="n"/>
      <c r="BO83" s="18" t="n"/>
      <c r="BP83" s="18" t="n"/>
      <c r="BQ83" s="18" t="n"/>
      <c r="BR83" s="18" t="n"/>
      <c r="BS83" s="18" t="n"/>
      <c r="BT83" s="18" t="n"/>
      <c r="BU83" s="18" t="n"/>
      <c r="BV83" s="18" t="n"/>
      <c r="BW83" s="18" t="n"/>
      <c r="BX83" s="18" t="n"/>
      <c r="BY83" s="18" t="n"/>
      <c r="BZ83" s="18" t="n"/>
      <c r="CA83" s="18" t="n"/>
      <c r="CB83" s="18" t="n"/>
      <c r="CC83" s="18" t="n"/>
      <c r="CD83" s="18" t="n"/>
      <c r="CE83" s="18" t="n"/>
      <c r="CF83" s="18" t="n"/>
      <c r="CG83" s="18" t="n"/>
      <c r="CH83" s="18" t="n"/>
      <c r="CI83" s="18" t="n"/>
      <c r="CJ83" s="18" t="n"/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</row>
    <row r="84">
      <c r="A84" s="18">
        <f>'Schedule_Data_Option_B'!A85</f>
        <v/>
      </c>
      <c r="B84" s="18">
        <f>'Schedule_Data_Option_B'!B85</f>
        <v/>
      </c>
      <c r="C84" s="18">
        <f>'Schedule_Data_Option_B'!C85</f>
        <v/>
      </c>
      <c r="D84" s="22">
        <f>'Schedule_Data_Option_B'!D85</f>
        <v/>
      </c>
      <c r="E84" s="18" t="n"/>
      <c r="F84" s="18" t="n"/>
      <c r="G84" s="18" t="n"/>
      <c r="H84" s="18" t="n"/>
      <c r="I84" s="18" t="n"/>
      <c r="J84" s="18" t="n"/>
      <c r="K84" s="18" t="n"/>
      <c r="L84" s="18" t="n"/>
      <c r="M84" s="18" t="n"/>
      <c r="N84" s="18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  <c r="Y84" s="18" t="n"/>
      <c r="Z84" s="18" t="n"/>
      <c r="AA84" s="18" t="n"/>
      <c r="AB84" s="18" t="n"/>
      <c r="AC84" s="18" t="n"/>
      <c r="AD84" s="18" t="n"/>
      <c r="AE84" s="18" t="n"/>
      <c r="AF84" s="18" t="n"/>
      <c r="AG84" s="18" t="n"/>
      <c r="AH84" s="18" t="n"/>
      <c r="AI84" s="18" t="n"/>
      <c r="AJ84" s="18" t="n"/>
      <c r="AK84" s="18" t="n"/>
      <c r="AL84" s="18" t="n"/>
      <c r="AM84" s="18" t="n"/>
      <c r="AN84" s="22" t="n"/>
      <c r="AO84" s="18" t="n"/>
      <c r="AP84" s="18" t="n"/>
      <c r="AQ84" s="18" t="n"/>
      <c r="AR84" s="18" t="n"/>
      <c r="AS84" s="18" t="n"/>
      <c r="AT84" s="18" t="n"/>
      <c r="AU84" s="18" t="n"/>
      <c r="AV84" s="18" t="n"/>
      <c r="AW84" s="18" t="n"/>
      <c r="AX84" s="18" t="n"/>
      <c r="AY84" s="18" t="n"/>
      <c r="AZ84" s="18" t="n"/>
      <c r="BA84" s="18" t="n"/>
      <c r="BB84" s="18" t="n"/>
      <c r="BC84" s="18" t="n"/>
      <c r="BD84" s="18" t="n"/>
      <c r="BE84" s="18" t="n"/>
      <c r="BF84" s="18" t="n"/>
      <c r="BG84" s="18" t="n"/>
      <c r="BH84" s="18" t="n"/>
      <c r="BI84" s="18" t="n"/>
      <c r="BJ84" s="18" t="n"/>
      <c r="BK84" s="18" t="n"/>
      <c r="BL84" s="18" t="n"/>
      <c r="BM84" s="18" t="n"/>
      <c r="BN84" s="18" t="n"/>
      <c r="BO84" s="18" t="n"/>
      <c r="BP84" s="18" t="n"/>
      <c r="BQ84" s="18" t="n"/>
      <c r="BR84" s="18" t="n"/>
      <c r="BS84" s="18" t="n"/>
      <c r="BT84" s="18" t="n"/>
      <c r="BU84" s="18" t="n"/>
      <c r="BV84" s="18" t="n"/>
      <c r="BW84" s="18" t="n"/>
      <c r="BX84" s="18" t="n"/>
      <c r="BY84" s="18" t="n"/>
      <c r="BZ84" s="18" t="n"/>
      <c r="CA84" s="18" t="n"/>
      <c r="CB84" s="18" t="n"/>
      <c r="CC84" s="18" t="n"/>
      <c r="CD84" s="18" t="n"/>
      <c r="CE84" s="18" t="n"/>
      <c r="CF84" s="18" t="n"/>
      <c r="CG84" s="18" t="n"/>
      <c r="CH84" s="18" t="n"/>
      <c r="CI84" s="18" t="n"/>
      <c r="CJ84" s="18" t="n"/>
      <c r="CK84" s="18" t="n"/>
      <c r="CL84" s="18" t="n"/>
      <c r="CM84" s="18" t="n"/>
      <c r="CN84" s="18" t="n"/>
      <c r="CO84" s="18" t="n"/>
      <c r="CP84" s="18" t="n"/>
      <c r="CQ84" s="18" t="n"/>
      <c r="CR84" s="18" t="n"/>
      <c r="CS84" s="18" t="n"/>
      <c r="CT84" s="18" t="n"/>
      <c r="CU84" s="18" t="n"/>
      <c r="CV84" s="18" t="n"/>
      <c r="CW84" s="18" t="n"/>
      <c r="CX84" s="18" t="n"/>
      <c r="CY84" s="18" t="n"/>
      <c r="CZ84" s="18" t="n"/>
      <c r="DA84" s="18" t="n"/>
      <c r="DB84" s="18" t="n"/>
      <c r="DC84" s="18" t="n"/>
      <c r="DD84" s="18" t="n"/>
      <c r="DE84" s="18" t="n"/>
      <c r="DF84" s="18" t="n"/>
      <c r="DG84" s="18" t="n"/>
      <c r="DH84" s="18" t="n"/>
      <c r="DI84" s="18" t="n"/>
      <c r="DJ84" s="18" t="n"/>
      <c r="DK84" s="18" t="n"/>
      <c r="DL84" s="18" t="n"/>
      <c r="DM84" s="18" t="n"/>
      <c r="DN84" s="18" t="n"/>
      <c r="DO84" s="18" t="n"/>
      <c r="DP84" s="18" t="n"/>
      <c r="DQ84" s="18" t="n"/>
      <c r="DR84" s="18" t="n"/>
      <c r="DS84" s="18" t="n"/>
      <c r="DT84" s="18" t="n"/>
    </row>
    <row r="85">
      <c r="A85" s="18">
        <f>'Schedule_Data_Option_B'!A86</f>
        <v/>
      </c>
      <c r="B85" s="18">
        <f>'Schedule_Data_Option_B'!B86</f>
        <v/>
      </c>
      <c r="C85" s="18">
        <f>'Schedule_Data_Option_B'!C86</f>
        <v/>
      </c>
      <c r="D85" s="21">
        <f>'Schedule_Data_Option_B'!D86</f>
        <v/>
      </c>
      <c r="E85" s="18" t="n"/>
      <c r="F85" s="18" t="n"/>
      <c r="G85" s="18" t="n"/>
      <c r="H85" s="18" t="n"/>
      <c r="I85" s="18" t="n"/>
      <c r="J85" s="18" t="n"/>
      <c r="K85" s="18" t="n"/>
      <c r="L85" s="18" t="n"/>
      <c r="M85" s="18" t="n"/>
      <c r="N85" s="18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  <c r="Y85" s="18" t="n"/>
      <c r="Z85" s="18" t="n"/>
      <c r="AA85" s="18" t="n"/>
      <c r="AB85" s="18" t="n"/>
      <c r="AC85" s="18" t="n"/>
      <c r="AD85" s="18" t="n"/>
      <c r="AE85" s="18" t="n"/>
      <c r="AF85" s="18" t="n"/>
      <c r="AG85" s="18" t="n"/>
      <c r="AH85" s="18" t="n"/>
      <c r="AI85" s="18" t="n"/>
      <c r="AJ85" s="18" t="n"/>
      <c r="AK85" s="18" t="n"/>
      <c r="AL85" s="18" t="n"/>
      <c r="AM85" s="18" t="n"/>
      <c r="AN85" s="21" t="n"/>
      <c r="AO85" s="18" t="n"/>
      <c r="AP85" s="18" t="n"/>
      <c r="AQ85" s="18" t="n"/>
      <c r="AR85" s="18" t="n"/>
      <c r="AS85" s="18" t="n"/>
      <c r="AT85" s="18" t="n"/>
      <c r="AU85" s="18" t="n"/>
      <c r="AV85" s="18" t="n"/>
      <c r="AW85" s="18" t="n"/>
      <c r="AX85" s="18" t="n"/>
      <c r="AY85" s="18" t="n"/>
      <c r="AZ85" s="18" t="n"/>
      <c r="BA85" s="18" t="n"/>
      <c r="BB85" s="18" t="n"/>
      <c r="BC85" s="18" t="n"/>
      <c r="BD85" s="18" t="n"/>
      <c r="BE85" s="18" t="n"/>
      <c r="BF85" s="18" t="n"/>
      <c r="BG85" s="18" t="n"/>
      <c r="BH85" s="18" t="n"/>
      <c r="BI85" s="18" t="n"/>
      <c r="BJ85" s="18" t="n"/>
      <c r="BK85" s="18" t="n"/>
      <c r="BL85" s="18" t="n"/>
      <c r="BM85" s="18" t="n"/>
      <c r="BN85" s="18" t="n"/>
      <c r="BO85" s="18" t="n"/>
      <c r="BP85" s="18" t="n"/>
      <c r="BQ85" s="18" t="n"/>
      <c r="BR85" s="18" t="n"/>
      <c r="BS85" s="18" t="n"/>
      <c r="BT85" s="18" t="n"/>
      <c r="BU85" s="18" t="n"/>
      <c r="BV85" s="18" t="n"/>
      <c r="BW85" s="18" t="n"/>
      <c r="BX85" s="18" t="n"/>
      <c r="BY85" s="18" t="n"/>
      <c r="BZ85" s="18" t="n"/>
      <c r="CA85" s="18" t="n"/>
      <c r="CB85" s="18" t="n"/>
      <c r="CC85" s="18" t="n"/>
      <c r="CD85" s="18" t="n"/>
      <c r="CE85" s="18" t="n"/>
      <c r="CF85" s="18" t="n"/>
      <c r="CG85" s="18" t="n"/>
      <c r="CH85" s="18" t="n"/>
      <c r="CI85" s="18" t="n"/>
      <c r="CJ85" s="18" t="n"/>
      <c r="CK85" s="18" t="n"/>
      <c r="CL85" s="18" t="n"/>
      <c r="CM85" s="18" t="n"/>
      <c r="CN85" s="18" t="n"/>
      <c r="CO85" s="18" t="n"/>
      <c r="CP85" s="18" t="n"/>
      <c r="CQ85" s="18" t="n"/>
      <c r="CR85" s="18" t="n"/>
      <c r="CS85" s="18" t="n"/>
      <c r="CT85" s="18" t="n"/>
      <c r="CU85" s="18" t="n"/>
      <c r="CV85" s="18" t="n"/>
      <c r="CW85" s="18" t="n"/>
      <c r="CX85" s="18" t="n"/>
      <c r="CY85" s="18" t="n"/>
      <c r="CZ85" s="18" t="n"/>
      <c r="DA85" s="18" t="n"/>
      <c r="DB85" s="18" t="n"/>
      <c r="DC85" s="18" t="n"/>
      <c r="DD85" s="18" t="n"/>
      <c r="DE85" s="18" t="n"/>
      <c r="DF85" s="18" t="n"/>
      <c r="DG85" s="18" t="n"/>
      <c r="DH85" s="18" t="n"/>
      <c r="DI85" s="18" t="n"/>
      <c r="DJ85" s="18" t="n"/>
      <c r="DK85" s="18" t="n"/>
      <c r="DL85" s="18" t="n"/>
      <c r="DM85" s="18" t="n"/>
      <c r="DN85" s="18" t="n"/>
      <c r="DO85" s="18" t="n"/>
      <c r="DP85" s="18" t="n"/>
      <c r="DQ85" s="18" t="n"/>
      <c r="DR85" s="18" t="n"/>
      <c r="DS85" s="18" t="n"/>
      <c r="DT85" s="18" t="n"/>
    </row>
    <row r="86">
      <c r="A86" s="18">
        <f>'Schedule_Data_Option_B'!A87</f>
        <v/>
      </c>
      <c r="B86" s="18">
        <f>'Schedule_Data_Option_B'!B87</f>
        <v/>
      </c>
      <c r="C86" s="18">
        <f>'Schedule_Data_Option_B'!C87</f>
        <v/>
      </c>
      <c r="D86" s="21">
        <f>'Schedule_Data_Option_B'!D87</f>
        <v/>
      </c>
      <c r="E86" s="18" t="n"/>
      <c r="F86" s="18" t="n"/>
      <c r="G86" s="18" t="n"/>
      <c r="H86" s="18" t="n"/>
      <c r="I86" s="18" t="n"/>
      <c r="J86" s="18" t="n"/>
      <c r="K86" s="18" t="n"/>
      <c r="L86" s="18" t="n"/>
      <c r="M86" s="18" t="n"/>
      <c r="N86" s="18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  <c r="Y86" s="18" t="n"/>
      <c r="Z86" s="18" t="n"/>
      <c r="AA86" s="18" t="n"/>
      <c r="AB86" s="18" t="n"/>
      <c r="AC86" s="18" t="n"/>
      <c r="AD86" s="18" t="n"/>
      <c r="AE86" s="18" t="n"/>
      <c r="AF86" s="18" t="n"/>
      <c r="AG86" s="18" t="n"/>
      <c r="AH86" s="18" t="n"/>
      <c r="AI86" s="18" t="n"/>
      <c r="AJ86" s="18" t="n"/>
      <c r="AK86" s="18" t="n"/>
      <c r="AL86" s="18" t="n"/>
      <c r="AM86" s="18" t="n"/>
      <c r="AN86" s="18" t="n"/>
      <c r="AO86" s="18" t="n"/>
      <c r="AP86" s="18" t="n"/>
      <c r="AQ86" s="18" t="n"/>
      <c r="AR86" s="18" t="n"/>
      <c r="AS86" s="18" t="n"/>
      <c r="AT86" s="18" t="n"/>
      <c r="AU86" s="18" t="n"/>
      <c r="AV86" s="18" t="n"/>
      <c r="AW86" s="18" t="n"/>
      <c r="AX86" s="18" t="n"/>
      <c r="AY86" s="18" t="n"/>
      <c r="AZ86" s="18" t="n"/>
      <c r="BA86" s="18" t="n"/>
      <c r="BB86" s="18" t="n"/>
      <c r="BC86" s="18" t="n"/>
      <c r="BD86" s="18" t="n"/>
      <c r="BE86" s="18" t="n"/>
      <c r="BF86" s="18" t="n"/>
      <c r="BG86" s="18" t="n"/>
      <c r="BH86" s="18" t="n"/>
      <c r="BI86" s="18" t="n"/>
      <c r="BJ86" s="18" t="n"/>
      <c r="BK86" s="18" t="n"/>
      <c r="BL86" s="18" t="n"/>
      <c r="BM86" s="18" t="n"/>
      <c r="BN86" s="18" t="n"/>
      <c r="BO86" s="18" t="n"/>
      <c r="BP86" s="18" t="n"/>
      <c r="BQ86" s="18" t="n"/>
      <c r="BR86" s="18" t="n"/>
      <c r="BS86" s="18" t="n"/>
      <c r="BT86" s="18" t="n"/>
      <c r="BU86" s="18" t="n"/>
      <c r="BV86" s="18" t="n"/>
      <c r="BW86" s="18" t="n"/>
      <c r="BX86" s="18" t="n"/>
      <c r="BY86" s="18" t="n"/>
      <c r="BZ86" s="18" t="n"/>
      <c r="CA86" s="18" t="n"/>
      <c r="CB86" s="18" t="n"/>
      <c r="CC86" s="18" t="n"/>
      <c r="CD86" s="18" t="n"/>
      <c r="CE86" s="18" t="n"/>
      <c r="CF86" s="18" t="n"/>
      <c r="CG86" s="18" t="n"/>
      <c r="CH86" s="18" t="n"/>
      <c r="CI86" s="18" t="n"/>
      <c r="CJ86" s="18" t="n"/>
      <c r="CK86" s="18" t="n"/>
      <c r="CL86" s="18" t="n"/>
      <c r="CM86" s="18" t="n"/>
      <c r="CN86" s="18" t="n"/>
      <c r="CO86" s="18" t="n"/>
      <c r="CP86" s="18" t="n"/>
      <c r="CQ86" s="18" t="n"/>
      <c r="CR86" s="18" t="n"/>
      <c r="CS86" s="18" t="n"/>
      <c r="CT86" s="18" t="n"/>
      <c r="CU86" s="18" t="n"/>
      <c r="CV86" s="18" t="n"/>
      <c r="CW86" s="18" t="n"/>
      <c r="CX86" s="18" t="n"/>
      <c r="CY86" s="18" t="n"/>
      <c r="CZ86" s="18" t="n"/>
      <c r="DA86" s="18" t="n"/>
      <c r="DB86" s="18" t="n"/>
      <c r="DC86" s="18" t="n"/>
      <c r="DD86" s="18" t="n"/>
      <c r="DE86" s="18" t="n"/>
      <c r="DF86" s="18" t="n"/>
      <c r="DG86" s="18" t="n"/>
      <c r="DH86" s="18" t="n"/>
      <c r="DI86" s="18" t="n"/>
      <c r="DJ86" s="18" t="n"/>
      <c r="DK86" s="18" t="n"/>
      <c r="DL86" s="18" t="n"/>
      <c r="DM86" s="18" t="n"/>
      <c r="DN86" s="18" t="n"/>
      <c r="DO86" s="18" t="n"/>
      <c r="DP86" s="18" t="n"/>
      <c r="DQ86" s="18" t="n"/>
      <c r="DR86" s="18" t="n"/>
      <c r="DS86" s="18" t="n"/>
      <c r="DT86" s="18" t="n"/>
    </row>
    <row r="87">
      <c r="A87" s="18">
        <f>'Schedule_Data_Option_B'!A88</f>
        <v/>
      </c>
      <c r="B87" s="18">
        <f>'Schedule_Data_Option_B'!B88</f>
        <v/>
      </c>
      <c r="C87" s="18">
        <f>'Schedule_Data_Option_B'!C88</f>
        <v/>
      </c>
      <c r="D87" s="21">
        <f>'Schedule_Data_Option_B'!D88</f>
        <v/>
      </c>
      <c r="E87" s="18" t="n"/>
      <c r="F87" s="18" t="n"/>
      <c r="G87" s="18" t="n"/>
      <c r="H87" s="18" t="n"/>
      <c r="I87" s="18" t="n"/>
      <c r="J87" s="18" t="n"/>
      <c r="K87" s="18" t="n"/>
      <c r="L87" s="18" t="n"/>
      <c r="M87" s="18" t="n"/>
      <c r="N87" s="18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  <c r="Y87" s="18" t="n"/>
      <c r="Z87" s="18" t="n"/>
      <c r="AA87" s="18" t="n"/>
      <c r="AB87" s="18" t="n"/>
      <c r="AC87" s="18" t="n"/>
      <c r="AD87" s="18" t="n"/>
      <c r="AE87" s="18" t="n"/>
      <c r="AF87" s="18" t="n"/>
      <c r="AG87" s="18" t="n"/>
      <c r="AH87" s="18" t="n"/>
      <c r="AI87" s="18" t="n"/>
      <c r="AJ87" s="18" t="n"/>
      <c r="AK87" s="18" t="n"/>
      <c r="AL87" s="18" t="n"/>
      <c r="AM87" s="18" t="n"/>
      <c r="AN87" s="18" t="n"/>
      <c r="AO87" s="18" t="n"/>
      <c r="AP87" s="18" t="n"/>
      <c r="AQ87" s="18" t="n"/>
      <c r="AR87" s="18" t="n"/>
      <c r="AS87" s="18" t="n"/>
      <c r="AT87" s="18" t="n"/>
      <c r="AU87" s="18" t="n"/>
      <c r="AV87" s="18" t="n"/>
      <c r="AW87" s="18" t="n"/>
      <c r="AX87" s="18" t="n"/>
      <c r="AY87" s="18" t="n"/>
      <c r="AZ87" s="18" t="n"/>
      <c r="BA87" s="18" t="n"/>
      <c r="BB87" s="18" t="n"/>
      <c r="BC87" s="18" t="n"/>
      <c r="BD87" s="18" t="n"/>
      <c r="BE87" s="18" t="n"/>
      <c r="BF87" s="18" t="n"/>
      <c r="BG87" s="18" t="n"/>
      <c r="BH87" s="18" t="n"/>
      <c r="BI87" s="18" t="n"/>
      <c r="BJ87" s="18" t="n"/>
      <c r="BK87" s="18" t="n"/>
      <c r="BL87" s="18" t="n"/>
      <c r="BM87" s="18" t="n"/>
      <c r="BN87" s="18" t="n"/>
      <c r="BO87" s="18" t="n"/>
      <c r="BP87" s="18" t="n"/>
      <c r="BQ87" s="18" t="n"/>
      <c r="BR87" s="18" t="n"/>
      <c r="BS87" s="18" t="n"/>
      <c r="BT87" s="18" t="n"/>
      <c r="BU87" s="18" t="n"/>
      <c r="BV87" s="18" t="n"/>
      <c r="BW87" s="18" t="n"/>
      <c r="BX87" s="18" t="n"/>
      <c r="BY87" s="18" t="n"/>
      <c r="BZ87" s="18" t="n"/>
      <c r="CA87" s="18" t="n"/>
      <c r="CB87" s="18" t="n"/>
      <c r="CC87" s="18" t="n"/>
      <c r="CD87" s="18" t="n"/>
      <c r="CE87" s="18" t="n"/>
      <c r="CF87" s="18" t="n"/>
      <c r="CG87" s="18" t="n"/>
      <c r="CH87" s="18" t="n"/>
      <c r="CI87" s="18" t="n"/>
      <c r="CJ87" s="18" t="n"/>
      <c r="CK87" s="18" t="n"/>
      <c r="CL87" s="18" t="n"/>
      <c r="CM87" s="18" t="n"/>
      <c r="CN87" s="18" t="n"/>
      <c r="CO87" s="18" t="n"/>
      <c r="CP87" s="18" t="n"/>
      <c r="CQ87" s="18" t="n"/>
      <c r="CR87" s="18" t="n"/>
      <c r="CS87" s="18" t="n"/>
      <c r="CT87" s="18" t="n"/>
      <c r="CU87" s="18" t="n"/>
      <c r="CV87" s="18" t="n"/>
      <c r="CW87" s="18" t="n"/>
      <c r="CX87" s="18" t="n"/>
      <c r="CY87" s="18" t="n"/>
      <c r="CZ87" s="18" t="n"/>
      <c r="DA87" s="18" t="n"/>
      <c r="DB87" s="18" t="n"/>
      <c r="DC87" s="18" t="n"/>
      <c r="DD87" s="18" t="n"/>
      <c r="DE87" s="18" t="n"/>
      <c r="DF87" s="18" t="n"/>
      <c r="DG87" s="18" t="n"/>
      <c r="DH87" s="18" t="n"/>
      <c r="DI87" s="18" t="n"/>
      <c r="DJ87" s="18" t="n"/>
      <c r="DK87" s="18" t="n"/>
      <c r="DL87" s="18" t="n"/>
      <c r="DM87" s="18" t="n"/>
      <c r="DN87" s="18" t="n"/>
      <c r="DO87" s="18" t="n"/>
      <c r="DP87" s="18" t="n"/>
      <c r="DQ87" s="18" t="n"/>
      <c r="DR87" s="18" t="n"/>
      <c r="DS87" s="18" t="n"/>
      <c r="DT87" s="18" t="n"/>
    </row>
    <row r="88">
      <c r="A88" s="18">
        <f>'Schedule_Data_Option_B'!A89</f>
        <v/>
      </c>
      <c r="B88" s="18">
        <f>'Schedule_Data_Option_B'!B89</f>
        <v/>
      </c>
      <c r="C88" s="18">
        <f>'Schedule_Data_Option_B'!C89</f>
        <v/>
      </c>
      <c r="D88" s="23">
        <f>'Schedule_Data_Option_B'!D89</f>
        <v/>
      </c>
      <c r="E88" s="18" t="n"/>
      <c r="F88" s="18" t="n"/>
      <c r="G88" s="18" t="n"/>
      <c r="H88" s="18" t="n"/>
      <c r="I88" s="18" t="n"/>
      <c r="J88" s="18" t="n"/>
      <c r="K88" s="18" t="n"/>
      <c r="L88" s="18" t="n"/>
      <c r="M88" s="18" t="n"/>
      <c r="N88" s="18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  <c r="Y88" s="18" t="n"/>
      <c r="Z88" s="18" t="n"/>
      <c r="AA88" s="18" t="n"/>
      <c r="AB88" s="18" t="n"/>
      <c r="AC88" s="18" t="n"/>
      <c r="AD88" s="18" t="n"/>
      <c r="AE88" s="18" t="n"/>
      <c r="AF88" s="18" t="n"/>
      <c r="AG88" s="18" t="n"/>
      <c r="AH88" s="18" t="n"/>
      <c r="AI88" s="18" t="n"/>
      <c r="AJ88" s="18" t="n"/>
      <c r="AK88" s="18" t="n"/>
      <c r="AL88" s="18" t="n"/>
      <c r="AM88" s="18" t="n"/>
      <c r="AN88" s="18" t="n"/>
      <c r="AO88" s="18" t="n"/>
      <c r="AP88" s="18" t="n"/>
      <c r="AQ88" s="18" t="n"/>
      <c r="AR88" s="18" t="n"/>
      <c r="AS88" s="18" t="n"/>
      <c r="AT88" s="18" t="n"/>
      <c r="AU88" s="18" t="n"/>
      <c r="AV88" s="18" t="n"/>
      <c r="AW88" s="18" t="n"/>
      <c r="AX88" s="18" t="n"/>
      <c r="AY88" s="18" t="n"/>
      <c r="AZ88" s="18" t="n"/>
      <c r="BA88" s="18" t="n"/>
      <c r="BB88" s="18" t="n"/>
      <c r="BC88" s="18" t="n"/>
      <c r="BD88" s="18" t="n"/>
      <c r="BE88" s="18" t="n"/>
      <c r="BF88" s="18" t="n"/>
      <c r="BG88" s="18" t="n"/>
      <c r="BH88" s="18" t="n"/>
      <c r="BI88" s="18" t="n"/>
      <c r="BJ88" s="18" t="n"/>
      <c r="BK88" s="18" t="n"/>
      <c r="BL88" s="18" t="n"/>
      <c r="BM88" s="18" t="n"/>
      <c r="BN88" s="18" t="n"/>
      <c r="BO88" s="18" t="n"/>
      <c r="BP88" s="18" t="n"/>
      <c r="BQ88" s="18" t="n"/>
      <c r="BR88" s="18" t="n"/>
      <c r="BS88" s="18" t="n"/>
      <c r="BT88" s="18" t="n"/>
      <c r="BU88" s="18" t="n"/>
      <c r="BV88" s="18" t="n"/>
      <c r="BW88" s="18" t="n"/>
      <c r="BX88" s="18" t="n"/>
      <c r="BY88" s="18" t="n"/>
      <c r="BZ88" s="18" t="n"/>
      <c r="CA88" s="18" t="n"/>
      <c r="CB88" s="18" t="n"/>
      <c r="CC88" s="18" t="n"/>
      <c r="CD88" s="18" t="n"/>
      <c r="CE88" s="18" t="n"/>
      <c r="CF88" s="18" t="n"/>
      <c r="CG88" s="18" t="n"/>
      <c r="CH88" s="18" t="n"/>
      <c r="CI88" s="18" t="n"/>
      <c r="CJ88" s="18" t="n"/>
      <c r="CK88" s="18" t="n"/>
      <c r="CL88" s="18" t="n"/>
      <c r="CM88" s="18" t="n"/>
      <c r="CN88" s="18" t="n"/>
      <c r="CO88" s="18" t="n"/>
      <c r="CP88" s="18" t="n"/>
      <c r="CQ88" s="18" t="n"/>
      <c r="CR88" s="18" t="n"/>
      <c r="CS88" s="18" t="n"/>
      <c r="CT88" s="18" t="n"/>
      <c r="CU88" s="18" t="n"/>
      <c r="CV88" s="18" t="n"/>
      <c r="CW88" s="18" t="n"/>
      <c r="CX88" s="18" t="n"/>
      <c r="CY88" s="18" t="n"/>
      <c r="CZ88" s="18" t="n"/>
      <c r="DA88" s="18" t="n"/>
      <c r="DB88" s="18" t="n"/>
      <c r="DC88" s="18" t="n"/>
      <c r="DD88" s="18" t="n"/>
      <c r="DE88" s="18" t="n"/>
      <c r="DF88" s="18" t="n"/>
      <c r="DG88" s="18" t="n"/>
      <c r="DH88" s="18" t="n"/>
      <c r="DI88" s="18" t="n"/>
      <c r="DJ88" s="18" t="n"/>
      <c r="DK88" s="18" t="n"/>
      <c r="DL88" s="18" t="n"/>
      <c r="DM88" s="18" t="n"/>
      <c r="DN88" s="18" t="n"/>
      <c r="DO88" s="18" t="n"/>
      <c r="DP88" s="18" t="n"/>
      <c r="DQ88" s="18" t="n"/>
      <c r="DR88" s="18" t="n"/>
      <c r="DS88" s="18" t="n"/>
      <c r="DT88" s="18" t="n"/>
    </row>
    <row r="89">
      <c r="A89" s="18">
        <f>'Schedule_Data_Option_B'!A90</f>
        <v/>
      </c>
      <c r="B89" s="18">
        <f>'Schedule_Data_Option_B'!B90</f>
        <v/>
      </c>
      <c r="C89" s="18">
        <f>'Schedule_Data_Option_B'!C90</f>
        <v/>
      </c>
      <c r="D89" s="24">
        <f>'Schedule_Data_Option_B'!D90</f>
        <v/>
      </c>
      <c r="E89" s="18" t="n"/>
      <c r="F89" s="18" t="n"/>
      <c r="G89" s="18" t="n"/>
      <c r="H89" s="18" t="n"/>
      <c r="I89" s="18" t="n"/>
      <c r="J89" s="18" t="n"/>
      <c r="K89" s="18" t="n"/>
      <c r="L89" s="18" t="n"/>
      <c r="M89" s="18" t="n"/>
      <c r="N89" s="18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  <c r="Y89" s="18" t="n"/>
      <c r="Z89" s="18" t="n"/>
      <c r="AA89" s="18" t="n"/>
      <c r="AB89" s="18" t="n"/>
      <c r="AC89" s="18" t="n"/>
      <c r="AD89" s="18" t="n"/>
      <c r="AE89" s="18" t="n"/>
      <c r="AF89" s="18" t="n"/>
      <c r="AG89" s="18" t="n"/>
      <c r="AH89" s="18" t="n"/>
      <c r="AI89" s="18" t="n"/>
      <c r="AJ89" s="18" t="n"/>
      <c r="AK89" s="18" t="n"/>
      <c r="AL89" s="18" t="n"/>
      <c r="AM89" s="18" t="n"/>
      <c r="AN89" s="18" t="n"/>
      <c r="AO89" s="24" t="n"/>
      <c r="AP89" s="18" t="n"/>
      <c r="AQ89" s="18" t="n"/>
      <c r="AR89" s="18" t="n"/>
      <c r="AS89" s="18" t="n"/>
      <c r="AT89" s="18" t="n"/>
      <c r="AU89" s="18" t="n"/>
      <c r="AV89" s="18" t="n"/>
      <c r="AW89" s="18" t="n"/>
      <c r="AX89" s="18" t="n"/>
      <c r="AY89" s="18" t="n"/>
      <c r="AZ89" s="18" t="n"/>
      <c r="BA89" s="18" t="n"/>
      <c r="BB89" s="18" t="n"/>
      <c r="BC89" s="18" t="n"/>
      <c r="BD89" s="18" t="n"/>
      <c r="BE89" s="18" t="n"/>
      <c r="BF89" s="18" t="n"/>
      <c r="BG89" s="18" t="n"/>
      <c r="BH89" s="18" t="n"/>
      <c r="BI89" s="18" t="n"/>
      <c r="BJ89" s="18" t="n"/>
      <c r="BK89" s="18" t="n"/>
      <c r="BL89" s="18" t="n"/>
      <c r="BM89" s="18" t="n"/>
      <c r="BN89" s="18" t="n"/>
      <c r="BO89" s="18" t="n"/>
      <c r="BP89" s="18" t="n"/>
      <c r="BQ89" s="18" t="n"/>
      <c r="BR89" s="18" t="n"/>
      <c r="BS89" s="18" t="n"/>
      <c r="BT89" s="18" t="n"/>
      <c r="BU89" s="18" t="n"/>
      <c r="BV89" s="18" t="n"/>
      <c r="BW89" s="18" t="n"/>
      <c r="BX89" s="18" t="n"/>
      <c r="BY89" s="18" t="n"/>
      <c r="BZ89" s="18" t="n"/>
      <c r="CA89" s="18" t="n"/>
      <c r="CB89" s="18" t="n"/>
      <c r="CC89" s="18" t="n"/>
      <c r="CD89" s="18" t="n"/>
      <c r="CE89" s="18" t="n"/>
      <c r="CF89" s="18" t="n"/>
      <c r="CG89" s="18" t="n"/>
      <c r="CH89" s="18" t="n"/>
      <c r="CI89" s="18" t="n"/>
      <c r="CJ89" s="18" t="n"/>
      <c r="CK89" s="18" t="n"/>
      <c r="CL89" s="18" t="n"/>
      <c r="CM89" s="18" t="n"/>
      <c r="CN89" s="18" t="n"/>
      <c r="CO89" s="18" t="n"/>
      <c r="CP89" s="18" t="n"/>
      <c r="CQ89" s="18" t="n"/>
      <c r="CR89" s="18" t="n"/>
      <c r="CS89" s="18" t="n"/>
      <c r="CT89" s="18" t="n"/>
      <c r="CU89" s="18" t="n"/>
      <c r="CV89" s="18" t="n"/>
      <c r="CW89" s="18" t="n"/>
      <c r="CX89" s="18" t="n"/>
      <c r="CY89" s="18" t="n"/>
      <c r="CZ89" s="18" t="n"/>
      <c r="DA89" s="18" t="n"/>
      <c r="DB89" s="18" t="n"/>
      <c r="DC89" s="18" t="n"/>
      <c r="DD89" s="18" t="n"/>
      <c r="DE89" s="18" t="n"/>
      <c r="DF89" s="18" t="n"/>
      <c r="DG89" s="18" t="n"/>
      <c r="DH89" s="18" t="n"/>
      <c r="DI89" s="18" t="n"/>
      <c r="DJ89" s="18" t="n"/>
      <c r="DK89" s="18" t="n"/>
      <c r="DL89" s="18" t="n"/>
      <c r="DM89" s="18" t="n"/>
      <c r="DN89" s="18" t="n"/>
      <c r="DO89" s="18" t="n"/>
      <c r="DP89" s="18" t="n"/>
      <c r="DQ89" s="18" t="n"/>
      <c r="DR89" s="18" t="n"/>
      <c r="DS89" s="18" t="n"/>
      <c r="DT89" s="18" t="n"/>
    </row>
    <row r="90">
      <c r="A90" s="18">
        <f>'Schedule_Data_Option_B'!A91</f>
        <v/>
      </c>
      <c r="B90" s="18">
        <f>'Schedule_Data_Option_B'!B91</f>
        <v/>
      </c>
      <c r="C90" s="18">
        <f>'Schedule_Data_Option_B'!C91</f>
        <v/>
      </c>
      <c r="D90" s="21">
        <f>'Schedule_Data_Option_B'!D91</f>
        <v/>
      </c>
      <c r="E90" s="18" t="n"/>
      <c r="F90" s="18" t="n"/>
      <c r="G90" s="18" t="n"/>
      <c r="H90" s="18" t="n"/>
      <c r="I90" s="18" t="n"/>
      <c r="J90" s="18" t="n"/>
      <c r="K90" s="18" t="n"/>
      <c r="L90" s="18" t="n"/>
      <c r="M90" s="18" t="n"/>
      <c r="N90" s="18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  <c r="Y90" s="18" t="n"/>
      <c r="Z90" s="18" t="n"/>
      <c r="AA90" s="18" t="n"/>
      <c r="AB90" s="18" t="n"/>
      <c r="AC90" s="18" t="n"/>
      <c r="AD90" s="18" t="n"/>
      <c r="AE90" s="18" t="n"/>
      <c r="AF90" s="18" t="n"/>
      <c r="AG90" s="18" t="n"/>
      <c r="AH90" s="18" t="n"/>
      <c r="AI90" s="18" t="n"/>
      <c r="AJ90" s="18" t="n"/>
      <c r="AK90" s="18" t="n"/>
      <c r="AL90" s="18" t="n"/>
      <c r="AM90" s="18" t="n"/>
      <c r="AN90" s="18" t="n"/>
      <c r="AO90" s="18" t="n"/>
      <c r="AP90" s="18" t="n"/>
      <c r="AQ90" s="18" t="n"/>
      <c r="AR90" s="18" t="n"/>
      <c r="AS90" s="18" t="n"/>
      <c r="AT90" s="18" t="n"/>
      <c r="AU90" s="18" t="n"/>
      <c r="AV90" s="18" t="n"/>
      <c r="AW90" s="18" t="n"/>
      <c r="AX90" s="18" t="n"/>
      <c r="AY90" s="18" t="n"/>
      <c r="AZ90" s="18" t="n"/>
      <c r="BA90" s="18" t="n"/>
      <c r="BB90" s="18" t="n"/>
      <c r="BC90" s="18" t="n"/>
      <c r="BD90" s="18" t="n"/>
      <c r="BE90" s="18" t="n"/>
      <c r="BF90" s="18" t="n"/>
      <c r="BG90" s="18" t="n"/>
      <c r="BH90" s="18" t="n"/>
      <c r="BI90" s="18" t="n"/>
      <c r="BJ90" s="18" t="n"/>
      <c r="BK90" s="18" t="n"/>
      <c r="BL90" s="18" t="n"/>
      <c r="BM90" s="18" t="n"/>
      <c r="BN90" s="18" t="n"/>
      <c r="BO90" s="18" t="n"/>
      <c r="BP90" s="18" t="n"/>
      <c r="BQ90" s="18" t="n"/>
      <c r="BR90" s="18" t="n"/>
      <c r="BS90" s="18" t="n"/>
      <c r="BT90" s="18" t="n"/>
      <c r="BU90" s="18" t="n"/>
      <c r="BV90" s="18" t="n"/>
      <c r="BW90" s="18" t="n"/>
      <c r="BX90" s="18" t="n"/>
      <c r="BY90" s="18" t="n"/>
      <c r="BZ90" s="18" t="n"/>
      <c r="CA90" s="18" t="n"/>
      <c r="CB90" s="18" t="n"/>
      <c r="CC90" s="18" t="n"/>
      <c r="CD90" s="18" t="n"/>
      <c r="CE90" s="18" t="n"/>
      <c r="CF90" s="18" t="n"/>
      <c r="CG90" s="18" t="n"/>
      <c r="CH90" s="18" t="n"/>
      <c r="CI90" s="18" t="n"/>
      <c r="CJ90" s="18" t="n"/>
      <c r="CK90" s="18" t="n"/>
      <c r="CL90" s="18" t="n"/>
      <c r="CM90" s="18" t="n"/>
      <c r="CN90" s="18" t="n"/>
      <c r="CO90" s="18" t="n"/>
      <c r="CP90" s="18" t="n"/>
      <c r="CQ90" s="18" t="n"/>
      <c r="CR90" s="18" t="n"/>
      <c r="CS90" s="18" t="n"/>
      <c r="CT90" s="18" t="n"/>
      <c r="CU90" s="18" t="n"/>
      <c r="CV90" s="18" t="n"/>
      <c r="CW90" s="18" t="n"/>
      <c r="CX90" s="18" t="n"/>
      <c r="CY90" s="18" t="n"/>
      <c r="CZ90" s="18" t="n"/>
      <c r="DA90" s="18" t="n"/>
      <c r="DB90" s="18" t="n"/>
      <c r="DC90" s="18" t="n"/>
      <c r="DD90" s="18" t="n"/>
      <c r="DE90" s="18" t="n"/>
      <c r="DF90" s="18" t="n"/>
      <c r="DG90" s="18" t="n"/>
      <c r="DH90" s="18" t="n"/>
      <c r="DI90" s="18" t="n"/>
      <c r="DJ90" s="18" t="n"/>
      <c r="DK90" s="18" t="n"/>
      <c r="DL90" s="18" t="n"/>
      <c r="DM90" s="18" t="n"/>
      <c r="DN90" s="18" t="n"/>
      <c r="DO90" s="18" t="n"/>
      <c r="DP90" s="18" t="n"/>
      <c r="DQ90" s="18" t="n"/>
      <c r="DR90" s="18" t="n"/>
      <c r="DS90" s="18" t="n"/>
      <c r="DT90" s="18" t="n"/>
    </row>
    <row r="91">
      <c r="A91" s="18">
        <f>'Schedule_Data_Option_B'!A92</f>
        <v/>
      </c>
      <c r="B91" s="18">
        <f>'Schedule_Data_Option_B'!B92</f>
        <v/>
      </c>
      <c r="C91" s="18">
        <f>'Schedule_Data_Option_B'!C92</f>
        <v/>
      </c>
      <c r="D91" s="21">
        <f>'Schedule_Data_Option_B'!D92</f>
        <v/>
      </c>
      <c r="E91" s="18" t="n"/>
      <c r="F91" s="18" t="n"/>
      <c r="G91" s="18" t="n"/>
      <c r="H91" s="18" t="n"/>
      <c r="I91" s="18" t="n"/>
      <c r="J91" s="18" t="n"/>
      <c r="K91" s="18" t="n"/>
      <c r="L91" s="18" t="n"/>
      <c r="M91" s="18" t="n"/>
      <c r="N91" s="18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  <c r="Y91" s="18" t="n"/>
      <c r="Z91" s="18" t="n"/>
      <c r="AA91" s="18" t="n"/>
      <c r="AB91" s="18" t="n"/>
      <c r="AC91" s="18" t="n"/>
      <c r="AD91" s="18" t="n"/>
      <c r="AE91" s="18" t="n"/>
      <c r="AF91" s="18" t="n"/>
      <c r="AG91" s="18" t="n"/>
      <c r="AH91" s="18" t="n"/>
      <c r="AI91" s="18" t="n"/>
      <c r="AJ91" s="18" t="n"/>
      <c r="AK91" s="18" t="n"/>
      <c r="AL91" s="18" t="n"/>
      <c r="AM91" s="18" t="n"/>
      <c r="AN91" s="18" t="n"/>
      <c r="AO91" s="18" t="n"/>
      <c r="AP91" s="18" t="n"/>
      <c r="AQ91" s="18" t="n"/>
      <c r="AR91" s="18" t="n"/>
      <c r="AS91" s="18" t="n"/>
      <c r="AT91" s="18" t="n"/>
      <c r="AU91" s="18" t="n"/>
      <c r="AV91" s="18" t="n"/>
      <c r="AW91" s="18" t="n"/>
      <c r="AX91" s="18" t="n"/>
      <c r="AY91" s="18" t="n"/>
      <c r="AZ91" s="18" t="n"/>
      <c r="BA91" s="18" t="n"/>
      <c r="BB91" s="18" t="n"/>
      <c r="BC91" s="18" t="n"/>
      <c r="BD91" s="18" t="n"/>
      <c r="BE91" s="18" t="n"/>
      <c r="BF91" s="18" t="n"/>
      <c r="BG91" s="18" t="n"/>
      <c r="BH91" s="18" t="n"/>
      <c r="BI91" s="18" t="n"/>
      <c r="BJ91" s="18" t="n"/>
      <c r="BK91" s="18" t="n"/>
      <c r="BL91" s="18" t="n"/>
      <c r="BM91" s="18" t="n"/>
      <c r="BN91" s="18" t="n"/>
      <c r="BO91" s="18" t="n"/>
      <c r="BP91" s="18" t="n"/>
      <c r="BQ91" s="18" t="n"/>
      <c r="BR91" s="18" t="n"/>
      <c r="BS91" s="18" t="n"/>
      <c r="BT91" s="18" t="n"/>
      <c r="BU91" s="18" t="n"/>
      <c r="BV91" s="18" t="n"/>
      <c r="BW91" s="18" t="n"/>
      <c r="BX91" s="18" t="n"/>
      <c r="BY91" s="18" t="n"/>
      <c r="BZ91" s="18" t="n"/>
      <c r="CA91" s="18" t="n"/>
      <c r="CB91" s="18" t="n"/>
      <c r="CC91" s="18" t="n"/>
      <c r="CD91" s="18" t="n"/>
      <c r="CE91" s="18" t="n"/>
      <c r="CF91" s="18" t="n"/>
      <c r="CG91" s="18" t="n"/>
      <c r="CH91" s="18" t="n"/>
      <c r="CI91" s="18" t="n"/>
      <c r="CJ91" s="18" t="n"/>
      <c r="CK91" s="18" t="n"/>
      <c r="CL91" s="18" t="n"/>
      <c r="CM91" s="18" t="n"/>
      <c r="CN91" s="18" t="n"/>
      <c r="CO91" s="18" t="n"/>
      <c r="CP91" s="18" t="n"/>
      <c r="CQ91" s="18" t="n"/>
      <c r="CR91" s="18" t="n"/>
      <c r="CS91" s="18" t="n"/>
      <c r="CT91" s="18" t="n"/>
      <c r="CU91" s="18" t="n"/>
      <c r="CV91" s="18" t="n"/>
      <c r="CW91" s="18" t="n"/>
      <c r="CX91" s="18" t="n"/>
      <c r="CY91" s="18" t="n"/>
      <c r="CZ91" s="18" t="n"/>
      <c r="DA91" s="18" t="n"/>
      <c r="DB91" s="18" t="n"/>
      <c r="DC91" s="18" t="n"/>
      <c r="DD91" s="18" t="n"/>
      <c r="DE91" s="18" t="n"/>
      <c r="DF91" s="18" t="n"/>
      <c r="DG91" s="18" t="n"/>
      <c r="DH91" s="18" t="n"/>
      <c r="DI91" s="18" t="n"/>
      <c r="DJ91" s="18" t="n"/>
      <c r="DK91" s="18" t="n"/>
      <c r="DL91" s="18" t="n"/>
      <c r="DM91" s="18" t="n"/>
      <c r="DN91" s="18" t="n"/>
      <c r="DO91" s="18" t="n"/>
      <c r="DP91" s="18" t="n"/>
      <c r="DQ91" s="18" t="n"/>
      <c r="DR91" s="18" t="n"/>
      <c r="DS91" s="18" t="n"/>
      <c r="DT91" s="18" t="n"/>
    </row>
    <row r="92">
      <c r="A92" s="18">
        <f>'Schedule_Data_Option_B'!A93</f>
        <v/>
      </c>
      <c r="B92" s="18">
        <f>'Schedule_Data_Option_B'!B93</f>
        <v/>
      </c>
      <c r="C92" s="18">
        <f>'Schedule_Data_Option_B'!C93</f>
        <v/>
      </c>
      <c r="D92" s="21">
        <f>'Schedule_Data_Option_B'!D93</f>
        <v/>
      </c>
      <c r="E92" s="18" t="n"/>
      <c r="F92" s="18" t="n"/>
      <c r="G92" s="18" t="n"/>
      <c r="H92" s="18" t="n"/>
      <c r="I92" s="18" t="n"/>
      <c r="J92" s="18" t="n"/>
      <c r="K92" s="18" t="n"/>
      <c r="L92" s="18" t="n"/>
      <c r="M92" s="18" t="n"/>
      <c r="N92" s="18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  <c r="Y92" s="18" t="n"/>
      <c r="Z92" s="18" t="n"/>
      <c r="AA92" s="18" t="n"/>
      <c r="AB92" s="18" t="n"/>
      <c r="AC92" s="18" t="n"/>
      <c r="AD92" s="18" t="n"/>
      <c r="AE92" s="18" t="n"/>
      <c r="AF92" s="18" t="n"/>
      <c r="AG92" s="18" t="n"/>
      <c r="AH92" s="18" t="n"/>
      <c r="AI92" s="18" t="n"/>
      <c r="AJ92" s="18" t="n"/>
      <c r="AK92" s="18" t="n"/>
      <c r="AL92" s="18" t="n"/>
      <c r="AM92" s="18" t="n"/>
      <c r="AN92" s="18" t="n"/>
      <c r="AO92" s="18" t="n"/>
      <c r="AP92" s="18" t="n"/>
      <c r="AQ92" s="18" t="n"/>
      <c r="AR92" s="18" t="n"/>
      <c r="AS92" s="18" t="n"/>
      <c r="AT92" s="18" t="n"/>
      <c r="AU92" s="18" t="n"/>
      <c r="AV92" s="18" t="n"/>
      <c r="AW92" s="18" t="n"/>
      <c r="AX92" s="18" t="n"/>
      <c r="AY92" s="18" t="n"/>
      <c r="AZ92" s="18" t="n"/>
      <c r="BA92" s="18" t="n"/>
      <c r="BB92" s="18" t="n"/>
      <c r="BC92" s="18" t="n"/>
      <c r="BD92" s="18" t="n"/>
      <c r="BE92" s="18" t="n"/>
      <c r="BF92" s="18" t="n"/>
      <c r="BG92" s="18" t="n"/>
      <c r="BH92" s="18" t="n"/>
      <c r="BI92" s="18" t="n"/>
      <c r="BJ92" s="18" t="n"/>
      <c r="BK92" s="18" t="n"/>
      <c r="BL92" s="18" t="n"/>
      <c r="BM92" s="18" t="n"/>
      <c r="BN92" s="18" t="n"/>
      <c r="BO92" s="18" t="n"/>
      <c r="BP92" s="18" t="n"/>
      <c r="BQ92" s="18" t="n"/>
      <c r="BR92" s="18" t="n"/>
      <c r="BS92" s="18" t="n"/>
      <c r="BT92" s="18" t="n"/>
      <c r="BU92" s="18" t="n"/>
      <c r="BV92" s="18" t="n"/>
      <c r="BW92" s="18" t="n"/>
      <c r="BX92" s="18" t="n"/>
      <c r="BY92" s="18" t="n"/>
      <c r="BZ92" s="18" t="n"/>
      <c r="CA92" s="18" t="n"/>
      <c r="CB92" s="18" t="n"/>
      <c r="CC92" s="18" t="n"/>
      <c r="CD92" s="18" t="n"/>
      <c r="CE92" s="18" t="n"/>
      <c r="CF92" s="18" t="n"/>
      <c r="CG92" s="18" t="n"/>
      <c r="CH92" s="18" t="n"/>
      <c r="CI92" s="18" t="n"/>
      <c r="CJ92" s="18" t="n"/>
      <c r="CK92" s="18" t="n"/>
      <c r="CL92" s="18" t="n"/>
      <c r="CM92" s="18" t="n"/>
      <c r="CN92" s="18" t="n"/>
      <c r="CO92" s="18" t="n"/>
      <c r="CP92" s="18" t="n"/>
      <c r="CQ92" s="18" t="n"/>
      <c r="CR92" s="18" t="n"/>
      <c r="CS92" s="18" t="n"/>
      <c r="CT92" s="18" t="n"/>
      <c r="CU92" s="18" t="n"/>
      <c r="CV92" s="18" t="n"/>
      <c r="CW92" s="18" t="n"/>
      <c r="CX92" s="18" t="n"/>
      <c r="CY92" s="18" t="n"/>
      <c r="CZ92" s="18" t="n"/>
      <c r="DA92" s="18" t="n"/>
      <c r="DB92" s="18" t="n"/>
      <c r="DC92" s="18" t="n"/>
      <c r="DD92" s="18" t="n"/>
      <c r="DE92" s="18" t="n"/>
      <c r="DF92" s="18" t="n"/>
      <c r="DG92" s="18" t="n"/>
      <c r="DH92" s="18" t="n"/>
      <c r="DI92" s="18" t="n"/>
      <c r="DJ92" s="18" t="n"/>
      <c r="DK92" s="18" t="n"/>
      <c r="DL92" s="18" t="n"/>
      <c r="DM92" s="18" t="n"/>
      <c r="DN92" s="18" t="n"/>
      <c r="DO92" s="18" t="n"/>
      <c r="DP92" s="18" t="n"/>
      <c r="DQ92" s="18" t="n"/>
      <c r="DR92" s="18" t="n"/>
      <c r="DS92" s="18" t="n"/>
      <c r="DT92" s="18" t="n"/>
    </row>
    <row r="93">
      <c r="A93" s="18">
        <f>'Schedule_Data_Option_B'!A94</f>
        <v/>
      </c>
      <c r="B93" s="18">
        <f>'Schedule_Data_Option_B'!B94</f>
        <v/>
      </c>
      <c r="C93" s="18">
        <f>'Schedule_Data_Option_B'!C94</f>
        <v/>
      </c>
      <c r="D93" s="21">
        <f>'Schedule_Data_Option_B'!D94</f>
        <v/>
      </c>
      <c r="E93" s="18" t="n"/>
      <c r="F93" s="18" t="n"/>
      <c r="G93" s="18" t="n"/>
      <c r="H93" s="18" t="n"/>
      <c r="I93" s="18" t="n"/>
      <c r="J93" s="18" t="n"/>
      <c r="K93" s="18" t="n"/>
      <c r="L93" s="18" t="n"/>
      <c r="M93" s="18" t="n"/>
      <c r="N93" s="18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  <c r="Y93" s="18" t="n"/>
      <c r="Z93" s="18" t="n"/>
      <c r="AA93" s="18" t="n"/>
      <c r="AB93" s="18" t="n"/>
      <c r="AC93" s="18" t="n"/>
      <c r="AD93" s="18" t="n"/>
      <c r="AE93" s="18" t="n"/>
      <c r="AF93" s="18" t="n"/>
      <c r="AG93" s="18" t="n"/>
      <c r="AH93" s="18" t="n"/>
      <c r="AI93" s="18" t="n"/>
      <c r="AJ93" s="18" t="n"/>
      <c r="AK93" s="18" t="n"/>
      <c r="AL93" s="18" t="n"/>
      <c r="AM93" s="18" t="n"/>
      <c r="AN93" s="18" t="n"/>
      <c r="AO93" s="18" t="n"/>
      <c r="AP93" s="18" t="n"/>
      <c r="AQ93" s="18" t="n"/>
      <c r="AR93" s="18" t="n"/>
      <c r="AS93" s="18" t="n"/>
      <c r="AT93" s="18" t="n"/>
      <c r="AU93" s="18" t="n"/>
      <c r="AV93" s="18" t="n"/>
      <c r="AW93" s="18" t="n"/>
      <c r="AX93" s="18" t="n"/>
      <c r="AY93" s="18" t="n"/>
      <c r="AZ93" s="18" t="n"/>
      <c r="BA93" s="18" t="n"/>
      <c r="BB93" s="18" t="n"/>
      <c r="BC93" s="18" t="n"/>
      <c r="BD93" s="18" t="n"/>
      <c r="BE93" s="18" t="n"/>
      <c r="BF93" s="18" t="n"/>
      <c r="BG93" s="18" t="n"/>
      <c r="BH93" s="18" t="n"/>
      <c r="BI93" s="18" t="n"/>
      <c r="BJ93" s="18" t="n"/>
      <c r="BK93" s="18" t="n"/>
      <c r="BL93" s="18" t="n"/>
      <c r="BM93" s="18" t="n"/>
      <c r="BN93" s="18" t="n"/>
      <c r="BO93" s="18" t="n"/>
      <c r="BP93" s="18" t="n"/>
      <c r="BQ93" s="18" t="n"/>
      <c r="BR93" s="18" t="n"/>
      <c r="BS93" s="18" t="n"/>
      <c r="BT93" s="18" t="n"/>
      <c r="BU93" s="18" t="n"/>
      <c r="BV93" s="18" t="n"/>
      <c r="BW93" s="18" t="n"/>
      <c r="BX93" s="18" t="n"/>
      <c r="BY93" s="18" t="n"/>
      <c r="BZ93" s="18" t="n"/>
      <c r="CA93" s="18" t="n"/>
      <c r="CB93" s="18" t="n"/>
      <c r="CC93" s="18" t="n"/>
      <c r="CD93" s="18" t="n"/>
      <c r="CE93" s="18" t="n"/>
      <c r="CF93" s="18" t="n"/>
      <c r="CG93" s="18" t="n"/>
      <c r="CH93" s="18" t="n"/>
      <c r="CI93" s="18" t="n"/>
      <c r="CJ93" s="18" t="n"/>
      <c r="CK93" s="18" t="n"/>
      <c r="CL93" s="18" t="n"/>
      <c r="CM93" s="18" t="n"/>
      <c r="CN93" s="18" t="n"/>
      <c r="CO93" s="18" t="n"/>
      <c r="CP93" s="18" t="n"/>
      <c r="CQ93" s="18" t="n"/>
      <c r="CR93" s="18" t="n"/>
      <c r="CS93" s="18" t="n"/>
      <c r="CT93" s="18" t="n"/>
      <c r="CU93" s="18" t="n"/>
      <c r="CV93" s="18" t="n"/>
      <c r="CW93" s="18" t="n"/>
      <c r="CX93" s="18" t="n"/>
      <c r="CY93" s="18" t="n"/>
      <c r="CZ93" s="18" t="n"/>
      <c r="DA93" s="18" t="n"/>
      <c r="DB93" s="18" t="n"/>
      <c r="DC93" s="18" t="n"/>
      <c r="DD93" s="18" t="n"/>
      <c r="DE93" s="18" t="n"/>
      <c r="DF93" s="18" t="n"/>
      <c r="DG93" s="18" t="n"/>
      <c r="DH93" s="18" t="n"/>
      <c r="DI93" s="18" t="n"/>
      <c r="DJ93" s="18" t="n"/>
      <c r="DK93" s="18" t="n"/>
      <c r="DL93" s="18" t="n"/>
      <c r="DM93" s="18" t="n"/>
      <c r="DN93" s="18" t="n"/>
      <c r="DO93" s="18" t="n"/>
      <c r="DP93" s="18" t="n"/>
      <c r="DQ93" s="18" t="n"/>
      <c r="DR93" s="18" t="n"/>
      <c r="DS93" s="18" t="n"/>
      <c r="DT93" s="18" t="n"/>
    </row>
    <row r="94">
      <c r="A94" s="18">
        <f>'Schedule_Data_Option_B'!A95</f>
        <v/>
      </c>
      <c r="B94" s="18">
        <f>'Schedule_Data_Option_B'!B95</f>
        <v/>
      </c>
      <c r="C94" s="18">
        <f>'Schedule_Data_Option_B'!C95</f>
        <v/>
      </c>
      <c r="D94" s="23">
        <f>'Schedule_Data_Option_B'!D95</f>
        <v/>
      </c>
      <c r="E94" s="18" t="n"/>
      <c r="F94" s="18" t="n"/>
      <c r="G94" s="18" t="n"/>
      <c r="H94" s="18" t="n"/>
      <c r="I94" s="18" t="n"/>
      <c r="J94" s="18" t="n"/>
      <c r="K94" s="18" t="n"/>
      <c r="L94" s="18" t="n"/>
      <c r="M94" s="18" t="n"/>
      <c r="N94" s="18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  <c r="Y94" s="18" t="n"/>
      <c r="Z94" s="18" t="n"/>
      <c r="AA94" s="18" t="n"/>
      <c r="AB94" s="18" t="n"/>
      <c r="AC94" s="18" t="n"/>
      <c r="AD94" s="18" t="n"/>
      <c r="AE94" s="18" t="n"/>
      <c r="AF94" s="18" t="n"/>
      <c r="AG94" s="18" t="n"/>
      <c r="AH94" s="18" t="n"/>
      <c r="AI94" s="18" t="n"/>
      <c r="AJ94" s="18" t="n"/>
      <c r="AK94" s="18" t="n"/>
      <c r="AL94" s="18" t="n"/>
      <c r="AM94" s="18" t="n"/>
      <c r="AN94" s="18" t="n"/>
      <c r="AO94" s="18" t="n"/>
      <c r="AP94" s="18" t="n"/>
      <c r="AQ94" s="18" t="n"/>
      <c r="AR94" s="18" t="n"/>
      <c r="AS94" s="18" t="n"/>
      <c r="AT94" s="18" t="n"/>
      <c r="AU94" s="18" t="n"/>
      <c r="AV94" s="18" t="n"/>
      <c r="AW94" s="18" t="n"/>
      <c r="AX94" s="18" t="n"/>
      <c r="AY94" s="18" t="n"/>
      <c r="AZ94" s="18" t="n"/>
      <c r="BA94" s="18" t="n"/>
      <c r="BB94" s="18" t="n"/>
      <c r="BC94" s="18" t="n"/>
      <c r="BD94" s="18" t="n"/>
      <c r="BE94" s="18" t="n"/>
      <c r="BF94" s="18" t="n"/>
      <c r="BG94" s="18" t="n"/>
      <c r="BH94" s="18" t="n"/>
      <c r="BI94" s="18" t="n"/>
      <c r="BJ94" s="18" t="n"/>
      <c r="BK94" s="18" t="n"/>
      <c r="BL94" s="18" t="n"/>
      <c r="BM94" s="18" t="n"/>
      <c r="BN94" s="18" t="n"/>
      <c r="BO94" s="18" t="n"/>
      <c r="BP94" s="18" t="n"/>
      <c r="BQ94" s="18" t="n"/>
      <c r="BR94" s="18" t="n"/>
      <c r="BS94" s="18" t="n"/>
      <c r="BT94" s="18" t="n"/>
      <c r="BU94" s="18" t="n"/>
      <c r="BV94" s="18" t="n"/>
      <c r="BW94" s="18" t="n"/>
      <c r="BX94" s="18" t="n"/>
      <c r="BY94" s="18" t="n"/>
      <c r="BZ94" s="18" t="n"/>
      <c r="CA94" s="18" t="n"/>
      <c r="CB94" s="18" t="n"/>
      <c r="CC94" s="18" t="n"/>
      <c r="CD94" s="18" t="n"/>
      <c r="CE94" s="18" t="n"/>
      <c r="CF94" s="18" t="n"/>
      <c r="CG94" s="18" t="n"/>
      <c r="CH94" s="18" t="n"/>
      <c r="CI94" s="18" t="n"/>
      <c r="CJ94" s="18" t="n"/>
      <c r="CK94" s="18" t="n"/>
      <c r="CL94" s="18" t="n"/>
      <c r="CM94" s="18" t="n"/>
      <c r="CN94" s="18" t="n"/>
      <c r="CO94" s="18" t="n"/>
      <c r="CP94" s="18" t="n"/>
      <c r="CQ94" s="18" t="n"/>
      <c r="CR94" s="18" t="n"/>
      <c r="CS94" s="18" t="n"/>
      <c r="CT94" s="18" t="n"/>
      <c r="CU94" s="18" t="n"/>
      <c r="CV94" s="18" t="n"/>
      <c r="CW94" s="18" t="n"/>
      <c r="CX94" s="18" t="n"/>
      <c r="CY94" s="18" t="n"/>
      <c r="CZ94" s="18" t="n"/>
      <c r="DA94" s="18" t="n"/>
      <c r="DB94" s="18" t="n"/>
      <c r="DC94" s="18" t="n"/>
      <c r="DD94" s="18" t="n"/>
      <c r="DE94" s="18" t="n"/>
      <c r="DF94" s="18" t="n"/>
      <c r="DG94" s="18" t="n"/>
      <c r="DH94" s="18" t="n"/>
      <c r="DI94" s="18" t="n"/>
      <c r="DJ94" s="18" t="n"/>
      <c r="DK94" s="18" t="n"/>
      <c r="DL94" s="18" t="n"/>
      <c r="DM94" s="18" t="n"/>
      <c r="DN94" s="18" t="n"/>
      <c r="DO94" s="18" t="n"/>
      <c r="DP94" s="18" t="n"/>
      <c r="DQ94" s="18" t="n"/>
      <c r="DR94" s="18" t="n"/>
      <c r="DS94" s="18" t="n"/>
      <c r="DT94" s="18" t="n"/>
    </row>
    <row r="95">
      <c r="A95" s="18">
        <f>'Schedule_Data_Option_B'!A96</f>
        <v/>
      </c>
      <c r="B95" s="18">
        <f>'Schedule_Data_Option_B'!B96</f>
        <v/>
      </c>
      <c r="C95" s="18">
        <f>'Schedule_Data_Option_B'!C96</f>
        <v/>
      </c>
      <c r="D95" s="24">
        <f>'Schedule_Data_Option_B'!D96</f>
        <v/>
      </c>
      <c r="E95" s="18" t="n"/>
      <c r="F95" s="18" t="n"/>
      <c r="G95" s="18" t="n"/>
      <c r="H95" s="18" t="n"/>
      <c r="I95" s="18" t="n"/>
      <c r="J95" s="18" t="n"/>
      <c r="K95" s="18" t="n"/>
      <c r="L95" s="18" t="n"/>
      <c r="M95" s="18" t="n"/>
      <c r="N95" s="18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  <c r="Y95" s="18" t="n"/>
      <c r="Z95" s="18" t="n"/>
      <c r="AA95" s="18" t="n"/>
      <c r="AB95" s="18" t="n"/>
      <c r="AC95" s="18" t="n"/>
      <c r="AD95" s="18" t="n"/>
      <c r="AE95" s="18" t="n"/>
      <c r="AF95" s="18" t="n"/>
      <c r="AG95" s="18" t="n"/>
      <c r="AH95" s="18" t="n"/>
      <c r="AI95" s="18" t="n"/>
      <c r="AJ95" s="18" t="n"/>
      <c r="AK95" s="18" t="n"/>
      <c r="AL95" s="18" t="n"/>
      <c r="AM95" s="18" t="n"/>
      <c r="AN95" s="18" t="n"/>
      <c r="AO95" s="18" t="n"/>
      <c r="AP95" s="24" t="n"/>
      <c r="AQ95" s="18" t="n"/>
      <c r="AR95" s="18" t="n"/>
      <c r="AS95" s="18" t="n"/>
      <c r="AT95" s="18" t="n"/>
      <c r="AU95" s="18" t="n"/>
      <c r="AV95" s="18" t="n"/>
      <c r="AW95" s="18" t="n"/>
      <c r="AX95" s="18" t="n"/>
      <c r="AY95" s="18" t="n"/>
      <c r="AZ95" s="18" t="n"/>
      <c r="BA95" s="18" t="n"/>
      <c r="BB95" s="18" t="n"/>
      <c r="BC95" s="18" t="n"/>
      <c r="BD95" s="18" t="n"/>
      <c r="BE95" s="18" t="n"/>
      <c r="BF95" s="18" t="n"/>
      <c r="BG95" s="18" t="n"/>
      <c r="BH95" s="18" t="n"/>
      <c r="BI95" s="18" t="n"/>
      <c r="BJ95" s="18" t="n"/>
      <c r="BK95" s="18" t="n"/>
      <c r="BL95" s="18" t="n"/>
      <c r="BM95" s="18" t="n"/>
      <c r="BN95" s="18" t="n"/>
      <c r="BO95" s="18" t="n"/>
      <c r="BP95" s="18" t="n"/>
      <c r="BQ95" s="18" t="n"/>
      <c r="BR95" s="18" t="n"/>
      <c r="BS95" s="18" t="n"/>
      <c r="BT95" s="18" t="n"/>
      <c r="BU95" s="18" t="n"/>
      <c r="BV95" s="18" t="n"/>
      <c r="BW95" s="18" t="n"/>
      <c r="BX95" s="18" t="n"/>
      <c r="BY95" s="18" t="n"/>
      <c r="BZ95" s="18" t="n"/>
      <c r="CA95" s="18" t="n"/>
      <c r="CB95" s="18" t="n"/>
      <c r="CC95" s="18" t="n"/>
      <c r="CD95" s="18" t="n"/>
      <c r="CE95" s="18" t="n"/>
      <c r="CF95" s="18" t="n"/>
      <c r="CG95" s="18" t="n"/>
      <c r="CH95" s="18" t="n"/>
      <c r="CI95" s="18" t="n"/>
      <c r="CJ95" s="18" t="n"/>
      <c r="CK95" s="18" t="n"/>
      <c r="CL95" s="18" t="n"/>
      <c r="CM95" s="18" t="n"/>
      <c r="CN95" s="18" t="n"/>
      <c r="CO95" s="18" t="n"/>
      <c r="CP95" s="18" t="n"/>
      <c r="CQ95" s="18" t="n"/>
      <c r="CR95" s="18" t="n"/>
      <c r="CS95" s="18" t="n"/>
      <c r="CT95" s="18" t="n"/>
      <c r="CU95" s="18" t="n"/>
      <c r="CV95" s="18" t="n"/>
      <c r="CW95" s="18" t="n"/>
      <c r="CX95" s="18" t="n"/>
      <c r="CY95" s="18" t="n"/>
      <c r="CZ95" s="18" t="n"/>
      <c r="DA95" s="18" t="n"/>
      <c r="DB95" s="18" t="n"/>
      <c r="DC95" s="18" t="n"/>
      <c r="DD95" s="18" t="n"/>
      <c r="DE95" s="18" t="n"/>
      <c r="DF95" s="18" t="n"/>
      <c r="DG95" s="18" t="n"/>
      <c r="DH95" s="18" t="n"/>
      <c r="DI95" s="18" t="n"/>
      <c r="DJ95" s="18" t="n"/>
      <c r="DK95" s="18" t="n"/>
      <c r="DL95" s="18" t="n"/>
      <c r="DM95" s="18" t="n"/>
      <c r="DN95" s="18" t="n"/>
      <c r="DO95" s="18" t="n"/>
      <c r="DP95" s="18" t="n"/>
      <c r="DQ95" s="18" t="n"/>
      <c r="DR95" s="18" t="n"/>
      <c r="DS95" s="18" t="n"/>
      <c r="DT95" s="18" t="n"/>
    </row>
    <row r="96">
      <c r="A96" s="18">
        <f>'Schedule_Data_Option_B'!A97</f>
        <v/>
      </c>
      <c r="B96" s="18">
        <f>'Schedule_Data_Option_B'!B97</f>
        <v/>
      </c>
      <c r="C96" s="18">
        <f>'Schedule_Data_Option_B'!C97</f>
        <v/>
      </c>
      <c r="D96" s="25">
        <f>'Schedule_Data_Option_B'!D97</f>
        <v/>
      </c>
      <c r="E96" s="18" t="n"/>
      <c r="F96" s="18" t="n"/>
      <c r="G96" s="18" t="n"/>
      <c r="H96" s="18" t="n"/>
      <c r="I96" s="18" t="n"/>
      <c r="J96" s="18" t="n"/>
      <c r="K96" s="18" t="n"/>
      <c r="L96" s="18" t="n"/>
      <c r="M96" s="18" t="n"/>
      <c r="N96" s="18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  <c r="Y96" s="18" t="n"/>
      <c r="Z96" s="18" t="n"/>
      <c r="AA96" s="18" t="n"/>
      <c r="AB96" s="18" t="n"/>
      <c r="AC96" s="18" t="n"/>
      <c r="AD96" s="18" t="n"/>
      <c r="AE96" s="18" t="n"/>
      <c r="AF96" s="18" t="n"/>
      <c r="AG96" s="18" t="n"/>
      <c r="AH96" s="18" t="n"/>
      <c r="AI96" s="18" t="n"/>
      <c r="AJ96" s="18" t="n"/>
      <c r="AK96" s="18" t="n"/>
      <c r="AL96" s="18" t="n"/>
      <c r="AM96" s="18" t="n"/>
      <c r="AN96" s="18" t="n"/>
      <c r="AO96" s="18" t="n"/>
      <c r="AP96" s="18" t="n"/>
      <c r="AQ96" s="18" t="n"/>
      <c r="AR96" s="25" t="n"/>
      <c r="AS96" s="18" t="n"/>
      <c r="AT96" s="18" t="n"/>
      <c r="AU96" s="18" t="n"/>
      <c r="AV96" s="18" t="n"/>
      <c r="AW96" s="18" t="n"/>
      <c r="AX96" s="18" t="n"/>
      <c r="AY96" s="18" t="n"/>
      <c r="AZ96" s="18" t="n"/>
      <c r="BA96" s="18" t="n"/>
      <c r="BB96" s="18" t="n"/>
      <c r="BC96" s="18" t="n"/>
      <c r="BD96" s="18" t="n"/>
      <c r="BE96" s="18" t="n"/>
      <c r="BF96" s="18" t="n"/>
      <c r="BG96" s="18" t="n"/>
      <c r="BH96" s="18" t="n"/>
      <c r="BI96" s="18" t="n"/>
      <c r="BJ96" s="18" t="n"/>
      <c r="BK96" s="18" t="n"/>
      <c r="BL96" s="18" t="n"/>
      <c r="BM96" s="18" t="n"/>
      <c r="BN96" s="18" t="n"/>
      <c r="BO96" s="18" t="n"/>
      <c r="BP96" s="18" t="n"/>
      <c r="BQ96" s="18" t="n"/>
      <c r="BR96" s="18" t="n"/>
      <c r="BS96" s="18" t="n"/>
      <c r="BT96" s="18" t="n"/>
      <c r="BU96" s="18" t="n"/>
      <c r="BV96" s="18" t="n"/>
      <c r="BW96" s="18" t="n"/>
      <c r="BX96" s="18" t="n"/>
      <c r="BY96" s="18" t="n"/>
      <c r="BZ96" s="18" t="n"/>
      <c r="CA96" s="18" t="n"/>
      <c r="CB96" s="18" t="n"/>
      <c r="CC96" s="18" t="n"/>
      <c r="CD96" s="18" t="n"/>
      <c r="CE96" s="18" t="n"/>
      <c r="CF96" s="18" t="n"/>
      <c r="CG96" s="18" t="n"/>
      <c r="CH96" s="18" t="n"/>
      <c r="CI96" s="18" t="n"/>
      <c r="CJ96" s="18" t="n"/>
      <c r="CK96" s="18" t="n"/>
      <c r="CL96" s="18" t="n"/>
      <c r="CM96" s="18" t="n"/>
      <c r="CN96" s="18" t="n"/>
      <c r="CO96" s="18" t="n"/>
      <c r="CP96" s="18" t="n"/>
      <c r="CQ96" s="18" t="n"/>
      <c r="CR96" s="18" t="n"/>
      <c r="CS96" s="18" t="n"/>
      <c r="CT96" s="18" t="n"/>
      <c r="CU96" s="18" t="n"/>
      <c r="CV96" s="18" t="n"/>
      <c r="CW96" s="18" t="n"/>
      <c r="CX96" s="18" t="n"/>
      <c r="CY96" s="18" t="n"/>
      <c r="CZ96" s="18" t="n"/>
      <c r="DA96" s="18" t="n"/>
      <c r="DB96" s="18" t="n"/>
      <c r="DC96" s="18" t="n"/>
      <c r="DD96" s="18" t="n"/>
      <c r="DE96" s="18" t="n"/>
      <c r="DF96" s="18" t="n"/>
      <c r="DG96" s="18" t="n"/>
      <c r="DH96" s="18" t="n"/>
      <c r="DI96" s="18" t="n"/>
      <c r="DJ96" s="18" t="n"/>
      <c r="DK96" s="18" t="n"/>
      <c r="DL96" s="18" t="n"/>
      <c r="DM96" s="18" t="n"/>
      <c r="DN96" s="18" t="n"/>
      <c r="DO96" s="18" t="n"/>
      <c r="DP96" s="18" t="n"/>
      <c r="DQ96" s="18" t="n"/>
      <c r="DR96" s="18" t="n"/>
      <c r="DS96" s="18" t="n"/>
      <c r="DT96" s="18" t="n"/>
    </row>
    <row r="97">
      <c r="A97" s="18">
        <f>'Schedule_Data_Option_B'!A98</f>
        <v/>
      </c>
      <c r="B97" s="18">
        <f>'Schedule_Data_Option_B'!B98</f>
        <v/>
      </c>
      <c r="C97" s="18">
        <f>'Schedule_Data_Option_B'!C98</f>
        <v/>
      </c>
      <c r="D97" s="21">
        <f>'Schedule_Data_Option_B'!D98</f>
        <v/>
      </c>
      <c r="E97" s="18" t="n"/>
      <c r="F97" s="18" t="n"/>
      <c r="G97" s="18" t="n"/>
      <c r="H97" s="18" t="n"/>
      <c r="I97" s="18" t="n"/>
      <c r="J97" s="18" t="n"/>
      <c r="K97" s="18" t="n"/>
      <c r="L97" s="18" t="n"/>
      <c r="M97" s="18" t="n"/>
      <c r="N97" s="18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  <c r="Y97" s="18" t="n"/>
      <c r="Z97" s="18" t="n"/>
      <c r="AA97" s="18" t="n"/>
      <c r="AB97" s="18" t="n"/>
      <c r="AC97" s="18" t="n"/>
      <c r="AD97" s="18" t="n"/>
      <c r="AE97" s="18" t="n"/>
      <c r="AF97" s="18" t="n"/>
      <c r="AG97" s="18" t="n"/>
      <c r="AH97" s="18" t="n"/>
      <c r="AI97" s="18" t="n"/>
      <c r="AJ97" s="18" t="n"/>
      <c r="AK97" s="18" t="n"/>
      <c r="AL97" s="18" t="n"/>
      <c r="AM97" s="18" t="n"/>
      <c r="AN97" s="18" t="n"/>
      <c r="AO97" s="18" t="n"/>
      <c r="AP97" s="18" t="n"/>
      <c r="AQ97" s="18" t="n"/>
      <c r="AR97" s="21" t="n"/>
      <c r="AS97" s="18" t="n"/>
      <c r="AT97" s="18" t="n"/>
      <c r="AU97" s="18" t="n"/>
      <c r="AV97" s="18" t="n"/>
      <c r="AW97" s="18" t="n"/>
      <c r="AX97" s="18" t="n"/>
      <c r="AY97" s="18" t="n"/>
      <c r="AZ97" s="18" t="n"/>
      <c r="BA97" s="18" t="n"/>
      <c r="BB97" s="18" t="n"/>
      <c r="BC97" s="18" t="n"/>
      <c r="BD97" s="18" t="n"/>
      <c r="BE97" s="18" t="n"/>
      <c r="BF97" s="18" t="n"/>
      <c r="BG97" s="18" t="n"/>
      <c r="BH97" s="18" t="n"/>
      <c r="BI97" s="18" t="n"/>
      <c r="BJ97" s="18" t="n"/>
      <c r="BK97" s="18" t="n"/>
      <c r="BL97" s="18" t="n"/>
      <c r="BM97" s="18" t="n"/>
      <c r="BN97" s="18" t="n"/>
      <c r="BO97" s="18" t="n"/>
      <c r="BP97" s="18" t="n"/>
      <c r="BQ97" s="18" t="n"/>
      <c r="BR97" s="18" t="n"/>
      <c r="BS97" s="18" t="n"/>
      <c r="BT97" s="18" t="n"/>
      <c r="BU97" s="18" t="n"/>
      <c r="BV97" s="18" t="n"/>
      <c r="BW97" s="18" t="n"/>
      <c r="BX97" s="18" t="n"/>
      <c r="BY97" s="18" t="n"/>
      <c r="BZ97" s="18" t="n"/>
      <c r="CA97" s="18" t="n"/>
      <c r="CB97" s="18" t="n"/>
      <c r="CC97" s="18" t="n"/>
      <c r="CD97" s="18" t="n"/>
      <c r="CE97" s="18" t="n"/>
      <c r="CF97" s="18" t="n"/>
      <c r="CG97" s="18" t="n"/>
      <c r="CH97" s="18" t="n"/>
      <c r="CI97" s="18" t="n"/>
      <c r="CJ97" s="18" t="n"/>
      <c r="CK97" s="18" t="n"/>
      <c r="CL97" s="18" t="n"/>
      <c r="CM97" s="18" t="n"/>
      <c r="CN97" s="18" t="n"/>
      <c r="CO97" s="18" t="n"/>
      <c r="CP97" s="18" t="n"/>
      <c r="CQ97" s="18" t="n"/>
      <c r="CR97" s="18" t="n"/>
      <c r="CS97" s="18" t="n"/>
      <c r="CT97" s="18" t="n"/>
      <c r="CU97" s="18" t="n"/>
      <c r="CV97" s="18" t="n"/>
      <c r="CW97" s="18" t="n"/>
      <c r="CX97" s="18" t="n"/>
      <c r="CY97" s="18" t="n"/>
      <c r="CZ97" s="18" t="n"/>
      <c r="DA97" s="18" t="n"/>
      <c r="DB97" s="18" t="n"/>
      <c r="DC97" s="18" t="n"/>
      <c r="DD97" s="18" t="n"/>
      <c r="DE97" s="18" t="n"/>
      <c r="DF97" s="18" t="n"/>
      <c r="DG97" s="18" t="n"/>
      <c r="DH97" s="18" t="n"/>
      <c r="DI97" s="18" t="n"/>
      <c r="DJ97" s="18" t="n"/>
      <c r="DK97" s="18" t="n"/>
      <c r="DL97" s="18" t="n"/>
      <c r="DM97" s="18" t="n"/>
      <c r="DN97" s="18" t="n"/>
      <c r="DO97" s="18" t="n"/>
      <c r="DP97" s="18" t="n"/>
      <c r="DQ97" s="18" t="n"/>
      <c r="DR97" s="18" t="n"/>
      <c r="DS97" s="18" t="n"/>
      <c r="DT97" s="18" t="n"/>
    </row>
    <row r="98">
      <c r="A98" s="18">
        <f>'Schedule_Data_Option_B'!A99</f>
        <v/>
      </c>
      <c r="B98" s="18">
        <f>'Schedule_Data_Option_B'!B99</f>
        <v/>
      </c>
      <c r="C98" s="18">
        <f>'Schedule_Data_Option_B'!C99</f>
        <v/>
      </c>
      <c r="D98" s="26">
        <f>'Schedule_Data_Option_B'!D99</f>
        <v/>
      </c>
      <c r="E98" s="18" t="n"/>
      <c r="F98" s="18" t="n"/>
      <c r="G98" s="18" t="n"/>
      <c r="H98" s="18" t="n"/>
      <c r="I98" s="18" t="n"/>
      <c r="J98" s="18" t="n"/>
      <c r="K98" s="18" t="n"/>
      <c r="L98" s="18" t="n"/>
      <c r="M98" s="18" t="n"/>
      <c r="N98" s="18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  <c r="Y98" s="18" t="n"/>
      <c r="Z98" s="18" t="n"/>
      <c r="AA98" s="18" t="n"/>
      <c r="AB98" s="18" t="n"/>
      <c r="AC98" s="18" t="n"/>
      <c r="AD98" s="18" t="n"/>
      <c r="AE98" s="18" t="n"/>
      <c r="AF98" s="18" t="n"/>
      <c r="AG98" s="18" t="n"/>
      <c r="AH98" s="18" t="n"/>
      <c r="AI98" s="18" t="n"/>
      <c r="AJ98" s="18" t="n"/>
      <c r="AK98" s="18" t="n"/>
      <c r="AL98" s="18" t="n"/>
      <c r="AM98" s="18" t="n"/>
      <c r="AN98" s="18" t="n"/>
      <c r="AO98" s="18" t="n"/>
      <c r="AP98" s="18" t="n"/>
      <c r="AQ98" s="18" t="n"/>
      <c r="AR98" s="18" t="n"/>
      <c r="AS98" s="26" t="n"/>
      <c r="AT98" s="18" t="n"/>
      <c r="AU98" s="18" t="n"/>
      <c r="AV98" s="18" t="n"/>
      <c r="AW98" s="18" t="n"/>
      <c r="AX98" s="18" t="n"/>
      <c r="AY98" s="18" t="n"/>
      <c r="AZ98" s="18" t="n"/>
      <c r="BA98" s="18" t="n"/>
      <c r="BB98" s="18" t="n"/>
      <c r="BC98" s="18" t="n"/>
      <c r="BD98" s="18" t="n"/>
      <c r="BE98" s="18" t="n"/>
      <c r="BF98" s="18" t="n"/>
      <c r="BG98" s="18" t="n"/>
      <c r="BH98" s="18" t="n"/>
      <c r="BI98" s="18" t="n"/>
      <c r="BJ98" s="18" t="n"/>
      <c r="BK98" s="18" t="n"/>
      <c r="BL98" s="18" t="n"/>
      <c r="BM98" s="18" t="n"/>
      <c r="BN98" s="18" t="n"/>
      <c r="BO98" s="18" t="n"/>
      <c r="BP98" s="18" t="n"/>
      <c r="BQ98" s="18" t="n"/>
      <c r="BR98" s="18" t="n"/>
      <c r="BS98" s="18" t="n"/>
      <c r="BT98" s="18" t="n"/>
      <c r="BU98" s="18" t="n"/>
      <c r="BV98" s="18" t="n"/>
      <c r="BW98" s="18" t="n"/>
      <c r="BX98" s="18" t="n"/>
      <c r="BY98" s="18" t="n"/>
      <c r="BZ98" s="18" t="n"/>
      <c r="CA98" s="18" t="n"/>
      <c r="CB98" s="18" t="n"/>
      <c r="CC98" s="18" t="n"/>
      <c r="CD98" s="18" t="n"/>
      <c r="CE98" s="18" t="n"/>
      <c r="CF98" s="18" t="n"/>
      <c r="CG98" s="18" t="n"/>
      <c r="CH98" s="18" t="n"/>
      <c r="CI98" s="18" t="n"/>
      <c r="CJ98" s="18" t="n"/>
      <c r="CK98" s="18" t="n"/>
      <c r="CL98" s="18" t="n"/>
      <c r="CM98" s="18" t="n"/>
      <c r="CN98" s="18" t="n"/>
      <c r="CO98" s="18" t="n"/>
      <c r="CP98" s="18" t="n"/>
      <c r="CQ98" s="18" t="n"/>
      <c r="CR98" s="18" t="n"/>
      <c r="CS98" s="18" t="n"/>
      <c r="CT98" s="18" t="n"/>
      <c r="CU98" s="18" t="n"/>
      <c r="CV98" s="18" t="n"/>
      <c r="CW98" s="18" t="n"/>
      <c r="CX98" s="18" t="n"/>
      <c r="CY98" s="18" t="n"/>
      <c r="CZ98" s="18" t="n"/>
      <c r="DA98" s="18" t="n"/>
      <c r="DB98" s="18" t="n"/>
      <c r="DC98" s="18" t="n"/>
      <c r="DD98" s="18" t="n"/>
      <c r="DE98" s="18" t="n"/>
      <c r="DF98" s="18" t="n"/>
      <c r="DG98" s="18" t="n"/>
      <c r="DH98" s="18" t="n"/>
      <c r="DI98" s="18" t="n"/>
      <c r="DJ98" s="18" t="n"/>
      <c r="DK98" s="18" t="n"/>
      <c r="DL98" s="18" t="n"/>
      <c r="DM98" s="18" t="n"/>
      <c r="DN98" s="18" t="n"/>
      <c r="DO98" s="18" t="n"/>
      <c r="DP98" s="18" t="n"/>
      <c r="DQ98" s="18" t="n"/>
      <c r="DR98" s="18" t="n"/>
      <c r="DS98" s="18" t="n"/>
      <c r="DT98" s="18" t="n"/>
    </row>
    <row r="99">
      <c r="A99" s="18">
        <f>'Schedule_Data_Option_B'!A100</f>
        <v/>
      </c>
      <c r="B99" s="18">
        <f>'Schedule_Data_Option_B'!B100</f>
        <v/>
      </c>
      <c r="C99" s="18">
        <f>'Schedule_Data_Option_B'!C100</f>
        <v/>
      </c>
      <c r="D99" s="21">
        <f>'Schedule_Data_Option_B'!D100</f>
        <v/>
      </c>
      <c r="E99" s="18" t="n"/>
      <c r="F99" s="18" t="n"/>
      <c r="G99" s="18" t="n"/>
      <c r="H99" s="18" t="n"/>
      <c r="I99" s="18" t="n"/>
      <c r="J99" s="18" t="n"/>
      <c r="K99" s="18" t="n"/>
      <c r="L99" s="18" t="n"/>
      <c r="M99" s="18" t="n"/>
      <c r="N99" s="18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  <c r="Y99" s="18" t="n"/>
      <c r="Z99" s="18" t="n"/>
      <c r="AA99" s="18" t="n"/>
      <c r="AB99" s="18" t="n"/>
      <c r="AC99" s="18" t="n"/>
      <c r="AD99" s="18" t="n"/>
      <c r="AE99" s="18" t="n"/>
      <c r="AF99" s="18" t="n"/>
      <c r="AG99" s="18" t="n"/>
      <c r="AH99" s="18" t="n"/>
      <c r="AI99" s="18" t="n"/>
      <c r="AJ99" s="18" t="n"/>
      <c r="AK99" s="18" t="n"/>
      <c r="AL99" s="18" t="n"/>
      <c r="AM99" s="18" t="n"/>
      <c r="AN99" s="18" t="n"/>
      <c r="AO99" s="18" t="n"/>
      <c r="AP99" s="18" t="n"/>
      <c r="AQ99" s="18" t="n"/>
      <c r="AR99" s="18" t="n"/>
      <c r="AS99" s="21" t="n"/>
      <c r="AT99" s="18" t="n"/>
      <c r="AU99" s="18" t="n"/>
      <c r="AV99" s="18" t="n"/>
      <c r="AW99" s="18" t="n"/>
      <c r="AX99" s="18" t="n"/>
      <c r="AY99" s="18" t="n"/>
      <c r="AZ99" s="18" t="n"/>
      <c r="BA99" s="18" t="n"/>
      <c r="BB99" s="18" t="n"/>
      <c r="BC99" s="18" t="n"/>
      <c r="BD99" s="18" t="n"/>
      <c r="BE99" s="18" t="n"/>
      <c r="BF99" s="18" t="n"/>
      <c r="BG99" s="18" t="n"/>
      <c r="BH99" s="18" t="n"/>
      <c r="BI99" s="18" t="n"/>
      <c r="BJ99" s="18" t="n"/>
      <c r="BK99" s="18" t="n"/>
      <c r="BL99" s="18" t="n"/>
      <c r="BM99" s="18" t="n"/>
      <c r="BN99" s="18" t="n"/>
      <c r="BO99" s="18" t="n"/>
      <c r="BP99" s="18" t="n"/>
      <c r="BQ99" s="18" t="n"/>
      <c r="BR99" s="18" t="n"/>
      <c r="BS99" s="18" t="n"/>
      <c r="BT99" s="18" t="n"/>
      <c r="BU99" s="18" t="n"/>
      <c r="BV99" s="18" t="n"/>
      <c r="BW99" s="18" t="n"/>
      <c r="BX99" s="18" t="n"/>
      <c r="BY99" s="18" t="n"/>
      <c r="BZ99" s="18" t="n"/>
      <c r="CA99" s="18" t="n"/>
      <c r="CB99" s="18" t="n"/>
      <c r="CC99" s="18" t="n"/>
      <c r="CD99" s="18" t="n"/>
      <c r="CE99" s="18" t="n"/>
      <c r="CF99" s="18" t="n"/>
      <c r="CG99" s="18" t="n"/>
      <c r="CH99" s="18" t="n"/>
      <c r="CI99" s="18" t="n"/>
      <c r="CJ99" s="18" t="n"/>
      <c r="CK99" s="18" t="n"/>
      <c r="CL99" s="18" t="n"/>
      <c r="CM99" s="18" t="n"/>
      <c r="CN99" s="18" t="n"/>
      <c r="CO99" s="18" t="n"/>
      <c r="CP99" s="18" t="n"/>
      <c r="CQ99" s="18" t="n"/>
      <c r="CR99" s="18" t="n"/>
      <c r="CS99" s="18" t="n"/>
      <c r="CT99" s="18" t="n"/>
      <c r="CU99" s="18" t="n"/>
      <c r="CV99" s="18" t="n"/>
      <c r="CW99" s="18" t="n"/>
      <c r="CX99" s="18" t="n"/>
      <c r="CY99" s="18" t="n"/>
      <c r="CZ99" s="18" t="n"/>
      <c r="DA99" s="18" t="n"/>
      <c r="DB99" s="18" t="n"/>
      <c r="DC99" s="18" t="n"/>
      <c r="DD99" s="18" t="n"/>
      <c r="DE99" s="18" t="n"/>
      <c r="DF99" s="18" t="n"/>
      <c r="DG99" s="18" t="n"/>
      <c r="DH99" s="18" t="n"/>
      <c r="DI99" s="18" t="n"/>
      <c r="DJ99" s="18" t="n"/>
      <c r="DK99" s="18" t="n"/>
      <c r="DL99" s="18" t="n"/>
      <c r="DM99" s="18" t="n"/>
      <c r="DN99" s="18" t="n"/>
      <c r="DO99" s="18" t="n"/>
      <c r="DP99" s="18" t="n"/>
      <c r="DQ99" s="18" t="n"/>
      <c r="DR99" s="18" t="n"/>
      <c r="DS99" s="18" t="n"/>
      <c r="DT99" s="18" t="n"/>
    </row>
    <row r="100">
      <c r="A100" s="18">
        <f>'Schedule_Data_Option_B'!A101</f>
        <v/>
      </c>
      <c r="B100" s="18">
        <f>'Schedule_Data_Option_B'!B101</f>
        <v/>
      </c>
      <c r="C100" s="18">
        <f>'Schedule_Data_Option_B'!C101</f>
        <v/>
      </c>
      <c r="D100" s="23">
        <f>'Schedule_Data_Option_B'!D101</f>
        <v/>
      </c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8" t="n"/>
      <c r="N100" s="18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  <c r="Y100" s="18" t="n"/>
      <c r="Z100" s="18" t="n"/>
      <c r="AA100" s="18" t="n"/>
      <c r="AB100" s="18" t="n"/>
      <c r="AC100" s="18" t="n"/>
      <c r="AD100" s="18" t="n"/>
      <c r="AE100" s="18" t="n"/>
      <c r="AF100" s="18" t="n"/>
      <c r="AG100" s="18" t="n"/>
      <c r="AH100" s="18" t="n"/>
      <c r="AI100" s="18" t="n"/>
      <c r="AJ100" s="18" t="n"/>
      <c r="AK100" s="18" t="n"/>
      <c r="AL100" s="18" t="n"/>
      <c r="AM100" s="18" t="n"/>
      <c r="AN100" s="18" t="n"/>
      <c r="AO100" s="18" t="n"/>
      <c r="AP100" s="18" t="n"/>
      <c r="AQ100" s="18" t="n"/>
      <c r="AR100" s="18" t="n"/>
      <c r="AS100" s="18" t="n"/>
      <c r="AT100" s="23" t="n"/>
      <c r="AU100" s="18" t="n"/>
      <c r="AV100" s="18" t="n"/>
      <c r="AW100" s="18" t="n"/>
      <c r="AX100" s="18" t="n"/>
      <c r="AY100" s="18" t="n"/>
      <c r="AZ100" s="18" t="n"/>
      <c r="BA100" s="18" t="n"/>
      <c r="BB100" s="18" t="n"/>
      <c r="BC100" s="18" t="n"/>
      <c r="BD100" s="18" t="n"/>
      <c r="BE100" s="18" t="n"/>
      <c r="BF100" s="18" t="n"/>
      <c r="BG100" s="18" t="n"/>
      <c r="BH100" s="18" t="n"/>
      <c r="BI100" s="18" t="n"/>
      <c r="BJ100" s="18" t="n"/>
      <c r="BK100" s="18" t="n"/>
      <c r="BL100" s="18" t="n"/>
      <c r="BM100" s="18" t="n"/>
      <c r="BN100" s="18" t="n"/>
      <c r="BO100" s="18" t="n"/>
      <c r="BP100" s="18" t="n"/>
      <c r="BQ100" s="18" t="n"/>
      <c r="BR100" s="18" t="n"/>
      <c r="BS100" s="18" t="n"/>
      <c r="BT100" s="18" t="n"/>
      <c r="BU100" s="18" t="n"/>
      <c r="BV100" s="18" t="n"/>
      <c r="BW100" s="18" t="n"/>
      <c r="BX100" s="18" t="n"/>
      <c r="BY100" s="18" t="n"/>
      <c r="BZ100" s="18" t="n"/>
      <c r="CA100" s="18" t="n"/>
      <c r="CB100" s="18" t="n"/>
      <c r="CC100" s="18" t="n"/>
      <c r="CD100" s="18" t="n"/>
      <c r="CE100" s="18" t="n"/>
      <c r="CF100" s="18" t="n"/>
      <c r="CG100" s="18" t="n"/>
      <c r="CH100" s="18" t="n"/>
      <c r="CI100" s="18" t="n"/>
      <c r="CJ100" s="18" t="n"/>
      <c r="CK100" s="18" t="n"/>
      <c r="CL100" s="18" t="n"/>
      <c r="CM100" s="18" t="n"/>
      <c r="CN100" s="18" t="n"/>
      <c r="CO100" s="18" t="n"/>
      <c r="CP100" s="18" t="n"/>
      <c r="CQ100" s="18" t="n"/>
      <c r="CR100" s="18" t="n"/>
      <c r="CS100" s="18" t="n"/>
      <c r="CT100" s="18" t="n"/>
      <c r="CU100" s="18" t="n"/>
      <c r="CV100" s="18" t="n"/>
      <c r="CW100" s="18" t="n"/>
      <c r="CX100" s="18" t="n"/>
      <c r="CY100" s="18" t="n"/>
      <c r="CZ100" s="18" t="n"/>
      <c r="DA100" s="18" t="n"/>
      <c r="DB100" s="18" t="n"/>
      <c r="DC100" s="18" t="n"/>
      <c r="DD100" s="18" t="n"/>
      <c r="DE100" s="18" t="n"/>
      <c r="DF100" s="18" t="n"/>
      <c r="DG100" s="18" t="n"/>
      <c r="DH100" s="18" t="n"/>
      <c r="DI100" s="18" t="n"/>
      <c r="DJ100" s="18" t="n"/>
      <c r="DK100" s="18" t="n"/>
      <c r="DL100" s="18" t="n"/>
      <c r="DM100" s="18" t="n"/>
      <c r="DN100" s="18" t="n"/>
      <c r="DO100" s="18" t="n"/>
      <c r="DP100" s="18" t="n"/>
      <c r="DQ100" s="18" t="n"/>
      <c r="DR100" s="18" t="n"/>
      <c r="DS100" s="18" t="n"/>
      <c r="DT100" s="18" t="n"/>
    </row>
    <row r="101">
      <c r="A101" s="18">
        <f>'Schedule_Data_Option_B'!A102</f>
        <v/>
      </c>
      <c r="B101" s="18">
        <f>'Schedule_Data_Option_B'!B102</f>
        <v/>
      </c>
      <c r="C101" s="18">
        <f>'Schedule_Data_Option_B'!C102</f>
        <v/>
      </c>
      <c r="D101" s="23">
        <f>'Schedule_Data_Option_B'!D102</f>
        <v/>
      </c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8" t="n"/>
      <c r="N101" s="18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  <c r="Y101" s="18" t="n"/>
      <c r="Z101" s="18" t="n"/>
      <c r="AA101" s="18" t="n"/>
      <c r="AB101" s="18" t="n"/>
      <c r="AC101" s="18" t="n"/>
      <c r="AD101" s="18" t="n"/>
      <c r="AE101" s="18" t="n"/>
      <c r="AF101" s="18" t="n"/>
      <c r="AG101" s="18" t="n"/>
      <c r="AH101" s="18" t="n"/>
      <c r="AI101" s="18" t="n"/>
      <c r="AJ101" s="18" t="n"/>
      <c r="AK101" s="18" t="n"/>
      <c r="AL101" s="18" t="n"/>
      <c r="AM101" s="18" t="n"/>
      <c r="AN101" s="18" t="n"/>
      <c r="AO101" s="18" t="n"/>
      <c r="AP101" s="18" t="n"/>
      <c r="AQ101" s="18" t="n"/>
      <c r="AR101" s="18" t="n"/>
      <c r="AS101" s="18" t="n"/>
      <c r="AT101" s="18" t="n"/>
      <c r="AU101" s="23" t="n"/>
      <c r="AV101" s="18" t="n"/>
      <c r="AW101" s="18" t="n"/>
      <c r="AX101" s="18" t="n"/>
      <c r="AY101" s="18" t="n"/>
      <c r="AZ101" s="18" t="n"/>
      <c r="BA101" s="18" t="n"/>
      <c r="BB101" s="18" t="n"/>
      <c r="BC101" s="18" t="n"/>
      <c r="BD101" s="18" t="n"/>
      <c r="BE101" s="18" t="n"/>
      <c r="BF101" s="18" t="n"/>
      <c r="BG101" s="18" t="n"/>
      <c r="BH101" s="18" t="n"/>
      <c r="BI101" s="18" t="n"/>
      <c r="BJ101" s="18" t="n"/>
      <c r="BK101" s="18" t="n"/>
      <c r="BL101" s="18" t="n"/>
      <c r="BM101" s="18" t="n"/>
      <c r="BN101" s="18" t="n"/>
      <c r="BO101" s="18" t="n"/>
      <c r="BP101" s="18" t="n"/>
      <c r="BQ101" s="18" t="n"/>
      <c r="BR101" s="18" t="n"/>
      <c r="BS101" s="18" t="n"/>
      <c r="BT101" s="18" t="n"/>
      <c r="BU101" s="18" t="n"/>
      <c r="BV101" s="18" t="n"/>
      <c r="BW101" s="18" t="n"/>
      <c r="BX101" s="18" t="n"/>
      <c r="BY101" s="18" t="n"/>
      <c r="BZ101" s="18" t="n"/>
      <c r="CA101" s="18" t="n"/>
      <c r="CB101" s="18" t="n"/>
      <c r="CC101" s="18" t="n"/>
      <c r="CD101" s="18" t="n"/>
      <c r="CE101" s="18" t="n"/>
      <c r="CF101" s="18" t="n"/>
      <c r="CG101" s="18" t="n"/>
      <c r="CH101" s="18" t="n"/>
      <c r="CI101" s="18" t="n"/>
      <c r="CJ101" s="18" t="n"/>
      <c r="CK101" s="18" t="n"/>
      <c r="CL101" s="18" t="n"/>
      <c r="CM101" s="18" t="n"/>
      <c r="CN101" s="18" t="n"/>
      <c r="CO101" s="18" t="n"/>
      <c r="CP101" s="18" t="n"/>
      <c r="CQ101" s="18" t="n"/>
      <c r="CR101" s="18" t="n"/>
      <c r="CS101" s="18" t="n"/>
      <c r="CT101" s="18" t="n"/>
      <c r="CU101" s="18" t="n"/>
      <c r="CV101" s="18" t="n"/>
      <c r="CW101" s="18" t="n"/>
      <c r="CX101" s="18" t="n"/>
      <c r="CY101" s="18" t="n"/>
      <c r="CZ101" s="18" t="n"/>
      <c r="DA101" s="18" t="n"/>
      <c r="DB101" s="18" t="n"/>
      <c r="DC101" s="18" t="n"/>
      <c r="DD101" s="18" t="n"/>
      <c r="DE101" s="18" t="n"/>
      <c r="DF101" s="18" t="n"/>
      <c r="DG101" s="18" t="n"/>
      <c r="DH101" s="18" t="n"/>
      <c r="DI101" s="18" t="n"/>
      <c r="DJ101" s="18" t="n"/>
      <c r="DK101" s="18" t="n"/>
      <c r="DL101" s="18" t="n"/>
      <c r="DM101" s="18" t="n"/>
      <c r="DN101" s="18" t="n"/>
      <c r="DO101" s="18" t="n"/>
      <c r="DP101" s="18" t="n"/>
      <c r="DQ101" s="18" t="n"/>
      <c r="DR101" s="18" t="n"/>
      <c r="DS101" s="18" t="n"/>
      <c r="DT101" s="18" t="n"/>
    </row>
    <row r="102">
      <c r="A102" s="18">
        <f>'Schedule_Data_Option_B'!A103</f>
        <v/>
      </c>
      <c r="B102" s="18">
        <f>'Schedule_Data_Option_B'!B103</f>
        <v/>
      </c>
      <c r="C102" s="18">
        <f>'Schedule_Data_Option_B'!C103</f>
        <v/>
      </c>
      <c r="D102" s="21">
        <f>'Schedule_Data_Option_B'!D103</f>
        <v/>
      </c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8" t="n"/>
      <c r="N102" s="18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  <c r="Y102" s="18" t="n"/>
      <c r="Z102" s="18" t="n"/>
      <c r="AA102" s="18" t="n"/>
      <c r="AB102" s="18" t="n"/>
      <c r="AC102" s="18" t="n"/>
      <c r="AD102" s="18" t="n"/>
      <c r="AE102" s="18" t="n"/>
      <c r="AF102" s="18" t="n"/>
      <c r="AG102" s="18" t="n"/>
      <c r="AH102" s="18" t="n"/>
      <c r="AI102" s="18" t="n"/>
      <c r="AJ102" s="18" t="n"/>
      <c r="AK102" s="18" t="n"/>
      <c r="AL102" s="18" t="n"/>
      <c r="AM102" s="18" t="n"/>
      <c r="AN102" s="18" t="n"/>
      <c r="AO102" s="18" t="n"/>
      <c r="AP102" s="18" t="n"/>
      <c r="AQ102" s="18" t="n"/>
      <c r="AR102" s="18" t="n"/>
      <c r="AS102" s="18" t="n"/>
      <c r="AT102" s="18" t="n"/>
      <c r="AU102" s="18" t="n"/>
      <c r="AV102" s="18" t="n"/>
      <c r="AW102" s="18" t="n"/>
      <c r="AX102" s="18" t="n"/>
      <c r="AY102" s="18" t="n"/>
      <c r="AZ102" s="18" t="n"/>
      <c r="BA102" s="18" t="n"/>
      <c r="BB102" s="18" t="n"/>
      <c r="BC102" s="18" t="n"/>
      <c r="BD102" s="18" t="n"/>
      <c r="BE102" s="18" t="n"/>
      <c r="BF102" s="18" t="n"/>
      <c r="BG102" s="18" t="n"/>
      <c r="BH102" s="18" t="n"/>
      <c r="BI102" s="18" t="n"/>
      <c r="BJ102" s="18" t="n"/>
      <c r="BK102" s="18" t="n"/>
      <c r="BL102" s="18" t="n"/>
      <c r="BM102" s="18" t="n"/>
      <c r="BN102" s="18" t="n"/>
      <c r="BO102" s="18" t="n"/>
      <c r="BP102" s="18" t="n"/>
      <c r="BQ102" s="18" t="n"/>
      <c r="BR102" s="18" t="n"/>
      <c r="BS102" s="18" t="n"/>
      <c r="BT102" s="18" t="n"/>
      <c r="BU102" s="18" t="n"/>
      <c r="BV102" s="18" t="n"/>
      <c r="BW102" s="18" t="n"/>
      <c r="BX102" s="18" t="n"/>
      <c r="BY102" s="18" t="n"/>
      <c r="BZ102" s="18" t="n"/>
      <c r="CA102" s="18" t="n"/>
      <c r="CB102" s="18" t="n"/>
      <c r="CC102" s="18" t="n"/>
      <c r="CD102" s="18" t="n"/>
      <c r="CE102" s="18" t="n"/>
      <c r="CF102" s="18" t="n"/>
      <c r="CG102" s="18" t="n"/>
      <c r="CH102" s="18" t="n"/>
      <c r="CI102" s="18" t="n"/>
      <c r="CJ102" s="18" t="n"/>
      <c r="CK102" s="18" t="n"/>
      <c r="CL102" s="18" t="n"/>
      <c r="CM102" s="18" t="n"/>
      <c r="CN102" s="18" t="n"/>
      <c r="CO102" s="18" t="n"/>
      <c r="CP102" s="18" t="n"/>
      <c r="CQ102" s="18" t="n"/>
      <c r="CR102" s="18" t="n"/>
      <c r="CS102" s="18" t="n"/>
      <c r="CT102" s="18" t="n"/>
      <c r="CU102" s="18" t="n"/>
      <c r="CV102" s="18" t="n"/>
      <c r="CW102" s="18" t="n"/>
      <c r="CX102" s="18" t="n"/>
      <c r="CY102" s="18" t="n"/>
      <c r="CZ102" s="18" t="n"/>
      <c r="DA102" s="18" t="n"/>
      <c r="DB102" s="18" t="n"/>
      <c r="DC102" s="18" t="n"/>
      <c r="DD102" s="18" t="n"/>
      <c r="DE102" s="18" t="n"/>
      <c r="DF102" s="18" t="n"/>
      <c r="DG102" s="18" t="n"/>
      <c r="DH102" s="18" t="n"/>
      <c r="DI102" s="18" t="n"/>
      <c r="DJ102" s="18" t="n"/>
      <c r="DK102" s="18" t="n"/>
      <c r="DL102" s="18" t="n"/>
      <c r="DM102" s="18" t="n"/>
      <c r="DN102" s="18" t="n"/>
      <c r="DO102" s="18" t="n"/>
      <c r="DP102" s="18" t="n"/>
      <c r="DQ102" s="18" t="n"/>
      <c r="DR102" s="18" t="n"/>
      <c r="DS102" s="18" t="n"/>
      <c r="DT102" s="18" t="n"/>
    </row>
    <row r="103">
      <c r="A103" s="18">
        <f>'Schedule_Data_Option_B'!A104</f>
        <v/>
      </c>
      <c r="B103" s="18">
        <f>'Schedule_Data_Option_B'!B104</f>
        <v/>
      </c>
      <c r="C103" s="18">
        <f>'Schedule_Data_Option_B'!C104</f>
        <v/>
      </c>
      <c r="D103" s="21">
        <f>'Schedule_Data_Option_B'!D104</f>
        <v/>
      </c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8" t="n"/>
      <c r="N103" s="18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  <c r="Y103" s="18" t="n"/>
      <c r="Z103" s="18" t="n"/>
      <c r="AA103" s="18" t="n"/>
      <c r="AB103" s="18" t="n"/>
      <c r="AC103" s="18" t="n"/>
      <c r="AD103" s="18" t="n"/>
      <c r="AE103" s="18" t="n"/>
      <c r="AF103" s="18" t="n"/>
      <c r="AG103" s="18" t="n"/>
      <c r="AH103" s="18" t="n"/>
      <c r="AI103" s="18" t="n"/>
      <c r="AJ103" s="18" t="n"/>
      <c r="AK103" s="18" t="n"/>
      <c r="AL103" s="18" t="n"/>
      <c r="AM103" s="18" t="n"/>
      <c r="AN103" s="18" t="n"/>
      <c r="AO103" s="18" t="n"/>
      <c r="AP103" s="18" t="n"/>
      <c r="AQ103" s="18" t="n"/>
      <c r="AR103" s="18" t="n"/>
      <c r="AS103" s="18" t="n"/>
      <c r="AT103" s="18" t="n"/>
      <c r="AU103" s="18" t="n"/>
      <c r="AV103" s="18" t="n"/>
      <c r="AW103" s="18" t="n"/>
      <c r="AX103" s="18" t="n"/>
      <c r="AY103" s="18" t="n"/>
      <c r="AZ103" s="18" t="n"/>
      <c r="BA103" s="18" t="n"/>
      <c r="BB103" s="18" t="n"/>
      <c r="BC103" s="18" t="n"/>
      <c r="BD103" s="18" t="n"/>
      <c r="BE103" s="18" t="n"/>
      <c r="BF103" s="18" t="n"/>
      <c r="BG103" s="18" t="n"/>
      <c r="BH103" s="18" t="n"/>
      <c r="BI103" s="18" t="n"/>
      <c r="BJ103" s="18" t="n"/>
      <c r="BK103" s="18" t="n"/>
      <c r="BL103" s="18" t="n"/>
      <c r="BM103" s="18" t="n"/>
      <c r="BN103" s="18" t="n"/>
      <c r="BO103" s="18" t="n"/>
      <c r="BP103" s="18" t="n"/>
      <c r="BQ103" s="18" t="n"/>
      <c r="BR103" s="18" t="n"/>
      <c r="BS103" s="18" t="n"/>
      <c r="BT103" s="18" t="n"/>
      <c r="BU103" s="18" t="n"/>
      <c r="BV103" s="18" t="n"/>
      <c r="BW103" s="18" t="n"/>
      <c r="BX103" s="18" t="n"/>
      <c r="BY103" s="18" t="n"/>
      <c r="BZ103" s="18" t="n"/>
      <c r="CA103" s="18" t="n"/>
      <c r="CB103" s="18" t="n"/>
      <c r="CC103" s="18" t="n"/>
      <c r="CD103" s="18" t="n"/>
      <c r="CE103" s="18" t="n"/>
      <c r="CF103" s="18" t="n"/>
      <c r="CG103" s="18" t="n"/>
      <c r="CH103" s="18" t="n"/>
      <c r="CI103" s="18" t="n"/>
      <c r="CJ103" s="18" t="n"/>
      <c r="CK103" s="18" t="n"/>
      <c r="CL103" s="18" t="n"/>
      <c r="CM103" s="18" t="n"/>
      <c r="CN103" s="18" t="n"/>
      <c r="CO103" s="18" t="n"/>
      <c r="CP103" s="18" t="n"/>
      <c r="CQ103" s="18" t="n"/>
      <c r="CR103" s="18" t="n"/>
      <c r="CS103" s="18" t="n"/>
      <c r="CT103" s="18" t="n"/>
      <c r="CU103" s="18" t="n"/>
      <c r="CV103" s="18" t="n"/>
      <c r="CW103" s="18" t="n"/>
      <c r="CX103" s="18" t="n"/>
      <c r="CY103" s="18" t="n"/>
      <c r="CZ103" s="18" t="n"/>
      <c r="DA103" s="18" t="n"/>
      <c r="DB103" s="18" t="n"/>
      <c r="DC103" s="18" t="n"/>
      <c r="DD103" s="18" t="n"/>
      <c r="DE103" s="18" t="n"/>
      <c r="DF103" s="18" t="n"/>
      <c r="DG103" s="18" t="n"/>
      <c r="DH103" s="18" t="n"/>
      <c r="DI103" s="18" t="n"/>
      <c r="DJ103" s="18" t="n"/>
      <c r="DK103" s="18" t="n"/>
      <c r="DL103" s="18" t="n"/>
      <c r="DM103" s="18" t="n"/>
      <c r="DN103" s="18" t="n"/>
      <c r="DO103" s="18" t="n"/>
      <c r="DP103" s="18" t="n"/>
      <c r="DQ103" s="18" t="n"/>
      <c r="DR103" s="18" t="n"/>
      <c r="DS103" s="18" t="n"/>
      <c r="DT103" s="18" t="n"/>
    </row>
    <row r="104">
      <c r="A104" s="18">
        <f>'Schedule_Data_Option_B'!A105</f>
        <v/>
      </c>
      <c r="B104" s="18">
        <f>'Schedule_Data_Option_B'!B105</f>
        <v/>
      </c>
      <c r="C104" s="18">
        <f>'Schedule_Data_Option_B'!C105</f>
        <v/>
      </c>
      <c r="D104" s="27">
        <f>'Schedule_Data_Option_B'!D105</f>
        <v/>
      </c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8" t="n"/>
      <c r="N104" s="18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  <c r="Y104" s="18" t="n"/>
      <c r="Z104" s="18" t="n"/>
      <c r="AA104" s="18" t="n"/>
      <c r="AB104" s="18" t="n"/>
      <c r="AC104" s="18" t="n"/>
      <c r="AD104" s="18" t="n"/>
      <c r="AE104" s="18" t="n"/>
      <c r="AF104" s="18" t="n"/>
      <c r="AG104" s="18" t="n"/>
      <c r="AH104" s="18" t="n"/>
      <c r="AI104" s="18" t="n"/>
      <c r="AJ104" s="18" t="n"/>
      <c r="AK104" s="18" t="n"/>
      <c r="AL104" s="18" t="n"/>
      <c r="AM104" s="18" t="n"/>
      <c r="AN104" s="18" t="n"/>
      <c r="AO104" s="18" t="n"/>
      <c r="AP104" s="18" t="n"/>
      <c r="AQ104" s="18" t="n"/>
      <c r="AR104" s="18" t="n"/>
      <c r="AS104" s="18" t="n"/>
      <c r="AT104" s="18" t="n"/>
      <c r="AU104" s="18" t="n"/>
      <c r="AV104" s="18" t="n"/>
      <c r="AW104" s="27" t="n"/>
      <c r="AX104" s="18" t="n"/>
      <c r="AY104" s="18" t="n"/>
      <c r="AZ104" s="18" t="n"/>
      <c r="BA104" s="18" t="n"/>
      <c r="BB104" s="18" t="n"/>
      <c r="BC104" s="18" t="n"/>
      <c r="BD104" s="18" t="n"/>
      <c r="BE104" s="18" t="n"/>
      <c r="BF104" s="18" t="n"/>
      <c r="BG104" s="18" t="n"/>
      <c r="BH104" s="18" t="n"/>
      <c r="BI104" s="18" t="n"/>
      <c r="BJ104" s="18" t="n"/>
      <c r="BK104" s="18" t="n"/>
      <c r="BL104" s="18" t="n"/>
      <c r="BM104" s="18" t="n"/>
      <c r="BN104" s="18" t="n"/>
      <c r="BO104" s="18" t="n"/>
      <c r="BP104" s="18" t="n"/>
      <c r="BQ104" s="18" t="n"/>
      <c r="BR104" s="18" t="n"/>
      <c r="BS104" s="18" t="n"/>
      <c r="BT104" s="18" t="n"/>
      <c r="BU104" s="18" t="n"/>
      <c r="BV104" s="18" t="n"/>
      <c r="BW104" s="18" t="n"/>
      <c r="BX104" s="18" t="n"/>
      <c r="BY104" s="18" t="n"/>
      <c r="BZ104" s="18" t="n"/>
      <c r="CA104" s="18" t="n"/>
      <c r="CB104" s="18" t="n"/>
      <c r="CC104" s="18" t="n"/>
      <c r="CD104" s="18" t="n"/>
      <c r="CE104" s="18" t="n"/>
      <c r="CF104" s="18" t="n"/>
      <c r="CG104" s="18" t="n"/>
      <c r="CH104" s="18" t="n"/>
      <c r="CI104" s="18" t="n"/>
      <c r="CJ104" s="18" t="n"/>
      <c r="CK104" s="18" t="n"/>
      <c r="CL104" s="18" t="n"/>
      <c r="CM104" s="18" t="n"/>
      <c r="CN104" s="18" t="n"/>
      <c r="CO104" s="18" t="n"/>
      <c r="CP104" s="18" t="n"/>
      <c r="CQ104" s="18" t="n"/>
      <c r="CR104" s="18" t="n"/>
      <c r="CS104" s="18" t="n"/>
      <c r="CT104" s="18" t="n"/>
      <c r="CU104" s="18" t="n"/>
      <c r="CV104" s="18" t="n"/>
      <c r="CW104" s="18" t="n"/>
      <c r="CX104" s="18" t="n"/>
      <c r="CY104" s="18" t="n"/>
      <c r="CZ104" s="18" t="n"/>
      <c r="DA104" s="18" t="n"/>
      <c r="DB104" s="18" t="n"/>
      <c r="DC104" s="18" t="n"/>
      <c r="DD104" s="18" t="n"/>
      <c r="DE104" s="18" t="n"/>
      <c r="DF104" s="18" t="n"/>
      <c r="DG104" s="18" t="n"/>
      <c r="DH104" s="18" t="n"/>
      <c r="DI104" s="18" t="n"/>
      <c r="DJ104" s="18" t="n"/>
      <c r="DK104" s="18" t="n"/>
      <c r="DL104" s="18" t="n"/>
      <c r="DM104" s="18" t="n"/>
      <c r="DN104" s="18" t="n"/>
      <c r="DO104" s="18" t="n"/>
      <c r="DP104" s="18" t="n"/>
      <c r="DQ104" s="18" t="n"/>
      <c r="DR104" s="18" t="n"/>
      <c r="DS104" s="18" t="n"/>
      <c r="DT104" s="18" t="n"/>
    </row>
    <row r="105">
      <c r="A105" s="18">
        <f>'Schedule_Data_Option_B'!A106</f>
        <v/>
      </c>
      <c r="B105" s="18">
        <f>'Schedule_Data_Option_B'!B106</f>
        <v/>
      </c>
      <c r="C105" s="18">
        <f>'Schedule_Data_Option_B'!C106</f>
        <v/>
      </c>
      <c r="D105" s="38">
        <f>'Schedule_Data_Option_B'!D106</f>
        <v/>
      </c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8" t="n"/>
      <c r="N105" s="18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  <c r="Y105" s="18" t="n"/>
      <c r="Z105" s="18" t="n"/>
      <c r="AA105" s="18" t="n"/>
      <c r="AB105" s="18" t="n"/>
      <c r="AC105" s="18" t="n"/>
      <c r="AD105" s="18" t="n"/>
      <c r="AE105" s="18" t="n"/>
      <c r="AF105" s="18" t="n"/>
      <c r="AG105" s="18" t="n"/>
      <c r="AH105" s="18" t="n"/>
      <c r="AI105" s="18" t="n"/>
      <c r="AJ105" s="18" t="n"/>
      <c r="AK105" s="18" t="n"/>
      <c r="AL105" s="18" t="n"/>
      <c r="AM105" s="18" t="n"/>
      <c r="AN105" s="18" t="n"/>
      <c r="AO105" s="18" t="n"/>
      <c r="AP105" s="18" t="n"/>
      <c r="AQ105" s="18" t="n"/>
      <c r="AR105" s="18" t="n"/>
      <c r="AS105" s="18" t="n"/>
      <c r="AT105" s="18" t="n"/>
      <c r="AU105" s="18" t="n"/>
      <c r="AV105" s="18" t="n"/>
      <c r="AW105" s="18" t="n"/>
      <c r="AX105" s="18" t="n"/>
      <c r="AY105" s="18" t="n"/>
      <c r="AZ105" s="38" t="n"/>
      <c r="BA105" s="18" t="n"/>
      <c r="BB105" s="18" t="n"/>
      <c r="BC105" s="18" t="n"/>
      <c r="BD105" s="18" t="n"/>
      <c r="BE105" s="18" t="n"/>
      <c r="BF105" s="18" t="n"/>
      <c r="BG105" s="18" t="n"/>
      <c r="BH105" s="18" t="n"/>
      <c r="BI105" s="18" t="n"/>
      <c r="BJ105" s="18" t="n"/>
      <c r="BK105" s="18" t="n"/>
      <c r="BL105" s="18" t="n"/>
      <c r="BM105" s="18" t="n"/>
      <c r="BN105" s="18" t="n"/>
      <c r="BO105" s="18" t="n"/>
      <c r="BP105" s="18" t="n"/>
      <c r="BQ105" s="18" t="n"/>
      <c r="BR105" s="18" t="n"/>
      <c r="BS105" s="18" t="n"/>
      <c r="BT105" s="18" t="n"/>
      <c r="BU105" s="18" t="n"/>
      <c r="BV105" s="18" t="n"/>
      <c r="BW105" s="18" t="n"/>
      <c r="BX105" s="18" t="n"/>
      <c r="BY105" s="18" t="n"/>
      <c r="BZ105" s="18" t="n"/>
      <c r="CA105" s="18" t="n"/>
      <c r="CB105" s="18" t="n"/>
      <c r="CC105" s="18" t="n"/>
      <c r="CD105" s="18" t="n"/>
      <c r="CE105" s="18" t="n"/>
      <c r="CF105" s="18" t="n"/>
      <c r="CG105" s="18" t="n"/>
      <c r="CH105" s="18" t="n"/>
      <c r="CI105" s="18" t="n"/>
      <c r="CJ105" s="18" t="n"/>
      <c r="CK105" s="18" t="n"/>
      <c r="CL105" s="18" t="n"/>
      <c r="CM105" s="18" t="n"/>
      <c r="CN105" s="18" t="n"/>
      <c r="CO105" s="18" t="n"/>
      <c r="CP105" s="18" t="n"/>
      <c r="CQ105" s="18" t="n"/>
      <c r="CR105" s="18" t="n"/>
      <c r="CS105" s="18" t="n"/>
      <c r="CT105" s="18" t="n"/>
      <c r="CU105" s="18" t="n"/>
      <c r="CV105" s="18" t="n"/>
      <c r="CW105" s="18" t="n"/>
      <c r="CX105" s="18" t="n"/>
      <c r="CY105" s="18" t="n"/>
      <c r="CZ105" s="18" t="n"/>
      <c r="DA105" s="18" t="n"/>
      <c r="DB105" s="18" t="n"/>
      <c r="DC105" s="18" t="n"/>
      <c r="DD105" s="18" t="n"/>
      <c r="DE105" s="18" t="n"/>
      <c r="DF105" s="18" t="n"/>
      <c r="DG105" s="18" t="n"/>
      <c r="DH105" s="18" t="n"/>
      <c r="DI105" s="18" t="n"/>
      <c r="DJ105" s="18" t="n"/>
      <c r="DK105" s="18" t="n"/>
      <c r="DL105" s="18" t="n"/>
      <c r="DM105" s="18" t="n"/>
      <c r="DN105" s="18" t="n"/>
      <c r="DO105" s="18" t="n"/>
      <c r="DP105" s="18" t="n"/>
      <c r="DQ105" s="18" t="n"/>
      <c r="DR105" s="18" t="n"/>
      <c r="DS105" s="18" t="n"/>
      <c r="DT105" s="18" t="n"/>
    </row>
    <row r="106">
      <c r="A106" s="18">
        <f>'Schedule_Data_Option_B'!A107</f>
        <v/>
      </c>
      <c r="B106" s="18">
        <f>'Schedule_Data_Option_B'!B107</f>
        <v/>
      </c>
      <c r="C106" s="18">
        <f>'Schedule_Data_Option_B'!C107</f>
        <v/>
      </c>
      <c r="D106" s="21">
        <f>'Schedule_Data_Option_B'!D107</f>
        <v/>
      </c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8" t="n"/>
      <c r="N106" s="18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  <c r="Y106" s="18" t="n"/>
      <c r="Z106" s="18" t="n"/>
      <c r="AA106" s="18" t="n"/>
      <c r="AB106" s="18" t="n"/>
      <c r="AC106" s="18" t="n"/>
      <c r="AD106" s="18" t="n"/>
      <c r="AE106" s="18" t="n"/>
      <c r="AF106" s="18" t="n"/>
      <c r="AG106" s="18" t="n"/>
      <c r="AH106" s="18" t="n"/>
      <c r="AI106" s="18" t="n"/>
      <c r="AJ106" s="18" t="n"/>
      <c r="AK106" s="18" t="n"/>
      <c r="AL106" s="18" t="n"/>
      <c r="AM106" s="18" t="n"/>
      <c r="AN106" s="18" t="n"/>
      <c r="AO106" s="18" t="n"/>
      <c r="AP106" s="18" t="n"/>
      <c r="AQ106" s="18" t="n"/>
      <c r="AR106" s="18" t="n"/>
      <c r="AS106" s="18" t="n"/>
      <c r="AT106" s="18" t="n"/>
      <c r="AU106" s="18" t="n"/>
      <c r="AV106" s="18" t="n"/>
      <c r="AW106" s="18" t="n"/>
      <c r="AX106" s="18" t="n"/>
      <c r="AY106" s="18" t="n"/>
      <c r="AZ106" s="18" t="n"/>
      <c r="BA106" s="18" t="n"/>
      <c r="BB106" s="18" t="n"/>
      <c r="BC106" s="18" t="n"/>
      <c r="BD106" s="18" t="n"/>
      <c r="BE106" s="18" t="n"/>
      <c r="BF106" s="18" t="n"/>
      <c r="BG106" s="18" t="n"/>
      <c r="BH106" s="18" t="n"/>
      <c r="BI106" s="18" t="n"/>
      <c r="BJ106" s="18" t="n"/>
      <c r="BK106" s="18" t="n"/>
      <c r="BL106" s="18" t="n"/>
      <c r="BM106" s="18" t="n"/>
      <c r="BN106" s="18" t="n"/>
      <c r="BO106" s="18" t="n"/>
      <c r="BP106" s="18" t="n"/>
      <c r="BQ106" s="18" t="n"/>
      <c r="BR106" s="18" t="n"/>
      <c r="BS106" s="18" t="n"/>
      <c r="BT106" s="18" t="n"/>
      <c r="BU106" s="18" t="n"/>
      <c r="BV106" s="18" t="n"/>
      <c r="BW106" s="18" t="n"/>
      <c r="BX106" s="18" t="n"/>
      <c r="BY106" s="18" t="n"/>
      <c r="BZ106" s="18" t="n"/>
      <c r="CA106" s="18" t="n"/>
      <c r="CB106" s="18" t="n"/>
      <c r="CC106" s="18" t="n"/>
      <c r="CD106" s="18" t="n"/>
      <c r="CE106" s="18" t="n"/>
      <c r="CF106" s="18" t="n"/>
      <c r="CG106" s="18" t="n"/>
      <c r="CH106" s="18" t="n"/>
      <c r="CI106" s="18" t="n"/>
      <c r="CJ106" s="18" t="n"/>
      <c r="CK106" s="18" t="n"/>
      <c r="CL106" s="18" t="n"/>
      <c r="CM106" s="18" t="n"/>
      <c r="CN106" s="18" t="n"/>
      <c r="CO106" s="18" t="n"/>
      <c r="CP106" s="18" t="n"/>
      <c r="CQ106" s="18" t="n"/>
      <c r="CR106" s="18" t="n"/>
      <c r="CS106" s="18" t="n"/>
      <c r="CT106" s="18" t="n"/>
      <c r="CU106" s="18" t="n"/>
      <c r="CV106" s="18" t="n"/>
      <c r="CW106" s="18" t="n"/>
      <c r="CX106" s="18" t="n"/>
      <c r="CY106" s="18" t="n"/>
      <c r="CZ106" s="18" t="n"/>
      <c r="DA106" s="18" t="n"/>
      <c r="DB106" s="18" t="n"/>
      <c r="DC106" s="18" t="n"/>
      <c r="DD106" s="18" t="n"/>
      <c r="DE106" s="18" t="n"/>
      <c r="DF106" s="18" t="n"/>
      <c r="DG106" s="18" t="n"/>
      <c r="DH106" s="18" t="n"/>
      <c r="DI106" s="18" t="n"/>
      <c r="DJ106" s="18" t="n"/>
      <c r="DK106" s="18" t="n"/>
      <c r="DL106" s="18" t="n"/>
      <c r="DM106" s="18" t="n"/>
      <c r="DN106" s="18" t="n"/>
      <c r="DO106" s="18" t="n"/>
      <c r="DP106" s="18" t="n"/>
      <c r="DQ106" s="18" t="n"/>
      <c r="DR106" s="18" t="n"/>
      <c r="DS106" s="18" t="n"/>
      <c r="DT106" s="18" t="n"/>
    </row>
    <row r="107">
      <c r="A107" s="18">
        <f>'Schedule_Data_Option_B'!A108</f>
        <v/>
      </c>
      <c r="B107" s="18">
        <f>'Schedule_Data_Option_B'!B108</f>
        <v/>
      </c>
      <c r="C107" s="18">
        <f>'Schedule_Data_Option_B'!C108</f>
        <v/>
      </c>
      <c r="D107" s="21">
        <f>'Schedule_Data_Option_B'!D108</f>
        <v/>
      </c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8" t="n"/>
      <c r="N107" s="18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  <c r="Y107" s="18" t="n"/>
      <c r="Z107" s="18" t="n"/>
      <c r="AA107" s="18" t="n"/>
      <c r="AB107" s="18" t="n"/>
      <c r="AC107" s="18" t="n"/>
      <c r="AD107" s="18" t="n"/>
      <c r="AE107" s="18" t="n"/>
      <c r="AF107" s="18" t="n"/>
      <c r="AG107" s="18" t="n"/>
      <c r="AH107" s="18" t="n"/>
      <c r="AI107" s="18" t="n"/>
      <c r="AJ107" s="18" t="n"/>
      <c r="AK107" s="18" t="n"/>
      <c r="AL107" s="18" t="n"/>
      <c r="AM107" s="18" t="n"/>
      <c r="AN107" s="18" t="n"/>
      <c r="AO107" s="18" t="n"/>
      <c r="AP107" s="18" t="n"/>
      <c r="AQ107" s="18" t="n"/>
      <c r="AR107" s="18" t="n"/>
      <c r="AS107" s="18" t="n"/>
      <c r="AT107" s="18" t="n"/>
      <c r="AU107" s="18" t="n"/>
      <c r="AV107" s="18" t="n"/>
      <c r="AW107" s="18" t="n"/>
      <c r="AX107" s="18" t="n"/>
      <c r="AY107" s="18" t="n"/>
      <c r="AZ107" s="18" t="n"/>
      <c r="BA107" s="18" t="n"/>
      <c r="BB107" s="18" t="n"/>
      <c r="BC107" s="18" t="n"/>
      <c r="BD107" s="18" t="n"/>
      <c r="BE107" s="18" t="n"/>
      <c r="BF107" s="18" t="n"/>
      <c r="BG107" s="18" t="n"/>
      <c r="BH107" s="18" t="n"/>
      <c r="BI107" s="18" t="n"/>
      <c r="BJ107" s="18" t="n"/>
      <c r="BK107" s="18" t="n"/>
      <c r="BL107" s="18" t="n"/>
      <c r="BM107" s="18" t="n"/>
      <c r="BN107" s="18" t="n"/>
      <c r="BO107" s="18" t="n"/>
      <c r="BP107" s="18" t="n"/>
      <c r="BQ107" s="18" t="n"/>
      <c r="BR107" s="18" t="n"/>
      <c r="BS107" s="18" t="n"/>
      <c r="BT107" s="18" t="n"/>
      <c r="BU107" s="18" t="n"/>
      <c r="BV107" s="18" t="n"/>
      <c r="BW107" s="18" t="n"/>
      <c r="BX107" s="18" t="n"/>
      <c r="BY107" s="18" t="n"/>
      <c r="BZ107" s="18" t="n"/>
      <c r="CA107" s="18" t="n"/>
      <c r="CB107" s="18" t="n"/>
      <c r="CC107" s="18" t="n"/>
      <c r="CD107" s="18" t="n"/>
      <c r="CE107" s="18" t="n"/>
      <c r="CF107" s="18" t="n"/>
      <c r="CG107" s="18" t="n"/>
      <c r="CH107" s="18" t="n"/>
      <c r="CI107" s="18" t="n"/>
      <c r="CJ107" s="18" t="n"/>
      <c r="CK107" s="18" t="n"/>
      <c r="CL107" s="18" t="n"/>
      <c r="CM107" s="18" t="n"/>
      <c r="CN107" s="18" t="n"/>
      <c r="CO107" s="18" t="n"/>
      <c r="CP107" s="18" t="n"/>
      <c r="CQ107" s="18" t="n"/>
      <c r="CR107" s="18" t="n"/>
      <c r="CS107" s="18" t="n"/>
      <c r="CT107" s="18" t="n"/>
      <c r="CU107" s="18" t="n"/>
      <c r="CV107" s="18" t="n"/>
      <c r="CW107" s="18" t="n"/>
      <c r="CX107" s="18" t="n"/>
      <c r="CY107" s="18" t="n"/>
      <c r="CZ107" s="18" t="n"/>
      <c r="DA107" s="18" t="n"/>
      <c r="DB107" s="18" t="n"/>
      <c r="DC107" s="18" t="n"/>
      <c r="DD107" s="18" t="n"/>
      <c r="DE107" s="18" t="n"/>
      <c r="DF107" s="18" t="n"/>
      <c r="DG107" s="18" t="n"/>
      <c r="DH107" s="18" t="n"/>
      <c r="DI107" s="18" t="n"/>
      <c r="DJ107" s="18" t="n"/>
      <c r="DK107" s="18" t="n"/>
      <c r="DL107" s="18" t="n"/>
      <c r="DM107" s="18" t="n"/>
      <c r="DN107" s="18" t="n"/>
      <c r="DO107" s="18" t="n"/>
      <c r="DP107" s="18" t="n"/>
      <c r="DQ107" s="18" t="n"/>
      <c r="DR107" s="18" t="n"/>
      <c r="DS107" s="18" t="n"/>
      <c r="DT107" s="18" t="n"/>
    </row>
    <row r="108">
      <c r="A108" s="18">
        <f>'Schedule_Data_Option_B'!A109</f>
        <v/>
      </c>
      <c r="B108" s="18">
        <f>'Schedule_Data_Option_B'!B109</f>
        <v/>
      </c>
      <c r="C108" s="18">
        <f>'Schedule_Data_Option_B'!C109</f>
        <v/>
      </c>
      <c r="D108" s="27">
        <f>'Schedule_Data_Option_B'!D109</f>
        <v/>
      </c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8" t="n"/>
      <c r="N108" s="18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  <c r="Y108" s="18" t="n"/>
      <c r="Z108" s="18" t="n"/>
      <c r="AA108" s="18" t="n"/>
      <c r="AB108" s="18" t="n"/>
      <c r="AC108" s="18" t="n"/>
      <c r="AD108" s="18" t="n"/>
      <c r="AE108" s="18" t="n"/>
      <c r="AF108" s="18" t="n"/>
      <c r="AG108" s="18" t="n"/>
      <c r="AH108" s="18" t="n"/>
      <c r="AI108" s="18" t="n"/>
      <c r="AJ108" s="18" t="n"/>
      <c r="AK108" s="18" t="n"/>
      <c r="AL108" s="18" t="n"/>
      <c r="AM108" s="18" t="n"/>
      <c r="AN108" s="18" t="n"/>
      <c r="AO108" s="18" t="n"/>
      <c r="AP108" s="18" t="n"/>
      <c r="AQ108" s="18" t="n"/>
      <c r="AR108" s="18" t="n"/>
      <c r="AS108" s="18" t="n"/>
      <c r="AT108" s="18" t="n"/>
      <c r="AU108" s="18" t="n"/>
      <c r="AV108" s="18" t="n"/>
      <c r="AW108" s="18" t="n"/>
      <c r="AX108" s="18" t="n"/>
      <c r="AY108" s="18" t="n"/>
      <c r="AZ108" s="18" t="n"/>
      <c r="BA108" s="27" t="n"/>
      <c r="BB108" s="18" t="n"/>
      <c r="BC108" s="18" t="n"/>
      <c r="BD108" s="18" t="n"/>
      <c r="BE108" s="18" t="n"/>
      <c r="BF108" s="18" t="n"/>
      <c r="BG108" s="18" t="n"/>
      <c r="BH108" s="18" t="n"/>
      <c r="BI108" s="18" t="n"/>
      <c r="BJ108" s="18" t="n"/>
      <c r="BK108" s="18" t="n"/>
      <c r="BL108" s="18" t="n"/>
      <c r="BM108" s="18" t="n"/>
      <c r="BN108" s="18" t="n"/>
      <c r="BO108" s="18" t="n"/>
      <c r="BP108" s="18" t="n"/>
      <c r="BQ108" s="18" t="n"/>
      <c r="BR108" s="18" t="n"/>
      <c r="BS108" s="18" t="n"/>
      <c r="BT108" s="18" t="n"/>
      <c r="BU108" s="18" t="n"/>
      <c r="BV108" s="18" t="n"/>
      <c r="BW108" s="18" t="n"/>
      <c r="BX108" s="18" t="n"/>
      <c r="BY108" s="18" t="n"/>
      <c r="BZ108" s="18" t="n"/>
      <c r="CA108" s="18" t="n"/>
      <c r="CB108" s="18" t="n"/>
      <c r="CC108" s="18" t="n"/>
      <c r="CD108" s="18" t="n"/>
      <c r="CE108" s="18" t="n"/>
      <c r="CF108" s="18" t="n"/>
      <c r="CG108" s="18" t="n"/>
      <c r="CH108" s="18" t="n"/>
      <c r="CI108" s="18" t="n"/>
      <c r="CJ108" s="18" t="n"/>
      <c r="CK108" s="18" t="n"/>
      <c r="CL108" s="18" t="n"/>
      <c r="CM108" s="18" t="n"/>
      <c r="CN108" s="18" t="n"/>
      <c r="CO108" s="18" t="n"/>
      <c r="CP108" s="18" t="n"/>
      <c r="CQ108" s="18" t="n"/>
      <c r="CR108" s="18" t="n"/>
      <c r="CS108" s="18" t="n"/>
      <c r="CT108" s="18" t="n"/>
      <c r="CU108" s="18" t="n"/>
      <c r="CV108" s="18" t="n"/>
      <c r="CW108" s="18" t="n"/>
      <c r="CX108" s="18" t="n"/>
      <c r="CY108" s="18" t="n"/>
      <c r="CZ108" s="18" t="n"/>
      <c r="DA108" s="18" t="n"/>
      <c r="DB108" s="18" t="n"/>
      <c r="DC108" s="18" t="n"/>
      <c r="DD108" s="18" t="n"/>
      <c r="DE108" s="18" t="n"/>
      <c r="DF108" s="18" t="n"/>
      <c r="DG108" s="18" t="n"/>
      <c r="DH108" s="18" t="n"/>
      <c r="DI108" s="18" t="n"/>
      <c r="DJ108" s="18" t="n"/>
      <c r="DK108" s="18" t="n"/>
      <c r="DL108" s="18" t="n"/>
      <c r="DM108" s="18" t="n"/>
      <c r="DN108" s="18" t="n"/>
      <c r="DO108" s="18" t="n"/>
      <c r="DP108" s="18" t="n"/>
      <c r="DQ108" s="18" t="n"/>
      <c r="DR108" s="18" t="n"/>
      <c r="DS108" s="18" t="n"/>
      <c r="DT108" s="18" t="n"/>
    </row>
    <row r="109">
      <c r="A109" s="18">
        <f>'Schedule_Data_Option_B'!A110</f>
        <v/>
      </c>
      <c r="B109" s="18">
        <f>'Schedule_Data_Option_B'!B110</f>
        <v/>
      </c>
      <c r="C109" s="18">
        <f>'Schedule_Data_Option_B'!C110</f>
        <v/>
      </c>
      <c r="D109" s="38">
        <f>'Schedule_Data_Option_B'!D110</f>
        <v/>
      </c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8" t="n"/>
      <c r="N109" s="18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  <c r="Y109" s="18" t="n"/>
      <c r="Z109" s="18" t="n"/>
      <c r="AA109" s="18" t="n"/>
      <c r="AB109" s="18" t="n"/>
      <c r="AC109" s="18" t="n"/>
      <c r="AD109" s="18" t="n"/>
      <c r="AE109" s="18" t="n"/>
      <c r="AF109" s="18" t="n"/>
      <c r="AG109" s="18" t="n"/>
      <c r="AH109" s="18" t="n"/>
      <c r="AI109" s="18" t="n"/>
      <c r="AJ109" s="18" t="n"/>
      <c r="AK109" s="18" t="n"/>
      <c r="AL109" s="18" t="n"/>
      <c r="AM109" s="18" t="n"/>
      <c r="AN109" s="18" t="n"/>
      <c r="AO109" s="18" t="n"/>
      <c r="AP109" s="18" t="n"/>
      <c r="AQ109" s="18" t="n"/>
      <c r="AR109" s="18" t="n"/>
      <c r="AS109" s="18" t="n"/>
      <c r="AT109" s="18" t="n"/>
      <c r="AU109" s="18" t="n"/>
      <c r="AV109" s="18" t="n"/>
      <c r="AW109" s="18" t="n"/>
      <c r="AX109" s="18" t="n"/>
      <c r="AY109" s="18" t="n"/>
      <c r="AZ109" s="18" t="n"/>
      <c r="BA109" s="18" t="n"/>
      <c r="BB109" s="18" t="n"/>
      <c r="BC109" s="18" t="n"/>
      <c r="BD109" s="38" t="n"/>
      <c r="BE109" s="18" t="n"/>
      <c r="BF109" s="18" t="n"/>
      <c r="BG109" s="18" t="n"/>
      <c r="BH109" s="18" t="n"/>
      <c r="BI109" s="18" t="n"/>
      <c r="BJ109" s="18" t="n"/>
      <c r="BK109" s="18" t="n"/>
      <c r="BL109" s="18" t="n"/>
      <c r="BM109" s="18" t="n"/>
      <c r="BN109" s="18" t="n"/>
      <c r="BO109" s="18" t="n"/>
      <c r="BP109" s="18" t="n"/>
      <c r="BQ109" s="18" t="n"/>
      <c r="BR109" s="18" t="n"/>
      <c r="BS109" s="18" t="n"/>
      <c r="BT109" s="18" t="n"/>
      <c r="BU109" s="18" t="n"/>
      <c r="BV109" s="18" t="n"/>
      <c r="BW109" s="18" t="n"/>
      <c r="BX109" s="18" t="n"/>
      <c r="BY109" s="18" t="n"/>
      <c r="BZ109" s="18" t="n"/>
      <c r="CA109" s="18" t="n"/>
      <c r="CB109" s="18" t="n"/>
      <c r="CC109" s="18" t="n"/>
      <c r="CD109" s="18" t="n"/>
      <c r="CE109" s="18" t="n"/>
      <c r="CF109" s="18" t="n"/>
      <c r="CG109" s="18" t="n"/>
      <c r="CH109" s="18" t="n"/>
      <c r="CI109" s="18" t="n"/>
      <c r="CJ109" s="18" t="n"/>
      <c r="CK109" s="18" t="n"/>
      <c r="CL109" s="18" t="n"/>
      <c r="CM109" s="18" t="n"/>
      <c r="CN109" s="18" t="n"/>
      <c r="CO109" s="18" t="n"/>
      <c r="CP109" s="18" t="n"/>
      <c r="CQ109" s="18" t="n"/>
      <c r="CR109" s="18" t="n"/>
      <c r="CS109" s="18" t="n"/>
      <c r="CT109" s="18" t="n"/>
      <c r="CU109" s="18" t="n"/>
      <c r="CV109" s="18" t="n"/>
      <c r="CW109" s="18" t="n"/>
      <c r="CX109" s="18" t="n"/>
      <c r="CY109" s="18" t="n"/>
      <c r="CZ109" s="18" t="n"/>
      <c r="DA109" s="18" t="n"/>
      <c r="DB109" s="18" t="n"/>
      <c r="DC109" s="18" t="n"/>
      <c r="DD109" s="18" t="n"/>
      <c r="DE109" s="18" t="n"/>
      <c r="DF109" s="18" t="n"/>
      <c r="DG109" s="18" t="n"/>
      <c r="DH109" s="18" t="n"/>
      <c r="DI109" s="18" t="n"/>
      <c r="DJ109" s="18" t="n"/>
      <c r="DK109" s="18" t="n"/>
      <c r="DL109" s="18" t="n"/>
      <c r="DM109" s="18" t="n"/>
      <c r="DN109" s="18" t="n"/>
      <c r="DO109" s="18" t="n"/>
      <c r="DP109" s="18" t="n"/>
      <c r="DQ109" s="18" t="n"/>
      <c r="DR109" s="18" t="n"/>
      <c r="DS109" s="18" t="n"/>
      <c r="DT109" s="18" t="n"/>
    </row>
    <row r="110">
      <c r="A110" s="18">
        <f>'Schedule_Data_Option_B'!A111</f>
        <v/>
      </c>
      <c r="B110" s="18">
        <f>'Schedule_Data_Option_B'!B111</f>
        <v/>
      </c>
      <c r="C110" s="18">
        <f>'Schedule_Data_Option_B'!C111</f>
        <v/>
      </c>
      <c r="D110" s="21">
        <f>'Schedule_Data_Option_B'!D111</f>
        <v/>
      </c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8" t="n"/>
      <c r="N110" s="18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  <c r="Y110" s="18" t="n"/>
      <c r="Z110" s="18" t="n"/>
      <c r="AA110" s="18" t="n"/>
      <c r="AB110" s="18" t="n"/>
      <c r="AC110" s="18" t="n"/>
      <c r="AD110" s="18" t="n"/>
      <c r="AE110" s="18" t="n"/>
      <c r="AF110" s="18" t="n"/>
      <c r="AG110" s="18" t="n"/>
      <c r="AH110" s="18" t="n"/>
      <c r="AI110" s="18" t="n"/>
      <c r="AJ110" s="18" t="n"/>
      <c r="AK110" s="18" t="n"/>
      <c r="AL110" s="18" t="n"/>
      <c r="AM110" s="18" t="n"/>
      <c r="AN110" s="18" t="n"/>
      <c r="AO110" s="18" t="n"/>
      <c r="AP110" s="18" t="n"/>
      <c r="AQ110" s="18" t="n"/>
      <c r="AR110" s="18" t="n"/>
      <c r="AS110" s="18" t="n"/>
      <c r="AT110" s="18" t="n"/>
      <c r="AU110" s="18" t="n"/>
      <c r="AV110" s="18" t="n"/>
      <c r="AW110" s="18" t="n"/>
      <c r="AX110" s="18" t="n"/>
      <c r="AY110" s="18" t="n"/>
      <c r="AZ110" s="18" t="n"/>
      <c r="BA110" s="18" t="n"/>
      <c r="BB110" s="18" t="n"/>
      <c r="BC110" s="21" t="n"/>
      <c r="BD110" s="18" t="n"/>
      <c r="BE110" s="18" t="n"/>
      <c r="BF110" s="18" t="n"/>
      <c r="BG110" s="18" t="n"/>
      <c r="BH110" s="18" t="n"/>
      <c r="BI110" s="18" t="n"/>
      <c r="BJ110" s="18" t="n"/>
      <c r="BK110" s="18" t="n"/>
      <c r="BL110" s="18" t="n"/>
      <c r="BM110" s="18" t="n"/>
      <c r="BN110" s="18" t="n"/>
      <c r="BO110" s="18" t="n"/>
      <c r="BP110" s="18" t="n"/>
      <c r="BQ110" s="18" t="n"/>
      <c r="BR110" s="18" t="n"/>
      <c r="BS110" s="18" t="n"/>
      <c r="BT110" s="18" t="n"/>
      <c r="BU110" s="18" t="n"/>
      <c r="BV110" s="18" t="n"/>
      <c r="BW110" s="18" t="n"/>
      <c r="BX110" s="18" t="n"/>
      <c r="BY110" s="18" t="n"/>
      <c r="BZ110" s="18" t="n"/>
      <c r="CA110" s="18" t="n"/>
      <c r="CB110" s="18" t="n"/>
      <c r="CC110" s="18" t="n"/>
      <c r="CD110" s="18" t="n"/>
      <c r="CE110" s="18" t="n"/>
      <c r="CF110" s="18" t="n"/>
      <c r="CG110" s="18" t="n"/>
      <c r="CH110" s="18" t="n"/>
      <c r="CI110" s="18" t="n"/>
      <c r="CJ110" s="18" t="n"/>
      <c r="CK110" s="18" t="n"/>
      <c r="CL110" s="18" t="n"/>
      <c r="CM110" s="18" t="n"/>
      <c r="CN110" s="18" t="n"/>
      <c r="CO110" s="18" t="n"/>
      <c r="CP110" s="18" t="n"/>
      <c r="CQ110" s="18" t="n"/>
      <c r="CR110" s="18" t="n"/>
      <c r="CS110" s="18" t="n"/>
      <c r="CT110" s="18" t="n"/>
      <c r="CU110" s="18" t="n"/>
      <c r="CV110" s="18" t="n"/>
      <c r="CW110" s="18" t="n"/>
      <c r="CX110" s="18" t="n"/>
      <c r="CY110" s="18" t="n"/>
      <c r="CZ110" s="18" t="n"/>
      <c r="DA110" s="18" t="n"/>
      <c r="DB110" s="18" t="n"/>
      <c r="DC110" s="18" t="n"/>
      <c r="DD110" s="18" t="n"/>
      <c r="DE110" s="18" t="n"/>
      <c r="DF110" s="18" t="n"/>
      <c r="DG110" s="18" t="n"/>
      <c r="DH110" s="18" t="n"/>
      <c r="DI110" s="18" t="n"/>
      <c r="DJ110" s="18" t="n"/>
      <c r="DK110" s="18" t="n"/>
      <c r="DL110" s="18" t="n"/>
      <c r="DM110" s="18" t="n"/>
      <c r="DN110" s="18" t="n"/>
      <c r="DO110" s="18" t="n"/>
      <c r="DP110" s="18" t="n"/>
      <c r="DQ110" s="18" t="n"/>
      <c r="DR110" s="18" t="n"/>
      <c r="DS110" s="18" t="n"/>
      <c r="DT110" s="18" t="n"/>
    </row>
    <row r="111">
      <c r="A111" s="18">
        <f>'Schedule_Data_Option_B'!A112</f>
        <v/>
      </c>
      <c r="B111" s="18">
        <f>'Schedule_Data_Option_B'!B112</f>
        <v/>
      </c>
      <c r="C111" s="18">
        <f>'Schedule_Data_Option_B'!C112</f>
        <v/>
      </c>
      <c r="D111" s="19">
        <f>'Schedule_Data_Option_B'!D112</f>
        <v/>
      </c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8" t="n"/>
      <c r="N111" s="18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  <c r="Y111" s="18" t="n"/>
      <c r="Z111" s="18" t="n"/>
      <c r="AA111" s="18" t="n"/>
      <c r="AB111" s="18" t="n"/>
      <c r="AC111" s="18" t="n"/>
      <c r="AD111" s="18" t="n"/>
      <c r="AE111" s="18" t="n"/>
      <c r="AF111" s="18" t="n"/>
      <c r="AG111" s="18" t="n"/>
      <c r="AH111" s="18" t="n"/>
      <c r="AI111" s="18" t="n"/>
      <c r="AJ111" s="18" t="n"/>
      <c r="AK111" s="18" t="n"/>
      <c r="AL111" s="18" t="n"/>
      <c r="AM111" s="18" t="n"/>
      <c r="AN111" s="18" t="n"/>
      <c r="AO111" s="18" t="n"/>
      <c r="AP111" s="18" t="n"/>
      <c r="AQ111" s="18" t="n"/>
      <c r="AR111" s="18" t="n"/>
      <c r="AS111" s="18" t="n"/>
      <c r="AT111" s="18" t="n"/>
      <c r="AU111" s="18" t="n"/>
      <c r="AV111" s="18" t="n"/>
      <c r="AW111" s="18" t="n"/>
      <c r="AX111" s="18" t="n"/>
      <c r="AY111" s="18" t="n"/>
      <c r="AZ111" s="18" t="n"/>
      <c r="BA111" s="18" t="n"/>
      <c r="BB111" s="18" t="n"/>
      <c r="BC111" s="18" t="n"/>
      <c r="BD111" s="19" t="n"/>
      <c r="BE111" s="18" t="n"/>
      <c r="BF111" s="18" t="n"/>
      <c r="BG111" s="18" t="n"/>
      <c r="BH111" s="18" t="n"/>
      <c r="BI111" s="18" t="n"/>
      <c r="BJ111" s="18" t="n"/>
      <c r="BK111" s="18" t="n"/>
      <c r="BL111" s="18" t="n"/>
      <c r="BM111" s="18" t="n"/>
      <c r="BN111" s="18" t="n"/>
      <c r="BO111" s="18" t="n"/>
      <c r="BP111" s="18" t="n"/>
      <c r="BQ111" s="18" t="n"/>
      <c r="BR111" s="18" t="n"/>
      <c r="BS111" s="18" t="n"/>
      <c r="BT111" s="18" t="n"/>
      <c r="BU111" s="18" t="n"/>
      <c r="BV111" s="18" t="n"/>
      <c r="BW111" s="18" t="n"/>
      <c r="BX111" s="18" t="n"/>
      <c r="BY111" s="18" t="n"/>
      <c r="BZ111" s="18" t="n"/>
      <c r="CA111" s="18" t="n"/>
      <c r="CB111" s="18" t="n"/>
      <c r="CC111" s="18" t="n"/>
      <c r="CD111" s="18" t="n"/>
      <c r="CE111" s="18" t="n"/>
      <c r="CF111" s="18" t="n"/>
      <c r="CG111" s="18" t="n"/>
      <c r="CH111" s="18" t="n"/>
      <c r="CI111" s="18" t="n"/>
      <c r="CJ111" s="18" t="n"/>
      <c r="CK111" s="18" t="n"/>
      <c r="CL111" s="18" t="n"/>
      <c r="CM111" s="18" t="n"/>
      <c r="CN111" s="18" t="n"/>
      <c r="CO111" s="18" t="n"/>
      <c r="CP111" s="18" t="n"/>
      <c r="CQ111" s="18" t="n"/>
      <c r="CR111" s="18" t="n"/>
      <c r="CS111" s="18" t="n"/>
      <c r="CT111" s="18" t="n"/>
      <c r="CU111" s="18" t="n"/>
      <c r="CV111" s="18" t="n"/>
      <c r="CW111" s="18" t="n"/>
      <c r="CX111" s="18" t="n"/>
      <c r="CY111" s="18" t="n"/>
      <c r="CZ111" s="18" t="n"/>
      <c r="DA111" s="18" t="n"/>
      <c r="DB111" s="18" t="n"/>
      <c r="DC111" s="18" t="n"/>
      <c r="DD111" s="18" t="n"/>
      <c r="DE111" s="18" t="n"/>
      <c r="DF111" s="18" t="n"/>
      <c r="DG111" s="18" t="n"/>
      <c r="DH111" s="18" t="n"/>
      <c r="DI111" s="18" t="n"/>
      <c r="DJ111" s="18" t="n"/>
      <c r="DK111" s="18" t="n"/>
      <c r="DL111" s="18" t="n"/>
      <c r="DM111" s="18" t="n"/>
      <c r="DN111" s="18" t="n"/>
      <c r="DO111" s="18" t="n"/>
      <c r="DP111" s="18" t="n"/>
      <c r="DQ111" s="18" t="n"/>
      <c r="DR111" s="18" t="n"/>
      <c r="DS111" s="18" t="n"/>
      <c r="DT111" s="18" t="n"/>
    </row>
    <row r="112">
      <c r="A112" s="18">
        <f>'Schedule_Data_Option_B'!A113</f>
        <v/>
      </c>
      <c r="B112" s="18">
        <f>'Schedule_Data_Option_B'!B113</f>
        <v/>
      </c>
      <c r="C112" s="18">
        <f>'Schedule_Data_Option_B'!C113</f>
        <v/>
      </c>
      <c r="D112" s="19">
        <f>'Schedule_Data_Option_B'!D113</f>
        <v/>
      </c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8" t="n"/>
      <c r="N112" s="18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  <c r="Y112" s="18" t="n"/>
      <c r="Z112" s="18" t="n"/>
      <c r="AA112" s="18" t="n"/>
      <c r="AB112" s="18" t="n"/>
      <c r="AC112" s="18" t="n"/>
      <c r="AD112" s="18" t="n"/>
      <c r="AE112" s="18" t="n"/>
      <c r="AF112" s="18" t="n"/>
      <c r="AG112" s="18" t="n"/>
      <c r="AH112" s="18" t="n"/>
      <c r="AI112" s="18" t="n"/>
      <c r="AJ112" s="18" t="n"/>
      <c r="AK112" s="18" t="n"/>
      <c r="AL112" s="18" t="n"/>
      <c r="AM112" s="18" t="n"/>
      <c r="AN112" s="18" t="n"/>
      <c r="AO112" s="18" t="n"/>
      <c r="AP112" s="18" t="n"/>
      <c r="AQ112" s="18" t="n"/>
      <c r="AR112" s="18" t="n"/>
      <c r="AS112" s="18" t="n"/>
      <c r="AT112" s="18" t="n"/>
      <c r="AU112" s="18" t="n"/>
      <c r="AV112" s="18" t="n"/>
      <c r="AW112" s="18" t="n"/>
      <c r="AX112" s="18" t="n"/>
      <c r="AY112" s="18" t="n"/>
      <c r="AZ112" s="18" t="n"/>
      <c r="BA112" s="18" t="n"/>
      <c r="BB112" s="18" t="n"/>
      <c r="BC112" s="18" t="n"/>
      <c r="BD112" s="18" t="n"/>
      <c r="BE112" s="19" t="n"/>
      <c r="BF112" s="18" t="n"/>
      <c r="BG112" s="18" t="n"/>
      <c r="BH112" s="18" t="n"/>
      <c r="BI112" s="18" t="n"/>
      <c r="BJ112" s="18" t="n"/>
      <c r="BK112" s="18" t="n"/>
      <c r="BL112" s="18" t="n"/>
      <c r="BM112" s="18" t="n"/>
      <c r="BN112" s="18" t="n"/>
      <c r="BO112" s="18" t="n"/>
      <c r="BP112" s="18" t="n"/>
      <c r="BQ112" s="18" t="n"/>
      <c r="BR112" s="18" t="n"/>
      <c r="BS112" s="18" t="n"/>
      <c r="BT112" s="18" t="n"/>
      <c r="BU112" s="18" t="n"/>
      <c r="BV112" s="18" t="n"/>
      <c r="BW112" s="18" t="n"/>
      <c r="BX112" s="18" t="n"/>
      <c r="BY112" s="18" t="n"/>
      <c r="BZ112" s="18" t="n"/>
      <c r="CA112" s="18" t="n"/>
      <c r="CB112" s="18" t="n"/>
      <c r="CC112" s="18" t="n"/>
      <c r="CD112" s="18" t="n"/>
      <c r="CE112" s="18" t="n"/>
      <c r="CF112" s="18" t="n"/>
      <c r="CG112" s="18" t="n"/>
      <c r="CH112" s="18" t="n"/>
      <c r="CI112" s="18" t="n"/>
      <c r="CJ112" s="18" t="n"/>
      <c r="CK112" s="18" t="n"/>
      <c r="CL112" s="18" t="n"/>
      <c r="CM112" s="18" t="n"/>
      <c r="CN112" s="18" t="n"/>
      <c r="CO112" s="18" t="n"/>
      <c r="CP112" s="18" t="n"/>
      <c r="CQ112" s="18" t="n"/>
      <c r="CR112" s="18" t="n"/>
      <c r="CS112" s="18" t="n"/>
      <c r="CT112" s="18" t="n"/>
      <c r="CU112" s="18" t="n"/>
      <c r="CV112" s="18" t="n"/>
      <c r="CW112" s="18" t="n"/>
      <c r="CX112" s="18" t="n"/>
      <c r="CY112" s="18" t="n"/>
      <c r="CZ112" s="18" t="n"/>
      <c r="DA112" s="18" t="n"/>
      <c r="DB112" s="18" t="n"/>
      <c r="DC112" s="18" t="n"/>
      <c r="DD112" s="18" t="n"/>
      <c r="DE112" s="18" t="n"/>
      <c r="DF112" s="18" t="n"/>
      <c r="DG112" s="18" t="n"/>
      <c r="DH112" s="18" t="n"/>
      <c r="DI112" s="18" t="n"/>
      <c r="DJ112" s="18" t="n"/>
      <c r="DK112" s="18" t="n"/>
      <c r="DL112" s="18" t="n"/>
      <c r="DM112" s="18" t="n"/>
      <c r="DN112" s="18" t="n"/>
      <c r="DO112" s="18" t="n"/>
      <c r="DP112" s="18" t="n"/>
      <c r="DQ112" s="18" t="n"/>
      <c r="DR112" s="18" t="n"/>
      <c r="DS112" s="18" t="n"/>
      <c r="DT112" s="18" t="n"/>
    </row>
    <row r="113">
      <c r="A113" s="18">
        <f>'Schedule_Data_Option_B'!A114</f>
        <v/>
      </c>
      <c r="B113" s="18">
        <f>'Schedule_Data_Option_B'!B114</f>
        <v/>
      </c>
      <c r="C113" s="18">
        <f>'Schedule_Data_Option_B'!C114</f>
        <v/>
      </c>
      <c r="D113" s="21">
        <f>'Schedule_Data_Option_B'!D114</f>
        <v/>
      </c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8" t="n"/>
      <c r="N113" s="18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  <c r="Y113" s="18" t="n"/>
      <c r="Z113" s="18" t="n"/>
      <c r="AA113" s="18" t="n"/>
      <c r="AB113" s="18" t="n"/>
      <c r="AC113" s="18" t="n"/>
      <c r="AD113" s="18" t="n"/>
      <c r="AE113" s="18" t="n"/>
      <c r="AF113" s="18" t="n"/>
      <c r="AG113" s="18" t="n"/>
      <c r="AH113" s="18" t="n"/>
      <c r="AI113" s="18" t="n"/>
      <c r="AJ113" s="18" t="n"/>
      <c r="AK113" s="18" t="n"/>
      <c r="AL113" s="18" t="n"/>
      <c r="AM113" s="18" t="n"/>
      <c r="AN113" s="18" t="n"/>
      <c r="AO113" s="18" t="n"/>
      <c r="AP113" s="18" t="n"/>
      <c r="AQ113" s="18" t="n"/>
      <c r="AR113" s="18" t="n"/>
      <c r="AS113" s="18" t="n"/>
      <c r="AT113" s="18" t="n"/>
      <c r="AU113" s="18" t="n"/>
      <c r="AV113" s="18" t="n"/>
      <c r="AW113" s="18" t="n"/>
      <c r="AX113" s="18" t="n"/>
      <c r="AY113" s="18" t="n"/>
      <c r="AZ113" s="18" t="n"/>
      <c r="BA113" s="18" t="n"/>
      <c r="BB113" s="18" t="n"/>
      <c r="BC113" s="18" t="n"/>
      <c r="BD113" s="18" t="n"/>
      <c r="BE113" s="36" t="inlineStr">
        <is>
          <t>*</t>
        </is>
      </c>
      <c r="BF113" s="18" t="n"/>
      <c r="BG113" s="18" t="n"/>
      <c r="BH113" s="18" t="n"/>
      <c r="BI113" s="18" t="n"/>
      <c r="BJ113" s="18" t="n"/>
      <c r="BK113" s="18" t="n"/>
      <c r="BL113" s="18" t="n"/>
      <c r="BM113" s="18" t="n"/>
      <c r="BN113" s="18" t="n"/>
      <c r="BO113" s="18" t="n"/>
      <c r="BP113" s="18" t="n"/>
      <c r="BQ113" s="18" t="n"/>
      <c r="BR113" s="18" t="n"/>
      <c r="BS113" s="18" t="n"/>
      <c r="BT113" s="18" t="n"/>
      <c r="BU113" s="18" t="n"/>
      <c r="BV113" s="18" t="n"/>
      <c r="BW113" s="18" t="n"/>
      <c r="BX113" s="18" t="n"/>
      <c r="BY113" s="18" t="n"/>
      <c r="BZ113" s="18" t="n"/>
      <c r="CA113" s="18" t="n"/>
      <c r="CB113" s="18" t="n"/>
      <c r="CC113" s="18" t="n"/>
      <c r="CD113" s="18" t="n"/>
      <c r="CE113" s="18" t="n"/>
      <c r="CF113" s="18" t="n"/>
      <c r="CG113" s="18" t="n"/>
      <c r="CH113" s="18" t="n"/>
      <c r="CI113" s="18" t="n"/>
      <c r="CJ113" s="18" t="n"/>
      <c r="CK113" s="18" t="n"/>
      <c r="CL113" s="18" t="n"/>
      <c r="CM113" s="18" t="n"/>
      <c r="CN113" s="18" t="n"/>
      <c r="CO113" s="18" t="n"/>
      <c r="CP113" s="18" t="n"/>
      <c r="CQ113" s="18" t="n"/>
      <c r="CR113" s="18" t="n"/>
      <c r="CS113" s="18" t="n"/>
      <c r="CT113" s="18" t="n"/>
      <c r="CU113" s="18" t="n"/>
      <c r="CV113" s="18" t="n"/>
      <c r="CW113" s="18" t="n"/>
      <c r="CX113" s="18" t="n"/>
      <c r="CY113" s="18" t="n"/>
      <c r="CZ113" s="18" t="n"/>
      <c r="DA113" s="18" t="n"/>
      <c r="DB113" s="18" t="n"/>
      <c r="DC113" s="18" t="n"/>
      <c r="DD113" s="18" t="n"/>
      <c r="DE113" s="18" t="n"/>
      <c r="DF113" s="18" t="n"/>
      <c r="DG113" s="18" t="n"/>
      <c r="DH113" s="18" t="n"/>
      <c r="DI113" s="18" t="n"/>
      <c r="DJ113" s="18" t="n"/>
      <c r="DK113" s="18" t="n"/>
      <c r="DL113" s="18" t="n"/>
      <c r="DM113" s="18" t="n"/>
      <c r="DN113" s="18" t="n"/>
      <c r="DO113" s="18" t="n"/>
      <c r="DP113" s="18" t="n"/>
      <c r="DQ113" s="18" t="n"/>
      <c r="DR113" s="18" t="n"/>
      <c r="DS113" s="18" t="n"/>
      <c r="DT113" s="18" t="n"/>
    </row>
    <row r="114">
      <c r="A114" s="18">
        <f>'Schedule_Data_Option_B'!A115</f>
        <v/>
      </c>
      <c r="B114" s="18">
        <f>'Schedule_Data_Option_B'!B115</f>
        <v/>
      </c>
      <c r="C114" s="18">
        <f>'Schedule_Data_Option_B'!C115</f>
        <v/>
      </c>
      <c r="D114" s="22">
        <f>'Schedule_Data_Option_B'!D115</f>
        <v/>
      </c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8" t="n"/>
      <c r="N114" s="18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  <c r="Y114" s="18" t="n"/>
      <c r="Z114" s="18" t="n"/>
      <c r="AA114" s="18" t="n"/>
      <c r="AB114" s="18" t="n"/>
      <c r="AC114" s="18" t="n"/>
      <c r="AD114" s="18" t="n"/>
      <c r="AE114" s="18" t="n"/>
      <c r="AF114" s="18" t="n"/>
      <c r="AG114" s="18" t="n"/>
      <c r="AH114" s="18" t="n"/>
      <c r="AI114" s="18" t="n"/>
      <c r="AJ114" s="18" t="n"/>
      <c r="AK114" s="18" t="n"/>
      <c r="AL114" s="18" t="n"/>
      <c r="AM114" s="18" t="n"/>
      <c r="AN114" s="18" t="n"/>
      <c r="AO114" s="18" t="n"/>
      <c r="AP114" s="18" t="n"/>
      <c r="AQ114" s="18" t="n"/>
      <c r="AR114" s="18" t="n"/>
      <c r="AS114" s="18" t="n"/>
      <c r="AT114" s="18" t="n"/>
      <c r="AU114" s="18" t="n"/>
      <c r="AV114" s="18" t="n"/>
      <c r="AW114" s="18" t="n"/>
      <c r="AX114" s="18" t="n"/>
      <c r="AY114" s="18" t="n"/>
      <c r="AZ114" s="18" t="n"/>
      <c r="BA114" s="18" t="n"/>
      <c r="BB114" s="18" t="n"/>
      <c r="BC114" s="18" t="n"/>
      <c r="BD114" s="18" t="n"/>
      <c r="BE114" s="22" t="n"/>
      <c r="BF114" s="18" t="n"/>
      <c r="BG114" s="18" t="n"/>
      <c r="BH114" s="18" t="n"/>
      <c r="BI114" s="18" t="n"/>
      <c r="BJ114" s="18" t="n"/>
      <c r="BK114" s="18" t="n"/>
      <c r="BL114" s="18" t="n"/>
      <c r="BM114" s="18" t="n"/>
      <c r="BN114" s="18" t="n"/>
      <c r="BO114" s="18" t="n"/>
      <c r="BP114" s="18" t="n"/>
      <c r="BQ114" s="18" t="n"/>
      <c r="BR114" s="18" t="n"/>
      <c r="BS114" s="18" t="n"/>
      <c r="BT114" s="18" t="n"/>
      <c r="BU114" s="18" t="n"/>
      <c r="BV114" s="18" t="n"/>
      <c r="BW114" s="18" t="n"/>
      <c r="BX114" s="18" t="n"/>
      <c r="BY114" s="18" t="n"/>
      <c r="BZ114" s="18" t="n"/>
      <c r="CA114" s="18" t="n"/>
      <c r="CB114" s="18" t="n"/>
      <c r="CC114" s="18" t="n"/>
      <c r="CD114" s="18" t="n"/>
      <c r="CE114" s="18" t="n"/>
      <c r="CF114" s="18" t="n"/>
      <c r="CG114" s="18" t="n"/>
      <c r="CH114" s="18" t="n"/>
      <c r="CI114" s="18" t="n"/>
      <c r="CJ114" s="18" t="n"/>
      <c r="CK114" s="18" t="n"/>
      <c r="CL114" s="18" t="n"/>
      <c r="CM114" s="18" t="n"/>
      <c r="CN114" s="18" t="n"/>
      <c r="CO114" s="18" t="n"/>
      <c r="CP114" s="18" t="n"/>
      <c r="CQ114" s="18" t="n"/>
      <c r="CR114" s="18" t="n"/>
      <c r="CS114" s="18" t="n"/>
      <c r="CT114" s="18" t="n"/>
      <c r="CU114" s="18" t="n"/>
      <c r="CV114" s="18" t="n"/>
      <c r="CW114" s="18" t="n"/>
      <c r="CX114" s="18" t="n"/>
      <c r="CY114" s="18" t="n"/>
      <c r="CZ114" s="18" t="n"/>
      <c r="DA114" s="18" t="n"/>
      <c r="DB114" s="18" t="n"/>
      <c r="DC114" s="18" t="n"/>
      <c r="DD114" s="18" t="n"/>
      <c r="DE114" s="18" t="n"/>
      <c r="DF114" s="18" t="n"/>
      <c r="DG114" s="18" t="n"/>
      <c r="DH114" s="18" t="n"/>
      <c r="DI114" s="18" t="n"/>
      <c r="DJ114" s="18" t="n"/>
      <c r="DK114" s="18" t="n"/>
      <c r="DL114" s="18" t="n"/>
      <c r="DM114" s="18" t="n"/>
      <c r="DN114" s="18" t="n"/>
      <c r="DO114" s="18" t="n"/>
      <c r="DP114" s="18" t="n"/>
      <c r="DQ114" s="18" t="n"/>
      <c r="DR114" s="18" t="n"/>
      <c r="DS114" s="18" t="n"/>
      <c r="DT114" s="18" t="n"/>
    </row>
    <row r="115">
      <c r="A115" s="18">
        <f>'Schedule_Data_Option_B'!A116</f>
        <v/>
      </c>
      <c r="B115" s="18">
        <f>'Schedule_Data_Option_B'!B116</f>
        <v/>
      </c>
      <c r="C115" s="18">
        <f>'Schedule_Data_Option_B'!C116</f>
        <v/>
      </c>
      <c r="D115" s="21">
        <f>'Schedule_Data_Option_B'!D116</f>
        <v/>
      </c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8" t="n"/>
      <c r="N115" s="18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  <c r="Y115" s="18" t="n"/>
      <c r="Z115" s="18" t="n"/>
      <c r="AA115" s="18" t="n"/>
      <c r="AB115" s="18" t="n"/>
      <c r="AC115" s="18" t="n"/>
      <c r="AD115" s="18" t="n"/>
      <c r="AE115" s="18" t="n"/>
      <c r="AF115" s="18" t="n"/>
      <c r="AG115" s="18" t="n"/>
      <c r="AH115" s="18" t="n"/>
      <c r="AI115" s="18" t="n"/>
      <c r="AJ115" s="18" t="n"/>
      <c r="AK115" s="18" t="n"/>
      <c r="AL115" s="18" t="n"/>
      <c r="AM115" s="18" t="n"/>
      <c r="AN115" s="18" t="n"/>
      <c r="AO115" s="18" t="n"/>
      <c r="AP115" s="18" t="n"/>
      <c r="AQ115" s="18" t="n"/>
      <c r="AR115" s="18" t="n"/>
      <c r="AS115" s="18" t="n"/>
      <c r="AT115" s="18" t="n"/>
      <c r="AU115" s="18" t="n"/>
      <c r="AV115" s="18" t="n"/>
      <c r="AW115" s="18" t="n"/>
      <c r="AX115" s="18" t="n"/>
      <c r="AY115" s="18" t="n"/>
      <c r="AZ115" s="18" t="n"/>
      <c r="BA115" s="18" t="n"/>
      <c r="BB115" s="18" t="n"/>
      <c r="BC115" s="18" t="n"/>
      <c r="BD115" s="18" t="n"/>
      <c r="BE115" s="21" t="n"/>
      <c r="BF115" s="18" t="n"/>
      <c r="BG115" s="18" t="n"/>
      <c r="BH115" s="18" t="n"/>
      <c r="BI115" s="18" t="n"/>
      <c r="BJ115" s="18" t="n"/>
      <c r="BK115" s="18" t="n"/>
      <c r="BL115" s="18" t="n"/>
      <c r="BM115" s="18" t="n"/>
      <c r="BN115" s="18" t="n"/>
      <c r="BO115" s="18" t="n"/>
      <c r="BP115" s="18" t="n"/>
      <c r="BQ115" s="18" t="n"/>
      <c r="BR115" s="18" t="n"/>
      <c r="BS115" s="18" t="n"/>
      <c r="BT115" s="18" t="n"/>
      <c r="BU115" s="18" t="n"/>
      <c r="BV115" s="18" t="n"/>
      <c r="BW115" s="18" t="n"/>
      <c r="BX115" s="18" t="n"/>
      <c r="BY115" s="18" t="n"/>
      <c r="BZ115" s="18" t="n"/>
      <c r="CA115" s="18" t="n"/>
      <c r="CB115" s="18" t="n"/>
      <c r="CC115" s="18" t="n"/>
      <c r="CD115" s="18" t="n"/>
      <c r="CE115" s="18" t="n"/>
      <c r="CF115" s="18" t="n"/>
      <c r="CG115" s="18" t="n"/>
      <c r="CH115" s="18" t="n"/>
      <c r="CI115" s="18" t="n"/>
      <c r="CJ115" s="18" t="n"/>
      <c r="CK115" s="18" t="n"/>
      <c r="CL115" s="18" t="n"/>
      <c r="CM115" s="18" t="n"/>
      <c r="CN115" s="18" t="n"/>
      <c r="CO115" s="18" t="n"/>
      <c r="CP115" s="18" t="n"/>
      <c r="CQ115" s="18" t="n"/>
      <c r="CR115" s="18" t="n"/>
      <c r="CS115" s="18" t="n"/>
      <c r="CT115" s="18" t="n"/>
      <c r="CU115" s="18" t="n"/>
      <c r="CV115" s="18" t="n"/>
      <c r="CW115" s="18" t="n"/>
      <c r="CX115" s="18" t="n"/>
      <c r="CY115" s="18" t="n"/>
      <c r="CZ115" s="18" t="n"/>
      <c r="DA115" s="18" t="n"/>
      <c r="DB115" s="18" t="n"/>
      <c r="DC115" s="18" t="n"/>
      <c r="DD115" s="18" t="n"/>
      <c r="DE115" s="18" t="n"/>
      <c r="DF115" s="18" t="n"/>
      <c r="DG115" s="18" t="n"/>
      <c r="DH115" s="18" t="n"/>
      <c r="DI115" s="18" t="n"/>
      <c r="DJ115" s="18" t="n"/>
      <c r="DK115" s="18" t="n"/>
      <c r="DL115" s="18" t="n"/>
      <c r="DM115" s="18" t="n"/>
      <c r="DN115" s="18" t="n"/>
      <c r="DO115" s="18" t="n"/>
      <c r="DP115" s="18" t="n"/>
      <c r="DQ115" s="18" t="n"/>
      <c r="DR115" s="18" t="n"/>
      <c r="DS115" s="18" t="n"/>
      <c r="DT115" s="18" t="n"/>
    </row>
    <row r="116">
      <c r="A116" s="18">
        <f>'Schedule_Data_Option_B'!A117</f>
        <v/>
      </c>
      <c r="B116" s="18">
        <f>'Schedule_Data_Option_B'!B117</f>
        <v/>
      </c>
      <c r="C116" s="18">
        <f>'Schedule_Data_Option_B'!C117</f>
        <v/>
      </c>
      <c r="D116" s="21">
        <f>'Schedule_Data_Option_B'!D117</f>
        <v/>
      </c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8" t="n"/>
      <c r="N116" s="18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  <c r="Y116" s="18" t="n"/>
      <c r="Z116" s="18" t="n"/>
      <c r="AA116" s="18" t="n"/>
      <c r="AB116" s="18" t="n"/>
      <c r="AC116" s="18" t="n"/>
      <c r="AD116" s="18" t="n"/>
      <c r="AE116" s="18" t="n"/>
      <c r="AF116" s="18" t="n"/>
      <c r="AG116" s="18" t="n"/>
      <c r="AH116" s="18" t="n"/>
      <c r="AI116" s="18" t="n"/>
      <c r="AJ116" s="18" t="n"/>
      <c r="AK116" s="18" t="n"/>
      <c r="AL116" s="18" t="n"/>
      <c r="AM116" s="18" t="n"/>
      <c r="AN116" s="18" t="n"/>
      <c r="AO116" s="18" t="n"/>
      <c r="AP116" s="18" t="n"/>
      <c r="AQ116" s="18" t="n"/>
      <c r="AR116" s="18" t="n"/>
      <c r="AS116" s="18" t="n"/>
      <c r="AT116" s="18" t="n"/>
      <c r="AU116" s="18" t="n"/>
      <c r="AV116" s="18" t="n"/>
      <c r="AW116" s="18" t="n"/>
      <c r="AX116" s="18" t="n"/>
      <c r="AY116" s="18" t="n"/>
      <c r="AZ116" s="18" t="n"/>
      <c r="BA116" s="18" t="n"/>
      <c r="BB116" s="18" t="n"/>
      <c r="BC116" s="18" t="n"/>
      <c r="BD116" s="18" t="n"/>
      <c r="BE116" s="18" t="n"/>
      <c r="BF116" s="18" t="n"/>
      <c r="BG116" s="18" t="n"/>
      <c r="BH116" s="18" t="n"/>
      <c r="BI116" s="18" t="n"/>
      <c r="BJ116" s="18" t="n"/>
      <c r="BK116" s="18" t="n"/>
      <c r="BL116" s="18" t="n"/>
      <c r="BM116" s="18" t="n"/>
      <c r="BN116" s="18" t="n"/>
      <c r="BO116" s="18" t="n"/>
      <c r="BP116" s="18" t="n"/>
      <c r="BQ116" s="18" t="n"/>
      <c r="BR116" s="18" t="n"/>
      <c r="BS116" s="18" t="n"/>
      <c r="BT116" s="18" t="n"/>
      <c r="BU116" s="18" t="n"/>
      <c r="BV116" s="18" t="n"/>
      <c r="BW116" s="18" t="n"/>
      <c r="BX116" s="18" t="n"/>
      <c r="BY116" s="18" t="n"/>
      <c r="BZ116" s="18" t="n"/>
      <c r="CA116" s="18" t="n"/>
      <c r="CB116" s="18" t="n"/>
      <c r="CC116" s="18" t="n"/>
      <c r="CD116" s="18" t="n"/>
      <c r="CE116" s="18" t="n"/>
      <c r="CF116" s="18" t="n"/>
      <c r="CG116" s="18" t="n"/>
      <c r="CH116" s="18" t="n"/>
      <c r="CI116" s="18" t="n"/>
      <c r="CJ116" s="18" t="n"/>
      <c r="CK116" s="18" t="n"/>
      <c r="CL116" s="18" t="n"/>
      <c r="CM116" s="18" t="n"/>
      <c r="CN116" s="18" t="n"/>
      <c r="CO116" s="18" t="n"/>
      <c r="CP116" s="18" t="n"/>
      <c r="CQ116" s="18" t="n"/>
      <c r="CR116" s="18" t="n"/>
      <c r="CS116" s="18" t="n"/>
      <c r="CT116" s="18" t="n"/>
      <c r="CU116" s="18" t="n"/>
      <c r="CV116" s="18" t="n"/>
      <c r="CW116" s="18" t="n"/>
      <c r="CX116" s="18" t="n"/>
      <c r="CY116" s="18" t="n"/>
      <c r="CZ116" s="18" t="n"/>
      <c r="DA116" s="18" t="n"/>
      <c r="DB116" s="18" t="n"/>
      <c r="DC116" s="18" t="n"/>
      <c r="DD116" s="18" t="n"/>
      <c r="DE116" s="18" t="n"/>
      <c r="DF116" s="18" t="n"/>
      <c r="DG116" s="18" t="n"/>
      <c r="DH116" s="18" t="n"/>
      <c r="DI116" s="18" t="n"/>
      <c r="DJ116" s="18" t="n"/>
      <c r="DK116" s="18" t="n"/>
      <c r="DL116" s="18" t="n"/>
      <c r="DM116" s="18" t="n"/>
      <c r="DN116" s="18" t="n"/>
      <c r="DO116" s="18" t="n"/>
      <c r="DP116" s="18" t="n"/>
      <c r="DQ116" s="18" t="n"/>
      <c r="DR116" s="18" t="n"/>
      <c r="DS116" s="18" t="n"/>
      <c r="DT116" s="18" t="n"/>
    </row>
    <row r="117">
      <c r="A117" s="18">
        <f>'Schedule_Data_Option_B'!A118</f>
        <v/>
      </c>
      <c r="B117" s="18">
        <f>'Schedule_Data_Option_B'!B118</f>
        <v/>
      </c>
      <c r="C117" s="18">
        <f>'Schedule_Data_Option_B'!C118</f>
        <v/>
      </c>
      <c r="D117" s="21">
        <f>'Schedule_Data_Option_B'!D118</f>
        <v/>
      </c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8" t="n"/>
      <c r="N117" s="18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  <c r="Y117" s="18" t="n"/>
      <c r="Z117" s="18" t="n"/>
      <c r="AA117" s="18" t="n"/>
      <c r="AB117" s="18" t="n"/>
      <c r="AC117" s="18" t="n"/>
      <c r="AD117" s="18" t="n"/>
      <c r="AE117" s="18" t="n"/>
      <c r="AF117" s="18" t="n"/>
      <c r="AG117" s="18" t="n"/>
      <c r="AH117" s="18" t="n"/>
      <c r="AI117" s="18" t="n"/>
      <c r="AJ117" s="18" t="n"/>
      <c r="AK117" s="18" t="n"/>
      <c r="AL117" s="18" t="n"/>
      <c r="AM117" s="18" t="n"/>
      <c r="AN117" s="18" t="n"/>
      <c r="AO117" s="18" t="n"/>
      <c r="AP117" s="18" t="n"/>
      <c r="AQ117" s="18" t="n"/>
      <c r="AR117" s="18" t="n"/>
      <c r="AS117" s="18" t="n"/>
      <c r="AT117" s="18" t="n"/>
      <c r="AU117" s="18" t="n"/>
      <c r="AV117" s="18" t="n"/>
      <c r="AW117" s="18" t="n"/>
      <c r="AX117" s="18" t="n"/>
      <c r="AY117" s="18" t="n"/>
      <c r="AZ117" s="18" t="n"/>
      <c r="BA117" s="18" t="n"/>
      <c r="BB117" s="18" t="n"/>
      <c r="BC117" s="18" t="n"/>
      <c r="BD117" s="18" t="n"/>
      <c r="BE117" s="18" t="n"/>
      <c r="BF117" s="18" t="n"/>
      <c r="BG117" s="18" t="n"/>
      <c r="BH117" s="18" t="n"/>
      <c r="BI117" s="18" t="n"/>
      <c r="BJ117" s="18" t="n"/>
      <c r="BK117" s="18" t="n"/>
      <c r="BL117" s="18" t="n"/>
      <c r="BM117" s="18" t="n"/>
      <c r="BN117" s="18" t="n"/>
      <c r="BO117" s="18" t="n"/>
      <c r="BP117" s="18" t="n"/>
      <c r="BQ117" s="18" t="n"/>
      <c r="BR117" s="18" t="n"/>
      <c r="BS117" s="18" t="n"/>
      <c r="BT117" s="18" t="n"/>
      <c r="BU117" s="18" t="n"/>
      <c r="BV117" s="18" t="n"/>
      <c r="BW117" s="18" t="n"/>
      <c r="BX117" s="18" t="n"/>
      <c r="BY117" s="18" t="n"/>
      <c r="BZ117" s="18" t="n"/>
      <c r="CA117" s="18" t="n"/>
      <c r="CB117" s="18" t="n"/>
      <c r="CC117" s="18" t="n"/>
      <c r="CD117" s="18" t="n"/>
      <c r="CE117" s="18" t="n"/>
      <c r="CF117" s="18" t="n"/>
      <c r="CG117" s="18" t="n"/>
      <c r="CH117" s="18" t="n"/>
      <c r="CI117" s="18" t="n"/>
      <c r="CJ117" s="18" t="n"/>
      <c r="CK117" s="18" t="n"/>
      <c r="CL117" s="18" t="n"/>
      <c r="CM117" s="18" t="n"/>
      <c r="CN117" s="18" t="n"/>
      <c r="CO117" s="18" t="n"/>
      <c r="CP117" s="18" t="n"/>
      <c r="CQ117" s="18" t="n"/>
      <c r="CR117" s="18" t="n"/>
      <c r="CS117" s="18" t="n"/>
      <c r="CT117" s="18" t="n"/>
      <c r="CU117" s="18" t="n"/>
      <c r="CV117" s="18" t="n"/>
      <c r="CW117" s="18" t="n"/>
      <c r="CX117" s="18" t="n"/>
      <c r="CY117" s="18" t="n"/>
      <c r="CZ117" s="18" t="n"/>
      <c r="DA117" s="18" t="n"/>
      <c r="DB117" s="18" t="n"/>
      <c r="DC117" s="18" t="n"/>
      <c r="DD117" s="18" t="n"/>
      <c r="DE117" s="18" t="n"/>
      <c r="DF117" s="18" t="n"/>
      <c r="DG117" s="18" t="n"/>
      <c r="DH117" s="18" t="n"/>
      <c r="DI117" s="18" t="n"/>
      <c r="DJ117" s="18" t="n"/>
      <c r="DK117" s="18" t="n"/>
      <c r="DL117" s="18" t="n"/>
      <c r="DM117" s="18" t="n"/>
      <c r="DN117" s="18" t="n"/>
      <c r="DO117" s="18" t="n"/>
      <c r="DP117" s="18" t="n"/>
      <c r="DQ117" s="18" t="n"/>
      <c r="DR117" s="18" t="n"/>
      <c r="DS117" s="18" t="n"/>
      <c r="DT117" s="18" t="n"/>
    </row>
    <row r="118">
      <c r="A118" s="18">
        <f>'Schedule_Data_Option_B'!A119</f>
        <v/>
      </c>
      <c r="B118" s="18">
        <f>'Schedule_Data_Option_B'!B119</f>
        <v/>
      </c>
      <c r="C118" s="18">
        <f>'Schedule_Data_Option_B'!C119</f>
        <v/>
      </c>
      <c r="D118" s="23">
        <f>'Schedule_Data_Option_B'!D119</f>
        <v/>
      </c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8" t="n"/>
      <c r="N118" s="18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  <c r="Y118" s="18" t="n"/>
      <c r="Z118" s="18" t="n"/>
      <c r="AA118" s="18" t="n"/>
      <c r="AB118" s="18" t="n"/>
      <c r="AC118" s="18" t="n"/>
      <c r="AD118" s="18" t="n"/>
      <c r="AE118" s="18" t="n"/>
      <c r="AF118" s="18" t="n"/>
      <c r="AG118" s="18" t="n"/>
      <c r="AH118" s="18" t="n"/>
      <c r="AI118" s="18" t="n"/>
      <c r="AJ118" s="18" t="n"/>
      <c r="AK118" s="18" t="n"/>
      <c r="AL118" s="18" t="n"/>
      <c r="AM118" s="18" t="n"/>
      <c r="AN118" s="18" t="n"/>
      <c r="AO118" s="18" t="n"/>
      <c r="AP118" s="18" t="n"/>
      <c r="AQ118" s="18" t="n"/>
      <c r="AR118" s="18" t="n"/>
      <c r="AS118" s="18" t="n"/>
      <c r="AT118" s="18" t="n"/>
      <c r="AU118" s="18" t="n"/>
      <c r="AV118" s="18" t="n"/>
      <c r="AW118" s="18" t="n"/>
      <c r="AX118" s="18" t="n"/>
      <c r="AY118" s="18" t="n"/>
      <c r="AZ118" s="18" t="n"/>
      <c r="BA118" s="18" t="n"/>
      <c r="BB118" s="18" t="n"/>
      <c r="BC118" s="18" t="n"/>
      <c r="BD118" s="18" t="n"/>
      <c r="BE118" s="18" t="n"/>
      <c r="BF118" s="18" t="n"/>
      <c r="BG118" s="18" t="n"/>
      <c r="BH118" s="18" t="n"/>
      <c r="BI118" s="18" t="n"/>
      <c r="BJ118" s="18" t="n"/>
      <c r="BK118" s="18" t="n"/>
      <c r="BL118" s="18" t="n"/>
      <c r="BM118" s="18" t="n"/>
      <c r="BN118" s="18" t="n"/>
      <c r="BO118" s="18" t="n"/>
      <c r="BP118" s="18" t="n"/>
      <c r="BQ118" s="18" t="n"/>
      <c r="BR118" s="18" t="n"/>
      <c r="BS118" s="18" t="n"/>
      <c r="BT118" s="18" t="n"/>
      <c r="BU118" s="18" t="n"/>
      <c r="BV118" s="18" t="n"/>
      <c r="BW118" s="18" t="n"/>
      <c r="BX118" s="18" t="n"/>
      <c r="BY118" s="18" t="n"/>
      <c r="BZ118" s="18" t="n"/>
      <c r="CA118" s="18" t="n"/>
      <c r="CB118" s="18" t="n"/>
      <c r="CC118" s="18" t="n"/>
      <c r="CD118" s="18" t="n"/>
      <c r="CE118" s="18" t="n"/>
      <c r="CF118" s="18" t="n"/>
      <c r="CG118" s="18" t="n"/>
      <c r="CH118" s="18" t="n"/>
      <c r="CI118" s="18" t="n"/>
      <c r="CJ118" s="18" t="n"/>
      <c r="CK118" s="18" t="n"/>
      <c r="CL118" s="18" t="n"/>
      <c r="CM118" s="18" t="n"/>
      <c r="CN118" s="18" t="n"/>
      <c r="CO118" s="18" t="n"/>
      <c r="CP118" s="18" t="n"/>
      <c r="CQ118" s="18" t="n"/>
      <c r="CR118" s="18" t="n"/>
      <c r="CS118" s="18" t="n"/>
      <c r="CT118" s="18" t="n"/>
      <c r="CU118" s="18" t="n"/>
      <c r="CV118" s="18" t="n"/>
      <c r="CW118" s="18" t="n"/>
      <c r="CX118" s="18" t="n"/>
      <c r="CY118" s="18" t="n"/>
      <c r="CZ118" s="18" t="n"/>
      <c r="DA118" s="18" t="n"/>
      <c r="DB118" s="18" t="n"/>
      <c r="DC118" s="18" t="n"/>
      <c r="DD118" s="18" t="n"/>
      <c r="DE118" s="18" t="n"/>
      <c r="DF118" s="18" t="n"/>
      <c r="DG118" s="18" t="n"/>
      <c r="DH118" s="18" t="n"/>
      <c r="DI118" s="18" t="n"/>
      <c r="DJ118" s="18" t="n"/>
      <c r="DK118" s="18" t="n"/>
      <c r="DL118" s="18" t="n"/>
      <c r="DM118" s="18" t="n"/>
      <c r="DN118" s="18" t="n"/>
      <c r="DO118" s="18" t="n"/>
      <c r="DP118" s="18" t="n"/>
      <c r="DQ118" s="18" t="n"/>
      <c r="DR118" s="18" t="n"/>
      <c r="DS118" s="18" t="n"/>
      <c r="DT118" s="18" t="n"/>
    </row>
    <row r="119">
      <c r="A119" s="18">
        <f>'Schedule_Data_Option_B'!A120</f>
        <v/>
      </c>
      <c r="B119" s="18">
        <f>'Schedule_Data_Option_B'!B120</f>
        <v/>
      </c>
      <c r="C119" s="18">
        <f>'Schedule_Data_Option_B'!C120</f>
        <v/>
      </c>
      <c r="D119" s="24">
        <f>'Schedule_Data_Option_B'!D120</f>
        <v/>
      </c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8" t="n"/>
      <c r="N119" s="18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  <c r="Y119" s="18" t="n"/>
      <c r="Z119" s="18" t="n"/>
      <c r="AA119" s="18" t="n"/>
      <c r="AB119" s="18" t="n"/>
      <c r="AC119" s="18" t="n"/>
      <c r="AD119" s="18" t="n"/>
      <c r="AE119" s="18" t="n"/>
      <c r="AF119" s="18" t="n"/>
      <c r="AG119" s="18" t="n"/>
      <c r="AH119" s="18" t="n"/>
      <c r="AI119" s="18" t="n"/>
      <c r="AJ119" s="18" t="n"/>
      <c r="AK119" s="18" t="n"/>
      <c r="AL119" s="18" t="n"/>
      <c r="AM119" s="18" t="n"/>
      <c r="AN119" s="18" t="n"/>
      <c r="AO119" s="18" t="n"/>
      <c r="AP119" s="18" t="n"/>
      <c r="AQ119" s="18" t="n"/>
      <c r="AR119" s="18" t="n"/>
      <c r="AS119" s="18" t="n"/>
      <c r="AT119" s="18" t="n"/>
      <c r="AU119" s="18" t="n"/>
      <c r="AV119" s="18" t="n"/>
      <c r="AW119" s="18" t="n"/>
      <c r="AX119" s="18" t="n"/>
      <c r="AY119" s="18" t="n"/>
      <c r="AZ119" s="18" t="n"/>
      <c r="BA119" s="18" t="n"/>
      <c r="BB119" s="18" t="n"/>
      <c r="BC119" s="18" t="n"/>
      <c r="BD119" s="18" t="n"/>
      <c r="BE119" s="18" t="n"/>
      <c r="BF119" s="18" t="n"/>
      <c r="BG119" s="24" t="n"/>
      <c r="BH119" s="18" t="n"/>
      <c r="BI119" s="18" t="n"/>
      <c r="BJ119" s="18" t="n"/>
      <c r="BK119" s="18" t="n"/>
      <c r="BL119" s="18" t="n"/>
      <c r="BM119" s="18" t="n"/>
      <c r="BN119" s="18" t="n"/>
      <c r="BO119" s="18" t="n"/>
      <c r="BP119" s="18" t="n"/>
      <c r="BQ119" s="18" t="n"/>
      <c r="BR119" s="18" t="n"/>
      <c r="BS119" s="18" t="n"/>
      <c r="BT119" s="18" t="n"/>
      <c r="BU119" s="18" t="n"/>
      <c r="BV119" s="18" t="n"/>
      <c r="BW119" s="18" t="n"/>
      <c r="BX119" s="18" t="n"/>
      <c r="BY119" s="18" t="n"/>
      <c r="BZ119" s="18" t="n"/>
      <c r="CA119" s="18" t="n"/>
      <c r="CB119" s="18" t="n"/>
      <c r="CC119" s="18" t="n"/>
      <c r="CD119" s="18" t="n"/>
      <c r="CE119" s="18" t="n"/>
      <c r="CF119" s="18" t="n"/>
      <c r="CG119" s="18" t="n"/>
      <c r="CH119" s="18" t="n"/>
      <c r="CI119" s="18" t="n"/>
      <c r="CJ119" s="18" t="n"/>
      <c r="CK119" s="18" t="n"/>
      <c r="CL119" s="18" t="n"/>
      <c r="CM119" s="18" t="n"/>
      <c r="CN119" s="18" t="n"/>
      <c r="CO119" s="18" t="n"/>
      <c r="CP119" s="18" t="n"/>
      <c r="CQ119" s="18" t="n"/>
      <c r="CR119" s="18" t="n"/>
      <c r="CS119" s="18" t="n"/>
      <c r="CT119" s="18" t="n"/>
      <c r="CU119" s="18" t="n"/>
      <c r="CV119" s="18" t="n"/>
      <c r="CW119" s="18" t="n"/>
      <c r="CX119" s="18" t="n"/>
      <c r="CY119" s="18" t="n"/>
      <c r="CZ119" s="18" t="n"/>
      <c r="DA119" s="18" t="n"/>
      <c r="DB119" s="18" t="n"/>
      <c r="DC119" s="18" t="n"/>
      <c r="DD119" s="18" t="n"/>
      <c r="DE119" s="18" t="n"/>
      <c r="DF119" s="18" t="n"/>
      <c r="DG119" s="18" t="n"/>
      <c r="DH119" s="18" t="n"/>
      <c r="DI119" s="18" t="n"/>
      <c r="DJ119" s="18" t="n"/>
      <c r="DK119" s="18" t="n"/>
      <c r="DL119" s="18" t="n"/>
      <c r="DM119" s="18" t="n"/>
      <c r="DN119" s="18" t="n"/>
      <c r="DO119" s="18" t="n"/>
      <c r="DP119" s="18" t="n"/>
      <c r="DQ119" s="18" t="n"/>
      <c r="DR119" s="18" t="n"/>
      <c r="DS119" s="18" t="n"/>
      <c r="DT119" s="18" t="n"/>
    </row>
    <row r="120">
      <c r="A120" s="18">
        <f>'Schedule_Data_Option_B'!A121</f>
        <v/>
      </c>
      <c r="B120" s="18">
        <f>'Schedule_Data_Option_B'!B121</f>
        <v/>
      </c>
      <c r="C120" s="18">
        <f>'Schedule_Data_Option_B'!C121</f>
        <v/>
      </c>
      <c r="D120" s="25">
        <f>'Schedule_Data_Option_B'!D121</f>
        <v/>
      </c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8" t="n"/>
      <c r="N120" s="18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  <c r="Y120" s="18" t="n"/>
      <c r="Z120" s="18" t="n"/>
      <c r="AA120" s="18" t="n"/>
      <c r="AB120" s="18" t="n"/>
      <c r="AC120" s="18" t="n"/>
      <c r="AD120" s="18" t="n"/>
      <c r="AE120" s="18" t="n"/>
      <c r="AF120" s="18" t="n"/>
      <c r="AG120" s="18" t="n"/>
      <c r="AH120" s="18" t="n"/>
      <c r="AI120" s="18" t="n"/>
      <c r="AJ120" s="18" t="n"/>
      <c r="AK120" s="18" t="n"/>
      <c r="AL120" s="18" t="n"/>
      <c r="AM120" s="18" t="n"/>
      <c r="AN120" s="18" t="n"/>
      <c r="AO120" s="18" t="n"/>
      <c r="AP120" s="18" t="n"/>
      <c r="AQ120" s="18" t="n"/>
      <c r="AR120" s="18" t="n"/>
      <c r="AS120" s="18" t="n"/>
      <c r="AT120" s="18" t="n"/>
      <c r="AU120" s="18" t="n"/>
      <c r="AV120" s="18" t="n"/>
      <c r="AW120" s="18" t="n"/>
      <c r="AX120" s="18" t="n"/>
      <c r="AY120" s="18" t="n"/>
      <c r="AZ120" s="18" t="n"/>
      <c r="BA120" s="18" t="n"/>
      <c r="BB120" s="18" t="n"/>
      <c r="BC120" s="18" t="n"/>
      <c r="BD120" s="18" t="n"/>
      <c r="BE120" s="18" t="n"/>
      <c r="BF120" s="18" t="n"/>
      <c r="BG120" s="18" t="n"/>
      <c r="BH120" s="25" t="n"/>
      <c r="BI120" s="18" t="n"/>
      <c r="BJ120" s="18" t="n"/>
      <c r="BK120" s="18" t="n"/>
      <c r="BL120" s="18" t="n"/>
      <c r="BM120" s="18" t="n"/>
      <c r="BN120" s="18" t="n"/>
      <c r="BO120" s="18" t="n"/>
      <c r="BP120" s="18" t="n"/>
      <c r="BQ120" s="18" t="n"/>
      <c r="BR120" s="18" t="n"/>
      <c r="BS120" s="18" t="n"/>
      <c r="BT120" s="18" t="n"/>
      <c r="BU120" s="18" t="n"/>
      <c r="BV120" s="18" t="n"/>
      <c r="BW120" s="18" t="n"/>
      <c r="BX120" s="18" t="n"/>
      <c r="BY120" s="18" t="n"/>
      <c r="BZ120" s="18" t="n"/>
      <c r="CA120" s="18" t="n"/>
      <c r="CB120" s="18" t="n"/>
      <c r="CC120" s="18" t="n"/>
      <c r="CD120" s="18" t="n"/>
      <c r="CE120" s="18" t="n"/>
      <c r="CF120" s="18" t="n"/>
      <c r="CG120" s="18" t="n"/>
      <c r="CH120" s="18" t="n"/>
      <c r="CI120" s="18" t="n"/>
      <c r="CJ120" s="18" t="n"/>
      <c r="CK120" s="18" t="n"/>
      <c r="CL120" s="18" t="n"/>
      <c r="CM120" s="18" t="n"/>
      <c r="CN120" s="18" t="n"/>
      <c r="CO120" s="18" t="n"/>
      <c r="CP120" s="18" t="n"/>
      <c r="CQ120" s="18" t="n"/>
      <c r="CR120" s="18" t="n"/>
      <c r="CS120" s="18" t="n"/>
      <c r="CT120" s="18" t="n"/>
      <c r="CU120" s="18" t="n"/>
      <c r="CV120" s="18" t="n"/>
      <c r="CW120" s="18" t="n"/>
      <c r="CX120" s="18" t="n"/>
      <c r="CY120" s="18" t="n"/>
      <c r="CZ120" s="18" t="n"/>
      <c r="DA120" s="18" t="n"/>
      <c r="DB120" s="18" t="n"/>
      <c r="DC120" s="18" t="n"/>
      <c r="DD120" s="18" t="n"/>
      <c r="DE120" s="18" t="n"/>
      <c r="DF120" s="18" t="n"/>
      <c r="DG120" s="18" t="n"/>
      <c r="DH120" s="18" t="n"/>
      <c r="DI120" s="18" t="n"/>
      <c r="DJ120" s="18" t="n"/>
      <c r="DK120" s="18" t="n"/>
      <c r="DL120" s="18" t="n"/>
      <c r="DM120" s="18" t="n"/>
      <c r="DN120" s="18" t="n"/>
      <c r="DO120" s="18" t="n"/>
      <c r="DP120" s="18" t="n"/>
      <c r="DQ120" s="18" t="n"/>
      <c r="DR120" s="18" t="n"/>
      <c r="DS120" s="18" t="n"/>
      <c r="DT120" s="18" t="n"/>
    </row>
    <row r="121">
      <c r="A121" s="18">
        <f>'Schedule_Data_Option_B'!A122</f>
        <v/>
      </c>
      <c r="B121" s="18">
        <f>'Schedule_Data_Option_B'!B122</f>
        <v/>
      </c>
      <c r="C121" s="18">
        <f>'Schedule_Data_Option_B'!C122</f>
        <v/>
      </c>
      <c r="D121" s="21">
        <f>'Schedule_Data_Option_B'!D122</f>
        <v/>
      </c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8" t="n"/>
      <c r="N121" s="18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  <c r="Y121" s="18" t="n"/>
      <c r="Z121" s="18" t="n"/>
      <c r="AA121" s="18" t="n"/>
      <c r="AB121" s="18" t="n"/>
      <c r="AC121" s="18" t="n"/>
      <c r="AD121" s="18" t="n"/>
      <c r="AE121" s="18" t="n"/>
      <c r="AF121" s="18" t="n"/>
      <c r="AG121" s="18" t="n"/>
      <c r="AH121" s="18" t="n"/>
      <c r="AI121" s="18" t="n"/>
      <c r="AJ121" s="18" t="n"/>
      <c r="AK121" s="18" t="n"/>
      <c r="AL121" s="18" t="n"/>
      <c r="AM121" s="18" t="n"/>
      <c r="AN121" s="18" t="n"/>
      <c r="AO121" s="18" t="n"/>
      <c r="AP121" s="18" t="n"/>
      <c r="AQ121" s="18" t="n"/>
      <c r="AR121" s="18" t="n"/>
      <c r="AS121" s="18" t="n"/>
      <c r="AT121" s="18" t="n"/>
      <c r="AU121" s="18" t="n"/>
      <c r="AV121" s="18" t="n"/>
      <c r="AW121" s="18" t="n"/>
      <c r="AX121" s="18" t="n"/>
      <c r="AY121" s="18" t="n"/>
      <c r="AZ121" s="18" t="n"/>
      <c r="BA121" s="18" t="n"/>
      <c r="BB121" s="18" t="n"/>
      <c r="BC121" s="18" t="n"/>
      <c r="BD121" s="18" t="n"/>
      <c r="BE121" s="18" t="n"/>
      <c r="BF121" s="18" t="n"/>
      <c r="BG121" s="18" t="n"/>
      <c r="BH121" s="21" t="n"/>
      <c r="BI121" s="18" t="n"/>
      <c r="BJ121" s="18" t="n"/>
      <c r="BK121" s="18" t="n"/>
      <c r="BL121" s="18" t="n"/>
      <c r="BM121" s="18" t="n"/>
      <c r="BN121" s="18" t="n"/>
      <c r="BO121" s="18" t="n"/>
      <c r="BP121" s="18" t="n"/>
      <c r="BQ121" s="18" t="n"/>
      <c r="BR121" s="18" t="n"/>
      <c r="BS121" s="18" t="n"/>
      <c r="BT121" s="18" t="n"/>
      <c r="BU121" s="18" t="n"/>
      <c r="BV121" s="18" t="n"/>
      <c r="BW121" s="18" t="n"/>
      <c r="BX121" s="18" t="n"/>
      <c r="BY121" s="18" t="n"/>
      <c r="BZ121" s="18" t="n"/>
      <c r="CA121" s="18" t="n"/>
      <c r="CB121" s="18" t="n"/>
      <c r="CC121" s="18" t="n"/>
      <c r="CD121" s="18" t="n"/>
      <c r="CE121" s="18" t="n"/>
      <c r="CF121" s="18" t="n"/>
      <c r="CG121" s="18" t="n"/>
      <c r="CH121" s="18" t="n"/>
      <c r="CI121" s="18" t="n"/>
      <c r="CJ121" s="18" t="n"/>
      <c r="CK121" s="18" t="n"/>
      <c r="CL121" s="18" t="n"/>
      <c r="CM121" s="18" t="n"/>
      <c r="CN121" s="18" t="n"/>
      <c r="CO121" s="18" t="n"/>
      <c r="CP121" s="18" t="n"/>
      <c r="CQ121" s="18" t="n"/>
      <c r="CR121" s="18" t="n"/>
      <c r="CS121" s="18" t="n"/>
      <c r="CT121" s="18" t="n"/>
      <c r="CU121" s="18" t="n"/>
      <c r="CV121" s="18" t="n"/>
      <c r="CW121" s="18" t="n"/>
      <c r="CX121" s="18" t="n"/>
      <c r="CY121" s="18" t="n"/>
      <c r="CZ121" s="18" t="n"/>
      <c r="DA121" s="18" t="n"/>
      <c r="DB121" s="18" t="n"/>
      <c r="DC121" s="18" t="n"/>
      <c r="DD121" s="18" t="n"/>
      <c r="DE121" s="18" t="n"/>
      <c r="DF121" s="18" t="n"/>
      <c r="DG121" s="18" t="n"/>
      <c r="DH121" s="18" t="n"/>
      <c r="DI121" s="18" t="n"/>
      <c r="DJ121" s="18" t="n"/>
      <c r="DK121" s="18" t="n"/>
      <c r="DL121" s="18" t="n"/>
      <c r="DM121" s="18" t="n"/>
      <c r="DN121" s="18" t="n"/>
      <c r="DO121" s="18" t="n"/>
      <c r="DP121" s="18" t="n"/>
      <c r="DQ121" s="18" t="n"/>
      <c r="DR121" s="18" t="n"/>
      <c r="DS121" s="18" t="n"/>
      <c r="DT121" s="18" t="n"/>
    </row>
    <row r="122">
      <c r="A122" s="18">
        <f>'Schedule_Data_Option_B'!A123</f>
        <v/>
      </c>
      <c r="B122" s="18">
        <f>'Schedule_Data_Option_B'!B123</f>
        <v/>
      </c>
      <c r="C122" s="18">
        <f>'Schedule_Data_Option_B'!C123</f>
        <v/>
      </c>
      <c r="D122" s="26">
        <f>'Schedule_Data_Option_B'!D123</f>
        <v/>
      </c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8" t="n"/>
      <c r="N122" s="18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  <c r="Y122" s="18" t="n"/>
      <c r="Z122" s="18" t="n"/>
      <c r="AA122" s="18" t="n"/>
      <c r="AB122" s="18" t="n"/>
      <c r="AC122" s="18" t="n"/>
      <c r="AD122" s="18" t="n"/>
      <c r="AE122" s="18" t="n"/>
      <c r="AF122" s="18" t="n"/>
      <c r="AG122" s="18" t="n"/>
      <c r="AH122" s="18" t="n"/>
      <c r="AI122" s="18" t="n"/>
      <c r="AJ122" s="18" t="n"/>
      <c r="AK122" s="18" t="n"/>
      <c r="AL122" s="18" t="n"/>
      <c r="AM122" s="18" t="n"/>
      <c r="AN122" s="18" t="n"/>
      <c r="AO122" s="18" t="n"/>
      <c r="AP122" s="18" t="n"/>
      <c r="AQ122" s="18" t="n"/>
      <c r="AR122" s="18" t="n"/>
      <c r="AS122" s="18" t="n"/>
      <c r="AT122" s="18" t="n"/>
      <c r="AU122" s="18" t="n"/>
      <c r="AV122" s="18" t="n"/>
      <c r="AW122" s="18" t="n"/>
      <c r="AX122" s="18" t="n"/>
      <c r="AY122" s="18" t="n"/>
      <c r="AZ122" s="18" t="n"/>
      <c r="BA122" s="18" t="n"/>
      <c r="BB122" s="18" t="n"/>
      <c r="BC122" s="18" t="n"/>
      <c r="BD122" s="18" t="n"/>
      <c r="BE122" s="18" t="n"/>
      <c r="BF122" s="18" t="n"/>
      <c r="BG122" s="18" t="n"/>
      <c r="BH122" s="18" t="n"/>
      <c r="BI122" s="26" t="n"/>
      <c r="BJ122" s="18" t="n"/>
      <c r="BK122" s="18" t="n"/>
      <c r="BL122" s="18" t="n"/>
      <c r="BM122" s="18" t="n"/>
      <c r="BN122" s="18" t="n"/>
      <c r="BO122" s="18" t="n"/>
      <c r="BP122" s="18" t="n"/>
      <c r="BQ122" s="18" t="n"/>
      <c r="BR122" s="18" t="n"/>
      <c r="BS122" s="18" t="n"/>
      <c r="BT122" s="18" t="n"/>
      <c r="BU122" s="18" t="n"/>
      <c r="BV122" s="18" t="n"/>
      <c r="BW122" s="18" t="n"/>
      <c r="BX122" s="18" t="n"/>
      <c r="BY122" s="18" t="n"/>
      <c r="BZ122" s="18" t="n"/>
      <c r="CA122" s="18" t="n"/>
      <c r="CB122" s="18" t="n"/>
      <c r="CC122" s="18" t="n"/>
      <c r="CD122" s="18" t="n"/>
      <c r="CE122" s="18" t="n"/>
      <c r="CF122" s="18" t="n"/>
      <c r="CG122" s="18" t="n"/>
      <c r="CH122" s="18" t="n"/>
      <c r="CI122" s="18" t="n"/>
      <c r="CJ122" s="18" t="n"/>
      <c r="CK122" s="18" t="n"/>
      <c r="CL122" s="18" t="n"/>
      <c r="CM122" s="18" t="n"/>
      <c r="CN122" s="18" t="n"/>
      <c r="CO122" s="18" t="n"/>
      <c r="CP122" s="18" t="n"/>
      <c r="CQ122" s="18" t="n"/>
      <c r="CR122" s="18" t="n"/>
      <c r="CS122" s="18" t="n"/>
      <c r="CT122" s="18" t="n"/>
      <c r="CU122" s="18" t="n"/>
      <c r="CV122" s="18" t="n"/>
      <c r="CW122" s="18" t="n"/>
      <c r="CX122" s="18" t="n"/>
      <c r="CY122" s="18" t="n"/>
      <c r="CZ122" s="18" t="n"/>
      <c r="DA122" s="18" t="n"/>
      <c r="DB122" s="18" t="n"/>
      <c r="DC122" s="18" t="n"/>
      <c r="DD122" s="18" t="n"/>
      <c r="DE122" s="18" t="n"/>
      <c r="DF122" s="18" t="n"/>
      <c r="DG122" s="18" t="n"/>
      <c r="DH122" s="18" t="n"/>
      <c r="DI122" s="18" t="n"/>
      <c r="DJ122" s="18" t="n"/>
      <c r="DK122" s="18" t="n"/>
      <c r="DL122" s="18" t="n"/>
      <c r="DM122" s="18" t="n"/>
      <c r="DN122" s="18" t="n"/>
      <c r="DO122" s="18" t="n"/>
      <c r="DP122" s="18" t="n"/>
      <c r="DQ122" s="18" t="n"/>
      <c r="DR122" s="18" t="n"/>
      <c r="DS122" s="18" t="n"/>
      <c r="DT122" s="18" t="n"/>
    </row>
    <row r="123">
      <c r="A123" s="18">
        <f>'Schedule_Data_Option_B'!A124</f>
        <v/>
      </c>
      <c r="B123" s="18">
        <f>'Schedule_Data_Option_B'!B124</f>
        <v/>
      </c>
      <c r="C123" s="18">
        <f>'Schedule_Data_Option_B'!C124</f>
        <v/>
      </c>
      <c r="D123" s="21">
        <f>'Schedule_Data_Option_B'!D124</f>
        <v/>
      </c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8" t="n"/>
      <c r="N123" s="18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  <c r="Y123" s="18" t="n"/>
      <c r="Z123" s="18" t="n"/>
      <c r="AA123" s="18" t="n"/>
      <c r="AB123" s="18" t="n"/>
      <c r="AC123" s="18" t="n"/>
      <c r="AD123" s="18" t="n"/>
      <c r="AE123" s="18" t="n"/>
      <c r="AF123" s="18" t="n"/>
      <c r="AG123" s="18" t="n"/>
      <c r="AH123" s="18" t="n"/>
      <c r="AI123" s="18" t="n"/>
      <c r="AJ123" s="18" t="n"/>
      <c r="AK123" s="18" t="n"/>
      <c r="AL123" s="18" t="n"/>
      <c r="AM123" s="18" t="n"/>
      <c r="AN123" s="18" t="n"/>
      <c r="AO123" s="18" t="n"/>
      <c r="AP123" s="18" t="n"/>
      <c r="AQ123" s="18" t="n"/>
      <c r="AR123" s="18" t="n"/>
      <c r="AS123" s="18" t="n"/>
      <c r="AT123" s="18" t="n"/>
      <c r="AU123" s="18" t="n"/>
      <c r="AV123" s="18" t="n"/>
      <c r="AW123" s="18" t="n"/>
      <c r="AX123" s="18" t="n"/>
      <c r="AY123" s="18" t="n"/>
      <c r="AZ123" s="18" t="n"/>
      <c r="BA123" s="18" t="n"/>
      <c r="BB123" s="18" t="n"/>
      <c r="BC123" s="18" t="n"/>
      <c r="BD123" s="18" t="n"/>
      <c r="BE123" s="18" t="n"/>
      <c r="BF123" s="18" t="n"/>
      <c r="BG123" s="18" t="n"/>
      <c r="BH123" s="18" t="n"/>
      <c r="BI123" s="21" t="n"/>
      <c r="BJ123" s="18" t="n"/>
      <c r="BK123" s="18" t="n"/>
      <c r="BL123" s="18" t="n"/>
      <c r="BM123" s="18" t="n"/>
      <c r="BN123" s="18" t="n"/>
      <c r="BO123" s="18" t="n"/>
      <c r="BP123" s="18" t="n"/>
      <c r="BQ123" s="18" t="n"/>
      <c r="BR123" s="18" t="n"/>
      <c r="BS123" s="18" t="n"/>
      <c r="BT123" s="18" t="n"/>
      <c r="BU123" s="18" t="n"/>
      <c r="BV123" s="18" t="n"/>
      <c r="BW123" s="18" t="n"/>
      <c r="BX123" s="18" t="n"/>
      <c r="BY123" s="18" t="n"/>
      <c r="BZ123" s="18" t="n"/>
      <c r="CA123" s="18" t="n"/>
      <c r="CB123" s="18" t="n"/>
      <c r="CC123" s="18" t="n"/>
      <c r="CD123" s="18" t="n"/>
      <c r="CE123" s="18" t="n"/>
      <c r="CF123" s="18" t="n"/>
      <c r="CG123" s="18" t="n"/>
      <c r="CH123" s="18" t="n"/>
      <c r="CI123" s="18" t="n"/>
      <c r="CJ123" s="18" t="n"/>
      <c r="CK123" s="18" t="n"/>
      <c r="CL123" s="18" t="n"/>
      <c r="CM123" s="18" t="n"/>
      <c r="CN123" s="18" t="n"/>
      <c r="CO123" s="18" t="n"/>
      <c r="CP123" s="18" t="n"/>
      <c r="CQ123" s="18" t="n"/>
      <c r="CR123" s="18" t="n"/>
      <c r="CS123" s="18" t="n"/>
      <c r="CT123" s="18" t="n"/>
      <c r="CU123" s="18" t="n"/>
      <c r="CV123" s="18" t="n"/>
      <c r="CW123" s="18" t="n"/>
      <c r="CX123" s="18" t="n"/>
      <c r="CY123" s="18" t="n"/>
      <c r="CZ123" s="18" t="n"/>
      <c r="DA123" s="18" t="n"/>
      <c r="DB123" s="18" t="n"/>
      <c r="DC123" s="18" t="n"/>
      <c r="DD123" s="18" t="n"/>
      <c r="DE123" s="18" t="n"/>
      <c r="DF123" s="18" t="n"/>
      <c r="DG123" s="18" t="n"/>
      <c r="DH123" s="18" t="n"/>
      <c r="DI123" s="18" t="n"/>
      <c r="DJ123" s="18" t="n"/>
      <c r="DK123" s="18" t="n"/>
      <c r="DL123" s="18" t="n"/>
      <c r="DM123" s="18" t="n"/>
      <c r="DN123" s="18" t="n"/>
      <c r="DO123" s="18" t="n"/>
      <c r="DP123" s="18" t="n"/>
      <c r="DQ123" s="18" t="n"/>
      <c r="DR123" s="18" t="n"/>
      <c r="DS123" s="18" t="n"/>
      <c r="DT123" s="18" t="n"/>
    </row>
    <row r="124">
      <c r="A124" s="18">
        <f>'Schedule_Data_Option_B'!A125</f>
        <v/>
      </c>
      <c r="B124" s="18">
        <f>'Schedule_Data_Option_B'!B125</f>
        <v/>
      </c>
      <c r="C124" s="18">
        <f>'Schedule_Data_Option_B'!C125</f>
        <v/>
      </c>
      <c r="D124" s="23">
        <f>'Schedule_Data_Option_B'!D125</f>
        <v/>
      </c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8" t="n"/>
      <c r="N124" s="18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  <c r="Y124" s="18" t="n"/>
      <c r="Z124" s="18" t="n"/>
      <c r="AA124" s="18" t="n"/>
      <c r="AB124" s="18" t="n"/>
      <c r="AC124" s="18" t="n"/>
      <c r="AD124" s="18" t="n"/>
      <c r="AE124" s="18" t="n"/>
      <c r="AF124" s="18" t="n"/>
      <c r="AG124" s="18" t="n"/>
      <c r="AH124" s="18" t="n"/>
      <c r="AI124" s="18" t="n"/>
      <c r="AJ124" s="18" t="n"/>
      <c r="AK124" s="18" t="n"/>
      <c r="AL124" s="18" t="n"/>
      <c r="AM124" s="18" t="n"/>
      <c r="AN124" s="18" t="n"/>
      <c r="AO124" s="18" t="n"/>
      <c r="AP124" s="18" t="n"/>
      <c r="AQ124" s="18" t="n"/>
      <c r="AR124" s="18" t="n"/>
      <c r="AS124" s="18" t="n"/>
      <c r="AT124" s="18" t="n"/>
      <c r="AU124" s="18" t="n"/>
      <c r="AV124" s="18" t="n"/>
      <c r="AW124" s="18" t="n"/>
      <c r="AX124" s="18" t="n"/>
      <c r="AY124" s="18" t="n"/>
      <c r="AZ124" s="18" t="n"/>
      <c r="BA124" s="18" t="n"/>
      <c r="BB124" s="18" t="n"/>
      <c r="BC124" s="18" t="n"/>
      <c r="BD124" s="18" t="n"/>
      <c r="BE124" s="18" t="n"/>
      <c r="BF124" s="18" t="n"/>
      <c r="BG124" s="18" t="n"/>
      <c r="BH124" s="18" t="n"/>
      <c r="BI124" s="18" t="n"/>
      <c r="BJ124" s="23" t="n"/>
      <c r="BK124" s="18" t="n"/>
      <c r="BL124" s="18" t="n"/>
      <c r="BM124" s="18" t="n"/>
      <c r="BN124" s="18" t="n"/>
      <c r="BO124" s="18" t="n"/>
      <c r="BP124" s="18" t="n"/>
      <c r="BQ124" s="18" t="n"/>
      <c r="BR124" s="18" t="n"/>
      <c r="BS124" s="18" t="n"/>
      <c r="BT124" s="18" t="n"/>
      <c r="BU124" s="18" t="n"/>
      <c r="BV124" s="18" t="n"/>
      <c r="BW124" s="18" t="n"/>
      <c r="BX124" s="18" t="n"/>
      <c r="BY124" s="18" t="n"/>
      <c r="BZ124" s="18" t="n"/>
      <c r="CA124" s="18" t="n"/>
      <c r="CB124" s="18" t="n"/>
      <c r="CC124" s="18" t="n"/>
      <c r="CD124" s="18" t="n"/>
      <c r="CE124" s="18" t="n"/>
      <c r="CF124" s="18" t="n"/>
      <c r="CG124" s="18" t="n"/>
      <c r="CH124" s="18" t="n"/>
      <c r="CI124" s="18" t="n"/>
      <c r="CJ124" s="18" t="n"/>
      <c r="CK124" s="18" t="n"/>
      <c r="CL124" s="18" t="n"/>
      <c r="CM124" s="18" t="n"/>
      <c r="CN124" s="18" t="n"/>
      <c r="CO124" s="18" t="n"/>
      <c r="CP124" s="18" t="n"/>
      <c r="CQ124" s="18" t="n"/>
      <c r="CR124" s="18" t="n"/>
      <c r="CS124" s="18" t="n"/>
      <c r="CT124" s="18" t="n"/>
      <c r="CU124" s="18" t="n"/>
      <c r="CV124" s="18" t="n"/>
      <c r="CW124" s="18" t="n"/>
      <c r="CX124" s="18" t="n"/>
      <c r="CY124" s="18" t="n"/>
      <c r="CZ124" s="18" t="n"/>
      <c r="DA124" s="18" t="n"/>
      <c r="DB124" s="18" t="n"/>
      <c r="DC124" s="18" t="n"/>
      <c r="DD124" s="18" t="n"/>
      <c r="DE124" s="18" t="n"/>
      <c r="DF124" s="18" t="n"/>
      <c r="DG124" s="18" t="n"/>
      <c r="DH124" s="18" t="n"/>
      <c r="DI124" s="18" t="n"/>
      <c r="DJ124" s="18" t="n"/>
      <c r="DK124" s="18" t="n"/>
      <c r="DL124" s="18" t="n"/>
      <c r="DM124" s="18" t="n"/>
      <c r="DN124" s="18" t="n"/>
      <c r="DO124" s="18" t="n"/>
      <c r="DP124" s="18" t="n"/>
      <c r="DQ124" s="18" t="n"/>
      <c r="DR124" s="18" t="n"/>
      <c r="DS124" s="18" t="n"/>
      <c r="DT124" s="18" t="n"/>
    </row>
    <row r="125">
      <c r="A125" s="18">
        <f>'Schedule_Data_Option_B'!A126</f>
        <v/>
      </c>
      <c r="B125" s="18">
        <f>'Schedule_Data_Option_B'!B126</f>
        <v/>
      </c>
      <c r="C125" s="18">
        <f>'Schedule_Data_Option_B'!C126</f>
        <v/>
      </c>
      <c r="D125" s="21">
        <f>'Schedule_Data_Option_B'!D126</f>
        <v/>
      </c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8" t="n"/>
      <c r="N125" s="18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  <c r="Y125" s="18" t="n"/>
      <c r="Z125" s="18" t="n"/>
      <c r="AA125" s="18" t="n"/>
      <c r="AB125" s="18" t="n"/>
      <c r="AC125" s="18" t="n"/>
      <c r="AD125" s="18" t="n"/>
      <c r="AE125" s="18" t="n"/>
      <c r="AF125" s="18" t="n"/>
      <c r="AG125" s="18" t="n"/>
      <c r="AH125" s="18" t="n"/>
      <c r="AI125" s="18" t="n"/>
      <c r="AJ125" s="18" t="n"/>
      <c r="AK125" s="18" t="n"/>
      <c r="AL125" s="18" t="n"/>
      <c r="AM125" s="18" t="n"/>
      <c r="AN125" s="18" t="n"/>
      <c r="AO125" s="18" t="n"/>
      <c r="AP125" s="18" t="n"/>
      <c r="AQ125" s="18" t="n"/>
      <c r="AR125" s="18" t="n"/>
      <c r="AS125" s="18" t="n"/>
      <c r="AT125" s="18" t="n"/>
      <c r="AU125" s="18" t="n"/>
      <c r="AV125" s="18" t="n"/>
      <c r="AW125" s="18" t="n"/>
      <c r="AX125" s="18" t="n"/>
      <c r="AY125" s="18" t="n"/>
      <c r="AZ125" s="18" t="n"/>
      <c r="BA125" s="18" t="n"/>
      <c r="BB125" s="18" t="n"/>
      <c r="BC125" s="18" t="n"/>
      <c r="BD125" s="18" t="n"/>
      <c r="BE125" s="18" t="n"/>
      <c r="BF125" s="18" t="n"/>
      <c r="BG125" s="18" t="n"/>
      <c r="BH125" s="18" t="n"/>
      <c r="BI125" s="18" t="n"/>
      <c r="BJ125" s="18" t="n"/>
      <c r="BK125" s="18" t="n"/>
      <c r="BL125" s="18" t="n"/>
      <c r="BM125" s="18" t="n"/>
      <c r="BN125" s="18" t="n"/>
      <c r="BO125" s="18" t="n"/>
      <c r="BP125" s="18" t="n"/>
      <c r="BQ125" s="18" t="n"/>
      <c r="BR125" s="18" t="n"/>
      <c r="BS125" s="18" t="n"/>
      <c r="BT125" s="18" t="n"/>
      <c r="BU125" s="18" t="n"/>
      <c r="BV125" s="18" t="n"/>
      <c r="BW125" s="18" t="n"/>
      <c r="BX125" s="18" t="n"/>
      <c r="BY125" s="18" t="n"/>
      <c r="BZ125" s="18" t="n"/>
      <c r="CA125" s="18" t="n"/>
      <c r="CB125" s="18" t="n"/>
      <c r="CC125" s="18" t="n"/>
      <c r="CD125" s="18" t="n"/>
      <c r="CE125" s="18" t="n"/>
      <c r="CF125" s="18" t="n"/>
      <c r="CG125" s="18" t="n"/>
      <c r="CH125" s="18" t="n"/>
      <c r="CI125" s="18" t="n"/>
      <c r="CJ125" s="18" t="n"/>
      <c r="CK125" s="18" t="n"/>
      <c r="CL125" s="18" t="n"/>
      <c r="CM125" s="18" t="n"/>
      <c r="CN125" s="18" t="n"/>
      <c r="CO125" s="18" t="n"/>
      <c r="CP125" s="18" t="n"/>
      <c r="CQ125" s="18" t="n"/>
      <c r="CR125" s="18" t="n"/>
      <c r="CS125" s="18" t="n"/>
      <c r="CT125" s="18" t="n"/>
      <c r="CU125" s="18" t="n"/>
      <c r="CV125" s="18" t="n"/>
      <c r="CW125" s="18" t="n"/>
      <c r="CX125" s="18" t="n"/>
      <c r="CY125" s="18" t="n"/>
      <c r="CZ125" s="18" t="n"/>
      <c r="DA125" s="18" t="n"/>
      <c r="DB125" s="18" t="n"/>
      <c r="DC125" s="18" t="n"/>
      <c r="DD125" s="18" t="n"/>
      <c r="DE125" s="18" t="n"/>
      <c r="DF125" s="18" t="n"/>
      <c r="DG125" s="18" t="n"/>
      <c r="DH125" s="18" t="n"/>
      <c r="DI125" s="18" t="n"/>
      <c r="DJ125" s="18" t="n"/>
      <c r="DK125" s="18" t="n"/>
      <c r="DL125" s="18" t="n"/>
      <c r="DM125" s="18" t="n"/>
      <c r="DN125" s="18" t="n"/>
      <c r="DO125" s="18" t="n"/>
      <c r="DP125" s="18" t="n"/>
      <c r="DQ125" s="18" t="n"/>
      <c r="DR125" s="18" t="n"/>
      <c r="DS125" s="18" t="n"/>
      <c r="DT125" s="18" t="n"/>
    </row>
    <row r="126">
      <c r="A126" s="18">
        <f>'Schedule_Data_Option_B'!A127</f>
        <v/>
      </c>
      <c r="B126" s="18">
        <f>'Schedule_Data_Option_B'!B127</f>
        <v/>
      </c>
      <c r="C126" s="18">
        <f>'Schedule_Data_Option_B'!C127</f>
        <v/>
      </c>
      <c r="D126" s="21">
        <f>'Schedule_Data_Option_B'!D127</f>
        <v/>
      </c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8" t="n"/>
      <c r="N126" s="18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  <c r="Y126" s="18" t="n"/>
      <c r="Z126" s="18" t="n"/>
      <c r="AA126" s="18" t="n"/>
      <c r="AB126" s="18" t="n"/>
      <c r="AC126" s="18" t="n"/>
      <c r="AD126" s="18" t="n"/>
      <c r="AE126" s="18" t="n"/>
      <c r="AF126" s="18" t="n"/>
      <c r="AG126" s="18" t="n"/>
      <c r="AH126" s="18" t="n"/>
      <c r="AI126" s="18" t="n"/>
      <c r="AJ126" s="18" t="n"/>
      <c r="AK126" s="18" t="n"/>
      <c r="AL126" s="18" t="n"/>
      <c r="AM126" s="18" t="n"/>
      <c r="AN126" s="18" t="n"/>
      <c r="AO126" s="18" t="n"/>
      <c r="AP126" s="18" t="n"/>
      <c r="AQ126" s="18" t="n"/>
      <c r="AR126" s="18" t="n"/>
      <c r="AS126" s="18" t="n"/>
      <c r="AT126" s="18" t="n"/>
      <c r="AU126" s="18" t="n"/>
      <c r="AV126" s="18" t="n"/>
      <c r="AW126" s="18" t="n"/>
      <c r="AX126" s="18" t="n"/>
      <c r="AY126" s="18" t="n"/>
      <c r="AZ126" s="18" t="n"/>
      <c r="BA126" s="18" t="n"/>
      <c r="BB126" s="18" t="n"/>
      <c r="BC126" s="18" t="n"/>
      <c r="BD126" s="18" t="n"/>
      <c r="BE126" s="18" t="n"/>
      <c r="BF126" s="18" t="n"/>
      <c r="BG126" s="18" t="n"/>
      <c r="BH126" s="18" t="n"/>
      <c r="BI126" s="18" t="n"/>
      <c r="BJ126" s="18" t="n"/>
      <c r="BK126" s="18" t="n"/>
      <c r="BL126" s="18" t="n"/>
      <c r="BM126" s="18" t="n"/>
      <c r="BN126" s="18" t="n"/>
      <c r="BO126" s="18" t="n"/>
      <c r="BP126" s="18" t="n"/>
      <c r="BQ126" s="18" t="n"/>
      <c r="BR126" s="18" t="n"/>
      <c r="BS126" s="18" t="n"/>
      <c r="BT126" s="18" t="n"/>
      <c r="BU126" s="18" t="n"/>
      <c r="BV126" s="18" t="n"/>
      <c r="BW126" s="18" t="n"/>
      <c r="BX126" s="18" t="n"/>
      <c r="BY126" s="18" t="n"/>
      <c r="BZ126" s="18" t="n"/>
      <c r="CA126" s="18" t="n"/>
      <c r="CB126" s="18" t="n"/>
      <c r="CC126" s="18" t="n"/>
      <c r="CD126" s="18" t="n"/>
      <c r="CE126" s="18" t="n"/>
      <c r="CF126" s="18" t="n"/>
      <c r="CG126" s="18" t="n"/>
      <c r="CH126" s="18" t="n"/>
      <c r="CI126" s="18" t="n"/>
      <c r="CJ126" s="18" t="n"/>
      <c r="CK126" s="18" t="n"/>
      <c r="CL126" s="18" t="n"/>
      <c r="CM126" s="18" t="n"/>
      <c r="CN126" s="18" t="n"/>
      <c r="CO126" s="18" t="n"/>
      <c r="CP126" s="18" t="n"/>
      <c r="CQ126" s="18" t="n"/>
      <c r="CR126" s="18" t="n"/>
      <c r="CS126" s="18" t="n"/>
      <c r="CT126" s="18" t="n"/>
      <c r="CU126" s="18" t="n"/>
      <c r="CV126" s="18" t="n"/>
      <c r="CW126" s="18" t="n"/>
      <c r="CX126" s="18" t="n"/>
      <c r="CY126" s="18" t="n"/>
      <c r="CZ126" s="18" t="n"/>
      <c r="DA126" s="18" t="n"/>
      <c r="DB126" s="18" t="n"/>
      <c r="DC126" s="18" t="n"/>
      <c r="DD126" s="18" t="n"/>
      <c r="DE126" s="18" t="n"/>
      <c r="DF126" s="18" t="n"/>
      <c r="DG126" s="18" t="n"/>
      <c r="DH126" s="18" t="n"/>
      <c r="DI126" s="18" t="n"/>
      <c r="DJ126" s="18" t="n"/>
      <c r="DK126" s="18" t="n"/>
      <c r="DL126" s="18" t="n"/>
      <c r="DM126" s="18" t="n"/>
      <c r="DN126" s="18" t="n"/>
      <c r="DO126" s="18" t="n"/>
      <c r="DP126" s="18" t="n"/>
      <c r="DQ126" s="18" t="n"/>
      <c r="DR126" s="18" t="n"/>
      <c r="DS126" s="18" t="n"/>
      <c r="DT126" s="18" t="n"/>
    </row>
    <row r="127">
      <c r="A127" s="18">
        <f>'Schedule_Data_Option_B'!A128</f>
        <v/>
      </c>
      <c r="B127" s="18">
        <f>'Schedule_Data_Option_B'!B128</f>
        <v/>
      </c>
      <c r="C127" s="18">
        <f>'Schedule_Data_Option_B'!C128</f>
        <v/>
      </c>
      <c r="D127" s="27">
        <f>'Schedule_Data_Option_B'!D128</f>
        <v/>
      </c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8" t="n"/>
      <c r="N127" s="18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  <c r="Y127" s="18" t="n"/>
      <c r="Z127" s="18" t="n"/>
      <c r="AA127" s="18" t="n"/>
      <c r="AB127" s="18" t="n"/>
      <c r="AC127" s="18" t="n"/>
      <c r="AD127" s="18" t="n"/>
      <c r="AE127" s="18" t="n"/>
      <c r="AF127" s="18" t="n"/>
      <c r="AG127" s="18" t="n"/>
      <c r="AH127" s="18" t="n"/>
      <c r="AI127" s="18" t="n"/>
      <c r="AJ127" s="18" t="n"/>
      <c r="AK127" s="18" t="n"/>
      <c r="AL127" s="18" t="n"/>
      <c r="AM127" s="18" t="n"/>
      <c r="AN127" s="18" t="n"/>
      <c r="AO127" s="18" t="n"/>
      <c r="AP127" s="18" t="n"/>
      <c r="AQ127" s="18" t="n"/>
      <c r="AR127" s="18" t="n"/>
      <c r="AS127" s="18" t="n"/>
      <c r="AT127" s="18" t="n"/>
      <c r="AU127" s="18" t="n"/>
      <c r="AV127" s="18" t="n"/>
      <c r="AW127" s="18" t="n"/>
      <c r="AX127" s="18" t="n"/>
      <c r="AY127" s="18" t="n"/>
      <c r="AZ127" s="18" t="n"/>
      <c r="BA127" s="18" t="n"/>
      <c r="BB127" s="18" t="n"/>
      <c r="BC127" s="18" t="n"/>
      <c r="BD127" s="18" t="n"/>
      <c r="BE127" s="18" t="n"/>
      <c r="BF127" s="18" t="n"/>
      <c r="BG127" s="18" t="n"/>
      <c r="BH127" s="18" t="n"/>
      <c r="BI127" s="18" t="n"/>
      <c r="BJ127" s="18" t="n"/>
      <c r="BK127" s="18" t="n"/>
      <c r="BL127" s="27" t="n"/>
      <c r="BM127" s="18" t="n"/>
      <c r="BN127" s="18" t="n"/>
      <c r="BO127" s="18" t="n"/>
      <c r="BP127" s="18" t="n"/>
      <c r="BQ127" s="18" t="n"/>
      <c r="BR127" s="18" t="n"/>
      <c r="BS127" s="18" t="n"/>
      <c r="BT127" s="18" t="n"/>
      <c r="BU127" s="18" t="n"/>
      <c r="BV127" s="18" t="n"/>
      <c r="BW127" s="18" t="n"/>
      <c r="BX127" s="18" t="n"/>
      <c r="BY127" s="18" t="n"/>
      <c r="BZ127" s="18" t="n"/>
      <c r="CA127" s="18" t="n"/>
      <c r="CB127" s="18" t="n"/>
      <c r="CC127" s="18" t="n"/>
      <c r="CD127" s="18" t="n"/>
      <c r="CE127" s="18" t="n"/>
      <c r="CF127" s="18" t="n"/>
      <c r="CG127" s="18" t="n"/>
      <c r="CH127" s="18" t="n"/>
      <c r="CI127" s="18" t="n"/>
      <c r="CJ127" s="18" t="n"/>
      <c r="CK127" s="18" t="n"/>
      <c r="CL127" s="18" t="n"/>
      <c r="CM127" s="18" t="n"/>
      <c r="CN127" s="18" t="n"/>
      <c r="CO127" s="18" t="n"/>
      <c r="CP127" s="18" t="n"/>
      <c r="CQ127" s="18" t="n"/>
      <c r="CR127" s="18" t="n"/>
      <c r="CS127" s="18" t="n"/>
      <c r="CT127" s="18" t="n"/>
      <c r="CU127" s="18" t="n"/>
      <c r="CV127" s="18" t="n"/>
      <c r="CW127" s="18" t="n"/>
      <c r="CX127" s="18" t="n"/>
      <c r="CY127" s="18" t="n"/>
      <c r="CZ127" s="18" t="n"/>
      <c r="DA127" s="18" t="n"/>
      <c r="DB127" s="18" t="n"/>
      <c r="DC127" s="18" t="n"/>
      <c r="DD127" s="18" t="n"/>
      <c r="DE127" s="18" t="n"/>
      <c r="DF127" s="18" t="n"/>
      <c r="DG127" s="18" t="n"/>
      <c r="DH127" s="18" t="n"/>
      <c r="DI127" s="18" t="n"/>
      <c r="DJ127" s="18" t="n"/>
      <c r="DK127" s="18" t="n"/>
      <c r="DL127" s="18" t="n"/>
      <c r="DM127" s="18" t="n"/>
      <c r="DN127" s="18" t="n"/>
      <c r="DO127" s="18" t="n"/>
      <c r="DP127" s="18" t="n"/>
      <c r="DQ127" s="18" t="n"/>
      <c r="DR127" s="18" t="n"/>
      <c r="DS127" s="18" t="n"/>
      <c r="DT127" s="18" t="n"/>
    </row>
    <row r="128">
      <c r="A128" s="18">
        <f>'Schedule_Data_Option_B'!A129</f>
        <v/>
      </c>
      <c r="B128" s="18">
        <f>'Schedule_Data_Option_B'!B129</f>
        <v/>
      </c>
      <c r="C128" s="18">
        <f>'Schedule_Data_Option_B'!C129</f>
        <v/>
      </c>
      <c r="D128" s="38">
        <f>'Schedule_Data_Option_B'!D129</f>
        <v/>
      </c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8" t="n"/>
      <c r="N128" s="18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  <c r="Y128" s="18" t="n"/>
      <c r="Z128" s="18" t="n"/>
      <c r="AA128" s="18" t="n"/>
      <c r="AB128" s="18" t="n"/>
      <c r="AC128" s="18" t="n"/>
      <c r="AD128" s="18" t="n"/>
      <c r="AE128" s="18" t="n"/>
      <c r="AF128" s="18" t="n"/>
      <c r="AG128" s="18" t="n"/>
      <c r="AH128" s="18" t="n"/>
      <c r="AI128" s="18" t="n"/>
      <c r="AJ128" s="18" t="n"/>
      <c r="AK128" s="18" t="n"/>
      <c r="AL128" s="18" t="n"/>
      <c r="AM128" s="18" t="n"/>
      <c r="AN128" s="18" t="n"/>
      <c r="AO128" s="18" t="n"/>
      <c r="AP128" s="18" t="n"/>
      <c r="AQ128" s="18" t="n"/>
      <c r="AR128" s="18" t="n"/>
      <c r="AS128" s="18" t="n"/>
      <c r="AT128" s="18" t="n"/>
      <c r="AU128" s="18" t="n"/>
      <c r="AV128" s="18" t="n"/>
      <c r="AW128" s="18" t="n"/>
      <c r="AX128" s="18" t="n"/>
      <c r="AY128" s="18" t="n"/>
      <c r="AZ128" s="18" t="n"/>
      <c r="BA128" s="18" t="n"/>
      <c r="BB128" s="18" t="n"/>
      <c r="BC128" s="18" t="n"/>
      <c r="BD128" s="18" t="n"/>
      <c r="BE128" s="18" t="n"/>
      <c r="BF128" s="18" t="n"/>
      <c r="BG128" s="18" t="n"/>
      <c r="BH128" s="18" t="n"/>
      <c r="BI128" s="18" t="n"/>
      <c r="BJ128" s="18" t="n"/>
      <c r="BK128" s="18" t="n"/>
      <c r="BL128" s="18" t="n"/>
      <c r="BM128" s="18" t="n"/>
      <c r="BN128" s="18" t="n"/>
      <c r="BO128" s="38" t="n"/>
      <c r="BP128" s="18" t="n"/>
      <c r="BQ128" s="18" t="n"/>
      <c r="BR128" s="18" t="n"/>
      <c r="BS128" s="18" t="n"/>
      <c r="BT128" s="18" t="n"/>
      <c r="BU128" s="18" t="n"/>
      <c r="BV128" s="18" t="n"/>
      <c r="BW128" s="18" t="n"/>
      <c r="BX128" s="18" t="n"/>
      <c r="BY128" s="18" t="n"/>
      <c r="BZ128" s="18" t="n"/>
      <c r="CA128" s="18" t="n"/>
      <c r="CB128" s="18" t="n"/>
      <c r="CC128" s="18" t="n"/>
      <c r="CD128" s="18" t="n"/>
      <c r="CE128" s="18" t="n"/>
      <c r="CF128" s="18" t="n"/>
      <c r="CG128" s="18" t="n"/>
      <c r="CH128" s="18" t="n"/>
      <c r="CI128" s="18" t="n"/>
      <c r="CJ128" s="18" t="n"/>
      <c r="CK128" s="18" t="n"/>
      <c r="CL128" s="18" t="n"/>
      <c r="CM128" s="18" t="n"/>
      <c r="CN128" s="18" t="n"/>
      <c r="CO128" s="18" t="n"/>
      <c r="CP128" s="18" t="n"/>
      <c r="CQ128" s="18" t="n"/>
      <c r="CR128" s="18" t="n"/>
      <c r="CS128" s="18" t="n"/>
      <c r="CT128" s="18" t="n"/>
      <c r="CU128" s="18" t="n"/>
      <c r="CV128" s="18" t="n"/>
      <c r="CW128" s="18" t="n"/>
      <c r="CX128" s="18" t="n"/>
      <c r="CY128" s="18" t="n"/>
      <c r="CZ128" s="18" t="n"/>
      <c r="DA128" s="18" t="n"/>
      <c r="DB128" s="18" t="n"/>
      <c r="DC128" s="18" t="n"/>
      <c r="DD128" s="18" t="n"/>
      <c r="DE128" s="18" t="n"/>
      <c r="DF128" s="18" t="n"/>
      <c r="DG128" s="18" t="n"/>
      <c r="DH128" s="18" t="n"/>
      <c r="DI128" s="18" t="n"/>
      <c r="DJ128" s="18" t="n"/>
      <c r="DK128" s="18" t="n"/>
      <c r="DL128" s="18" t="n"/>
      <c r="DM128" s="18" t="n"/>
      <c r="DN128" s="18" t="n"/>
      <c r="DO128" s="18" t="n"/>
      <c r="DP128" s="18" t="n"/>
      <c r="DQ128" s="18" t="n"/>
      <c r="DR128" s="18" t="n"/>
      <c r="DS128" s="18" t="n"/>
      <c r="DT128" s="18" t="n"/>
    </row>
  </sheetData>
  <mergeCells count="3">
    <mergeCell ref="A2:DT2"/>
    <mergeCell ref="A1:DT1"/>
    <mergeCell ref="A3:D3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9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5" customWidth="1" min="2" max="2"/>
    <col width="14" customWidth="1" min="3" max="3"/>
    <col width="12" customWidth="1" min="4" max="4"/>
  </cols>
  <sheetData>
    <row r="1">
      <c r="A1" s="31" t="inlineStr">
        <is>
          <t>MINA ZAYED PORT - High Tide Data</t>
        </is>
      </c>
    </row>
    <row r="2">
      <c r="A2" s="16" t="inlineStr">
        <is>
          <t>Tide ≥1.90m required for Load-out and AGI Arrival | VBA: RefreshTideData로 업데이트</t>
        </is>
      </c>
    </row>
    <row r="4">
      <c r="A4" s="17" t="inlineStr">
        <is>
          <t>Date</t>
        </is>
      </c>
      <c r="B4" s="17" t="inlineStr">
        <is>
          <t>High Tide Window</t>
        </is>
      </c>
      <c r="C4" s="17" t="inlineStr">
        <is>
          <t>Max Height (m)</t>
        </is>
      </c>
      <c r="D4" s="17" t="inlineStr">
        <is>
          <t>Risk Level</t>
        </is>
      </c>
    </row>
    <row r="5">
      <c r="A5" s="12" t="n">
        <v>46028</v>
      </c>
      <c r="B5" s="18" t="inlineStr">
        <is>
          <t>09:00-13:00</t>
        </is>
      </c>
      <c r="C5" s="39" t="n">
        <v>2.06</v>
      </c>
      <c r="D5" s="40" t="inlineStr">
        <is>
          <t>LOW</t>
        </is>
      </c>
    </row>
    <row r="6">
      <c r="A6" s="12" t="n">
        <v>46029</v>
      </c>
      <c r="B6" s="18" t="inlineStr">
        <is>
          <t>10:00-14:00</t>
        </is>
      </c>
      <c r="C6" s="39" t="n">
        <v>1.94</v>
      </c>
      <c r="D6" s="40" t="inlineStr">
        <is>
          <t>LOW</t>
        </is>
      </c>
    </row>
    <row r="7">
      <c r="A7" s="20" t="n">
        <v>46030</v>
      </c>
      <c r="B7" s="18" t="inlineStr">
        <is>
          <t>10:00-14:00</t>
        </is>
      </c>
      <c r="C7" s="41" t="n">
        <v>1.79</v>
      </c>
      <c r="D7" s="42" t="inlineStr">
        <is>
          <t>MEDIUM</t>
        </is>
      </c>
    </row>
    <row r="8">
      <c r="A8" s="20" t="n">
        <v>46031</v>
      </c>
      <c r="B8" s="18" t="inlineStr">
        <is>
          <t>10:00-14:00</t>
        </is>
      </c>
      <c r="C8" s="41" t="n">
        <v>1.67</v>
      </c>
      <c r="D8" s="42" t="inlineStr">
        <is>
          <t>MEDIUM</t>
        </is>
      </c>
    </row>
    <row r="9">
      <c r="A9" s="20" t="n">
        <v>46032</v>
      </c>
      <c r="B9" s="18" t="inlineStr">
        <is>
          <t>09:00-12:00</t>
        </is>
      </c>
      <c r="C9" s="41" t="n">
        <v>1.48</v>
      </c>
      <c r="D9" s="43" t="inlineStr">
        <is>
          <t>HIGH</t>
        </is>
      </c>
    </row>
    <row r="10">
      <c r="A10" s="20" t="n">
        <v>46033</v>
      </c>
      <c r="B10" s="18" t="inlineStr">
        <is>
          <t>09:00-13:00</t>
        </is>
      </c>
      <c r="C10" s="41" t="n">
        <v>1.33</v>
      </c>
      <c r="D10" s="43" t="inlineStr">
        <is>
          <t>HIGH</t>
        </is>
      </c>
    </row>
    <row r="11">
      <c r="A11" s="20" t="n">
        <v>46034</v>
      </c>
      <c r="B11" s="18" t="inlineStr">
        <is>
          <t>10:00-14:00</t>
        </is>
      </c>
      <c r="C11" s="41" t="n">
        <v>1.8</v>
      </c>
      <c r="D11" s="42" t="inlineStr">
        <is>
          <t>MEDIUM</t>
        </is>
      </c>
    </row>
    <row r="12">
      <c r="A12" s="20" t="n">
        <v>46035</v>
      </c>
      <c r="B12" s="18" t="inlineStr">
        <is>
          <t>10:00-14:00</t>
        </is>
      </c>
      <c r="C12" s="41" t="n">
        <v>1.83</v>
      </c>
      <c r="D12" s="40" t="inlineStr">
        <is>
          <t>LOW</t>
        </is>
      </c>
    </row>
    <row r="13">
      <c r="A13" s="12" t="n">
        <v>46036</v>
      </c>
      <c r="B13" s="18" t="inlineStr">
        <is>
          <t>10:00-15:00</t>
        </is>
      </c>
      <c r="C13" s="39" t="n">
        <v>1.91</v>
      </c>
      <c r="D13" s="40" t="inlineStr">
        <is>
          <t>LOW</t>
        </is>
      </c>
    </row>
    <row r="14">
      <c r="A14" s="12" t="n">
        <v>46037</v>
      </c>
      <c r="B14" s="18" t="inlineStr">
        <is>
          <t>11:00-15:00</t>
        </is>
      </c>
      <c r="C14" s="39" t="n">
        <v>1.95</v>
      </c>
      <c r="D14" s="40" t="inlineStr">
        <is>
          <t>LOW</t>
        </is>
      </c>
    </row>
    <row r="15">
      <c r="A15" s="12" t="n">
        <v>46038</v>
      </c>
      <c r="B15" s="18" t="inlineStr">
        <is>
          <t>11:00-15:00</t>
        </is>
      </c>
      <c r="C15" s="39" t="n">
        <v>1.99</v>
      </c>
      <c r="D15" s="40" t="inlineStr">
        <is>
          <t>LOW</t>
        </is>
      </c>
    </row>
    <row r="16">
      <c r="A16" s="12" t="n">
        <v>46039</v>
      </c>
      <c r="B16" s="18" t="inlineStr">
        <is>
          <t>11:00-15:00</t>
        </is>
      </c>
      <c r="C16" s="39" t="n">
        <v>2.02</v>
      </c>
      <c r="D16" s="40" t="inlineStr">
        <is>
          <t>LOW</t>
        </is>
      </c>
    </row>
    <row r="17">
      <c r="A17" s="12" t="n">
        <v>46040</v>
      </c>
      <c r="B17" s="18" t="inlineStr">
        <is>
          <t>11:00-15:00</t>
        </is>
      </c>
      <c r="C17" s="39" t="n">
        <v>2.05</v>
      </c>
      <c r="D17" s="40" t="inlineStr">
        <is>
          <t>LOW</t>
        </is>
      </c>
    </row>
    <row r="18">
      <c r="A18" s="12" t="n">
        <v>46041</v>
      </c>
      <c r="B18" s="18" t="inlineStr">
        <is>
          <t>12:00-16:00</t>
        </is>
      </c>
      <c r="C18" s="39" t="n">
        <v>2.01</v>
      </c>
      <c r="D18" s="40" t="inlineStr">
        <is>
          <t>LOW</t>
        </is>
      </c>
    </row>
    <row r="19">
      <c r="A19" s="12" t="n">
        <v>46042</v>
      </c>
      <c r="B19" s="18" t="inlineStr">
        <is>
          <t>12:00-16:00</t>
        </is>
      </c>
      <c r="C19" s="39" t="n">
        <v>1.97</v>
      </c>
      <c r="D19" s="40" t="inlineStr">
        <is>
          <t>LOW</t>
        </is>
      </c>
    </row>
    <row r="20">
      <c r="A20" s="20" t="n">
        <v>46043</v>
      </c>
      <c r="B20" s="18" t="inlineStr">
        <is>
          <t>12:00-16:00</t>
        </is>
      </c>
      <c r="C20" s="41" t="n">
        <v>1.88</v>
      </c>
      <c r="D20" s="40" t="inlineStr">
        <is>
          <t>LOW</t>
        </is>
      </c>
    </row>
    <row r="21">
      <c r="A21" s="12" t="n">
        <v>46044</v>
      </c>
      <c r="B21" s="18" t="inlineStr">
        <is>
          <t>13:00-17:00</t>
        </is>
      </c>
      <c r="C21" s="39" t="n">
        <v>1.91</v>
      </c>
      <c r="D21" s="40" t="inlineStr">
        <is>
          <t>LOW</t>
        </is>
      </c>
    </row>
    <row r="22">
      <c r="A22" s="20" t="n">
        <v>46045</v>
      </c>
      <c r="B22" s="18" t="inlineStr">
        <is>
          <t>13:00-17:00</t>
        </is>
      </c>
      <c r="C22" s="41" t="n">
        <v>1.84</v>
      </c>
      <c r="D22" s="40" t="inlineStr">
        <is>
          <t>LOW</t>
        </is>
      </c>
    </row>
    <row r="23">
      <c r="A23" s="20" t="n">
        <v>46046</v>
      </c>
      <c r="B23" s="18" t="inlineStr">
        <is>
          <t>04:00-06:00, 14:00-17:00</t>
        </is>
      </c>
      <c r="C23" s="41" t="n">
        <v>1.75</v>
      </c>
      <c r="D23" s="42" t="inlineStr">
        <is>
          <t>MEDIUM</t>
        </is>
      </c>
    </row>
    <row r="24">
      <c r="A24" s="20" t="n">
        <v>46047</v>
      </c>
      <c r="B24" s="18" t="inlineStr">
        <is>
          <t>04:00-06:00, 14:00-17:00</t>
        </is>
      </c>
      <c r="C24" s="41" t="n">
        <v>1.82</v>
      </c>
      <c r="D24" s="42" t="inlineStr">
        <is>
          <t>MEDIUM</t>
        </is>
      </c>
    </row>
    <row r="25">
      <c r="A25" s="12" t="n">
        <v>46048</v>
      </c>
      <c r="B25" s="18" t="inlineStr">
        <is>
          <t>04:00-07:00, 15:00-17:00</t>
        </is>
      </c>
      <c r="C25" s="39" t="n">
        <v>1.91</v>
      </c>
      <c r="D25" s="40" t="inlineStr">
        <is>
          <t>LOW</t>
        </is>
      </c>
    </row>
    <row r="26">
      <c r="A26" s="12" t="n">
        <v>46049</v>
      </c>
      <c r="B26" s="18" t="inlineStr">
        <is>
          <t>05:00-08:00, 15:00-18:00</t>
        </is>
      </c>
      <c r="C26" s="39" t="n">
        <v>1.97</v>
      </c>
      <c r="D26" s="40" t="inlineStr">
        <is>
          <t>LOW</t>
        </is>
      </c>
    </row>
    <row r="27">
      <c r="A27" s="12" t="n">
        <v>46050</v>
      </c>
      <c r="B27" s="18" t="inlineStr">
        <is>
          <t>05:00-08:00, 15:00-18:00</t>
        </is>
      </c>
      <c r="C27" s="39" t="n">
        <v>2</v>
      </c>
      <c r="D27" s="40" t="inlineStr">
        <is>
          <t>LOW</t>
        </is>
      </c>
    </row>
    <row r="28">
      <c r="A28" s="12" t="n">
        <v>46051</v>
      </c>
      <c r="B28" s="18" t="inlineStr">
        <is>
          <t>06:00-09:00, 15:00-18:00</t>
        </is>
      </c>
      <c r="C28" s="39" t="n">
        <v>2.03</v>
      </c>
      <c r="D28" s="40" t="inlineStr">
        <is>
          <t>LOW</t>
        </is>
      </c>
    </row>
    <row r="29">
      <c r="A29" s="12" t="n">
        <v>46052</v>
      </c>
      <c r="B29" s="18" t="inlineStr">
        <is>
          <t>06:00-10:00, 16:00-18:00</t>
        </is>
      </c>
      <c r="C29" s="39" t="n">
        <v>2.05</v>
      </c>
      <c r="D29" s="40" t="inlineStr">
        <is>
          <t>LOW</t>
        </is>
      </c>
    </row>
    <row r="30">
      <c r="A30" s="12" t="n">
        <v>46053</v>
      </c>
      <c r="B30" s="18" t="inlineStr">
        <is>
          <t>07:00-10:00, 16:00-19:00</t>
        </is>
      </c>
      <c r="C30" s="39" t="n">
        <v>2.07</v>
      </c>
      <c r="D30" s="40" t="inlineStr">
        <is>
          <t>LOW</t>
        </is>
      </c>
    </row>
    <row r="31">
      <c r="A31" s="12" t="n">
        <v>46054</v>
      </c>
      <c r="B31" s="18" t="inlineStr">
        <is>
          <t>08:00-12:00</t>
        </is>
      </c>
      <c r="C31" s="39" t="n">
        <v>2.09</v>
      </c>
      <c r="D31" s="40" t="inlineStr">
        <is>
          <t>LOW</t>
        </is>
      </c>
    </row>
    <row r="32">
      <c r="A32" s="12" t="n">
        <v>46055</v>
      </c>
      <c r="B32" s="18" t="inlineStr">
        <is>
          <t>09:00-13:00</t>
        </is>
      </c>
      <c r="C32" s="39" t="n">
        <v>2.08</v>
      </c>
      <c r="D32" s="40" t="inlineStr">
        <is>
          <t>LOW</t>
        </is>
      </c>
    </row>
    <row r="33">
      <c r="A33" s="12" t="n">
        <v>46056</v>
      </c>
      <c r="B33" s="18" t="inlineStr">
        <is>
          <t>10:00-14:00</t>
        </is>
      </c>
      <c r="C33" s="39" t="n">
        <v>2.04</v>
      </c>
      <c r="D33" s="40" t="inlineStr">
        <is>
          <t>LOW</t>
        </is>
      </c>
    </row>
    <row r="34">
      <c r="A34" s="12" t="n">
        <v>46057</v>
      </c>
      <c r="B34" s="18" t="inlineStr">
        <is>
          <t>10:00-14:00</t>
        </is>
      </c>
      <c r="C34" s="39" t="n">
        <v>1.97</v>
      </c>
      <c r="D34" s="40" t="inlineStr">
        <is>
          <t>LOW</t>
        </is>
      </c>
    </row>
    <row r="35">
      <c r="A35" s="20" t="n">
        <v>46058</v>
      </c>
      <c r="B35" s="18" t="inlineStr">
        <is>
          <t>10:00-14:00</t>
        </is>
      </c>
      <c r="C35" s="41" t="n">
        <v>1.85</v>
      </c>
      <c r="D35" s="40" t="inlineStr">
        <is>
          <t>LOW</t>
        </is>
      </c>
    </row>
    <row r="36">
      <c r="A36" s="20" t="n">
        <v>46059</v>
      </c>
      <c r="B36" s="18" t="inlineStr">
        <is>
          <t>11:00-14:00</t>
        </is>
      </c>
      <c r="C36" s="41" t="n">
        <v>1.74</v>
      </c>
      <c r="D36" s="42" t="inlineStr">
        <is>
          <t>MEDIUM</t>
        </is>
      </c>
    </row>
    <row r="37">
      <c r="A37" s="20" t="n">
        <v>46060</v>
      </c>
      <c r="B37" s="18" t="inlineStr">
        <is>
          <t>11:00-14:00</t>
        </is>
      </c>
      <c r="C37" s="41" t="n">
        <v>1.58</v>
      </c>
      <c r="D37" s="42" t="inlineStr">
        <is>
          <t>MEDIUM</t>
        </is>
      </c>
    </row>
    <row r="38">
      <c r="A38" s="20" t="n">
        <v>46061</v>
      </c>
      <c r="B38" s="18" t="inlineStr">
        <is>
          <t>11:00-14:00</t>
        </is>
      </c>
      <c r="C38" s="41" t="n">
        <v>1.41</v>
      </c>
      <c r="D38" s="43" t="inlineStr">
        <is>
          <t>HIGH</t>
        </is>
      </c>
    </row>
    <row r="39">
      <c r="A39" s="20" t="n">
        <v>46062</v>
      </c>
      <c r="B39" s="18" t="inlineStr">
        <is>
          <t>11:00-14:00</t>
        </is>
      </c>
      <c r="C39" s="41" t="n">
        <v>1.28</v>
      </c>
      <c r="D39" s="43" t="inlineStr">
        <is>
          <t>HIGH</t>
        </is>
      </c>
    </row>
    <row r="40">
      <c r="A40" s="20" t="n">
        <v>46063</v>
      </c>
      <c r="B40" s="18" t="inlineStr">
        <is>
          <t>11:00-14:00</t>
        </is>
      </c>
      <c r="C40" s="41" t="n">
        <v>1.15</v>
      </c>
      <c r="D40" s="43" t="inlineStr">
        <is>
          <t>HIGH</t>
        </is>
      </c>
    </row>
    <row r="41">
      <c r="A41" s="20" t="n">
        <v>46064</v>
      </c>
      <c r="B41" s="18" t="inlineStr">
        <is>
          <t>11:00-14:00</t>
        </is>
      </c>
      <c r="C41" s="41" t="n">
        <v>1.07</v>
      </c>
      <c r="D41" s="43" t="inlineStr">
        <is>
          <t>HIGH</t>
        </is>
      </c>
    </row>
    <row r="42">
      <c r="A42" s="20" t="n">
        <v>46065</v>
      </c>
      <c r="B42" s="18" t="inlineStr">
        <is>
          <t>11:00-15:00</t>
        </is>
      </c>
      <c r="C42" s="41" t="n">
        <v>1.84</v>
      </c>
      <c r="D42" s="40" t="inlineStr">
        <is>
          <t>LOW</t>
        </is>
      </c>
    </row>
    <row r="43">
      <c r="A43" s="20" t="n">
        <v>46066</v>
      </c>
      <c r="B43" s="18" t="inlineStr">
        <is>
          <t>11:00-15:00</t>
        </is>
      </c>
      <c r="C43" s="41" t="n">
        <v>1.84</v>
      </c>
      <c r="D43" s="40" t="inlineStr">
        <is>
          <t>LOW</t>
        </is>
      </c>
    </row>
    <row r="44">
      <c r="A44" s="20" t="n">
        <v>46067</v>
      </c>
      <c r="B44" s="18" t="inlineStr">
        <is>
          <t>11:00-15:00</t>
        </is>
      </c>
      <c r="C44" s="41" t="n">
        <v>1.87</v>
      </c>
      <c r="D44" s="40" t="inlineStr">
        <is>
          <t>LOW</t>
        </is>
      </c>
    </row>
    <row r="45">
      <c r="A45" s="12" t="n">
        <v>46068</v>
      </c>
      <c r="B45" s="18" t="inlineStr">
        <is>
          <t>12:00-15:00</t>
        </is>
      </c>
      <c r="C45" s="39" t="n">
        <v>1.9</v>
      </c>
      <c r="D45" s="40" t="inlineStr">
        <is>
          <t>LOW</t>
        </is>
      </c>
    </row>
    <row r="46">
      <c r="A46" s="12" t="n">
        <v>46069</v>
      </c>
      <c r="B46" s="18" t="inlineStr">
        <is>
          <t>12:00-15:00</t>
        </is>
      </c>
      <c r="C46" s="39" t="n">
        <v>1.94</v>
      </c>
      <c r="D46" s="40" t="inlineStr">
        <is>
          <t>LOW</t>
        </is>
      </c>
    </row>
    <row r="47">
      <c r="A47" s="12" t="n">
        <v>46070</v>
      </c>
      <c r="B47" s="18" t="inlineStr">
        <is>
          <t>12:00-15:00</t>
        </is>
      </c>
      <c r="C47" s="39" t="n">
        <v>1.97</v>
      </c>
      <c r="D47" s="40" t="inlineStr">
        <is>
          <t>LOW</t>
        </is>
      </c>
    </row>
    <row r="48">
      <c r="A48" s="12" t="n">
        <v>46071</v>
      </c>
      <c r="B48" s="18" t="inlineStr">
        <is>
          <t>12:00-16:00</t>
        </is>
      </c>
      <c r="C48" s="39" t="n">
        <v>1.96</v>
      </c>
      <c r="D48" s="40" t="inlineStr">
        <is>
          <t>LOW</t>
        </is>
      </c>
    </row>
    <row r="49">
      <c r="A49" s="12" t="n">
        <v>46072</v>
      </c>
      <c r="B49" s="18" t="inlineStr">
        <is>
          <t>12:00-16:00</t>
        </is>
      </c>
      <c r="C49" s="39" t="n">
        <v>1.91</v>
      </c>
      <c r="D49" s="40" t="inlineStr">
        <is>
          <t>LOW</t>
        </is>
      </c>
    </row>
    <row r="50">
      <c r="A50" s="20" t="n">
        <v>46073</v>
      </c>
      <c r="B50" s="18" t="inlineStr">
        <is>
          <t>13:00-16:00</t>
        </is>
      </c>
      <c r="C50" s="41" t="n">
        <v>1.84</v>
      </c>
      <c r="D50" s="40" t="inlineStr">
        <is>
          <t>LOW</t>
        </is>
      </c>
    </row>
    <row r="51">
      <c r="A51" s="20" t="n">
        <v>46074</v>
      </c>
      <c r="B51" s="18" t="inlineStr">
        <is>
          <t>13:00-17:00</t>
        </is>
      </c>
      <c r="C51" s="41" t="n">
        <v>1.72</v>
      </c>
      <c r="D51" s="42" t="inlineStr">
        <is>
          <t>MEDIUM</t>
        </is>
      </c>
    </row>
    <row r="52">
      <c r="A52" s="20" t="n">
        <v>46075</v>
      </c>
      <c r="B52" s="18" t="inlineStr">
        <is>
          <t>13:00-17:00</t>
        </is>
      </c>
      <c r="C52" s="41" t="n">
        <v>1.56</v>
      </c>
      <c r="D52" s="42" t="inlineStr">
        <is>
          <t>MEDIUM</t>
        </is>
      </c>
    </row>
    <row r="53">
      <c r="A53" s="12" t="n">
        <v>46076</v>
      </c>
      <c r="B53" s="18" t="inlineStr">
        <is>
          <t>04:00-06:00, 14:00-17:00</t>
        </is>
      </c>
      <c r="C53" s="39" t="n">
        <v>1.99</v>
      </c>
      <c r="D53" s="40" t="inlineStr">
        <is>
          <t>LOW</t>
        </is>
      </c>
    </row>
    <row r="54">
      <c r="A54" s="12" t="n">
        <v>46077</v>
      </c>
      <c r="B54" s="18" t="inlineStr">
        <is>
          <t>05:00-08:00, 15:00-18:00</t>
        </is>
      </c>
      <c r="C54" s="39" t="n">
        <v>2.01</v>
      </c>
      <c r="D54" s="40" t="inlineStr">
        <is>
          <t>LOW</t>
        </is>
      </c>
    </row>
    <row r="55">
      <c r="A55" s="12" t="n">
        <v>46078</v>
      </c>
      <c r="B55" s="18" t="inlineStr">
        <is>
          <t>05:00-09:00, 15:00-18:00</t>
        </is>
      </c>
      <c r="C55" s="39" t="n">
        <v>2.01</v>
      </c>
      <c r="D55" s="40" t="inlineStr">
        <is>
          <t>LOW</t>
        </is>
      </c>
    </row>
    <row r="56">
      <c r="A56" s="12" t="n">
        <v>46079</v>
      </c>
      <c r="B56" s="18" t="inlineStr">
        <is>
          <t>06:00-09:00, 15:00-18:00</t>
        </is>
      </c>
      <c r="C56" s="39" t="n">
        <v>1.98</v>
      </c>
      <c r="D56" s="40" t="inlineStr">
        <is>
          <t>LOW</t>
        </is>
      </c>
    </row>
    <row r="57">
      <c r="A57" s="12" t="n">
        <v>46080</v>
      </c>
      <c r="B57" s="18" t="inlineStr">
        <is>
          <t>06:00-09:00, 15:00-18:00</t>
        </is>
      </c>
      <c r="C57" s="39" t="n">
        <v>1.92</v>
      </c>
      <c r="D57" s="40" t="inlineStr">
        <is>
          <t>LOW</t>
        </is>
      </c>
    </row>
    <row r="58">
      <c r="A58" s="12" t="n">
        <v>46081</v>
      </c>
      <c r="B58" s="18" t="inlineStr">
        <is>
          <t>07:00-10:00, 16:00-18:00</t>
        </is>
      </c>
      <c r="C58" s="39" t="n">
        <v>1.93</v>
      </c>
      <c r="D58" s="40" t="inlineStr">
        <is>
          <t>LOW</t>
        </is>
      </c>
    </row>
    <row r="59">
      <c r="A59" s="12" t="n">
        <v>46082</v>
      </c>
      <c r="B59" s="18" t="inlineStr">
        <is>
          <t>10:36-12:30</t>
        </is>
      </c>
      <c r="C59" s="39" t="n">
        <v>1.95</v>
      </c>
      <c r="D59" s="40" t="inlineStr">
        <is>
          <t>LOW</t>
        </is>
      </c>
    </row>
    <row r="60">
      <c r="A60" s="12" t="n">
        <v>46083</v>
      </c>
      <c r="B60" s="18" t="inlineStr">
        <is>
          <t>11:35-13:33</t>
        </is>
      </c>
      <c r="C60" s="39" t="n">
        <v>1.96</v>
      </c>
      <c r="D60" s="40" t="inlineStr">
        <is>
          <t>LOW</t>
        </is>
      </c>
    </row>
    <row r="61">
      <c r="A61" s="12" t="n">
        <v>46084</v>
      </c>
      <c r="B61" s="18" t="inlineStr">
        <is>
          <t>12:35-14:17</t>
        </is>
      </c>
      <c r="C61" s="39" t="n">
        <v>1.95</v>
      </c>
      <c r="D61" s="40" t="inlineStr">
        <is>
          <t>LOW</t>
        </is>
      </c>
    </row>
    <row r="62">
      <c r="A62" s="12" t="n">
        <v>46085</v>
      </c>
      <c r="B62" s="18" t="inlineStr">
        <is>
          <t>13:48-14:24</t>
        </is>
      </c>
      <c r="C62" s="39" t="n">
        <v>1.92</v>
      </c>
      <c r="D62" s="40" t="inlineStr">
        <is>
          <t>LOW</t>
        </is>
      </c>
    </row>
    <row r="63">
      <c r="A63" s="20" t="n">
        <v>46086</v>
      </c>
      <c r="B63" s="18" t="inlineStr"/>
      <c r="C63" s="41" t="n">
        <v>1.84</v>
      </c>
      <c r="D63" s="40" t="inlineStr">
        <is>
          <t>LOW</t>
        </is>
      </c>
    </row>
    <row r="64">
      <c r="A64" s="20" t="n">
        <v>46087</v>
      </c>
      <c r="B64" s="18" t="inlineStr"/>
      <c r="C64" s="41" t="n">
        <v>1.83</v>
      </c>
      <c r="D64" s="40" t="inlineStr">
        <is>
          <t>LOW</t>
        </is>
      </c>
    </row>
    <row r="65">
      <c r="A65" s="20" t="n">
        <v>46088</v>
      </c>
      <c r="B65" s="18" t="inlineStr"/>
      <c r="C65" s="41" t="n">
        <v>1.87</v>
      </c>
      <c r="D65" s="40" t="inlineStr">
        <is>
          <t>LOW</t>
        </is>
      </c>
    </row>
    <row r="66">
      <c r="A66" s="12" t="n">
        <v>46089</v>
      </c>
      <c r="B66" s="18" t="inlineStr"/>
      <c r="C66" s="39" t="n">
        <v>1.9</v>
      </c>
      <c r="D66" s="40" t="inlineStr">
        <is>
          <t>LOW</t>
        </is>
      </c>
    </row>
    <row r="67">
      <c r="A67" s="12" t="n">
        <v>46090</v>
      </c>
      <c r="B67" s="18" t="inlineStr">
        <is>
          <t>04:00-05:00</t>
        </is>
      </c>
      <c r="C67" s="39" t="n">
        <v>1.9</v>
      </c>
      <c r="D67" s="40" t="inlineStr">
        <is>
          <t>LOW</t>
        </is>
      </c>
    </row>
    <row r="68">
      <c r="A68" s="12" t="n">
        <v>46091</v>
      </c>
      <c r="B68" s="18" t="inlineStr">
        <is>
          <t>04:48-05:10</t>
        </is>
      </c>
      <c r="C68" s="39" t="n">
        <v>1.91</v>
      </c>
      <c r="D68" s="40" t="inlineStr">
        <is>
          <t>LOW</t>
        </is>
      </c>
    </row>
    <row r="69">
      <c r="A69" s="20" t="n">
        <v>46092</v>
      </c>
      <c r="B69" s="18" t="inlineStr"/>
      <c r="C69" s="41" t="n">
        <v>1.88</v>
      </c>
      <c r="D69" s="40" t="inlineStr">
        <is>
          <t>LOW</t>
        </is>
      </c>
    </row>
    <row r="70">
      <c r="A70" s="20" t="n">
        <v>46093</v>
      </c>
      <c r="B70" s="18" t="inlineStr"/>
      <c r="C70" s="41" t="n">
        <v>1.85</v>
      </c>
      <c r="D70" s="40" t="inlineStr">
        <is>
          <t>LOW</t>
        </is>
      </c>
    </row>
    <row r="71">
      <c r="A71" s="20" t="n">
        <v>46094</v>
      </c>
      <c r="B71" s="18" t="inlineStr"/>
      <c r="C71" s="41" t="n">
        <v>1.8</v>
      </c>
      <c r="D71" s="42" t="inlineStr">
        <is>
          <t>MEDIUM</t>
        </is>
      </c>
    </row>
    <row r="72">
      <c r="A72" s="20" t="n">
        <v>46095</v>
      </c>
      <c r="B72" s="18" t="inlineStr"/>
      <c r="C72" s="41" t="n">
        <v>1.76</v>
      </c>
      <c r="D72" s="42" t="inlineStr">
        <is>
          <t>MEDIUM</t>
        </is>
      </c>
    </row>
    <row r="73">
      <c r="A73" s="20" t="n">
        <v>46096</v>
      </c>
      <c r="B73" s="18" t="inlineStr"/>
      <c r="C73" s="41" t="n">
        <v>1.76</v>
      </c>
      <c r="D73" s="42" t="inlineStr">
        <is>
          <t>MEDIUM</t>
        </is>
      </c>
    </row>
    <row r="74">
      <c r="A74" s="20" t="n">
        <v>46097</v>
      </c>
      <c r="B74" s="18" t="inlineStr"/>
      <c r="C74" s="41" t="n">
        <v>1.79</v>
      </c>
      <c r="D74" s="42" t="inlineStr">
        <is>
          <t>MEDIUM</t>
        </is>
      </c>
    </row>
    <row r="75">
      <c r="A75" s="20" t="n">
        <v>46098</v>
      </c>
      <c r="B75" s="18" t="inlineStr"/>
      <c r="C75" s="41" t="n">
        <v>1.82</v>
      </c>
      <c r="D75" s="42" t="inlineStr">
        <is>
          <t>MEDIUM</t>
        </is>
      </c>
    </row>
    <row r="76">
      <c r="A76" s="20" t="n">
        <v>46099</v>
      </c>
      <c r="B76" s="18" t="inlineStr"/>
      <c r="C76" s="41" t="n">
        <v>1.84</v>
      </c>
      <c r="D76" s="40" t="inlineStr">
        <is>
          <t>LOW</t>
        </is>
      </c>
    </row>
    <row r="77">
      <c r="A77" s="20" t="n">
        <v>46100</v>
      </c>
      <c r="B77" s="18" t="inlineStr"/>
      <c r="C77" s="41" t="n">
        <v>1.82</v>
      </c>
      <c r="D77" s="42" t="inlineStr">
        <is>
          <t>MEDIUM</t>
        </is>
      </c>
    </row>
    <row r="78">
      <c r="A78" s="20" t="n">
        <v>46101</v>
      </c>
      <c r="B78" s="18" t="inlineStr"/>
      <c r="C78" s="41" t="n">
        <v>1.82</v>
      </c>
      <c r="D78" s="42" t="inlineStr">
        <is>
          <t>MEDIUM</t>
        </is>
      </c>
    </row>
    <row r="79">
      <c r="A79" s="12" t="n">
        <v>46102</v>
      </c>
      <c r="B79" s="18" t="inlineStr">
        <is>
          <t>01:56-03:09</t>
        </is>
      </c>
      <c r="C79" s="39" t="n">
        <v>1.92</v>
      </c>
      <c r="D79" s="40" t="inlineStr">
        <is>
          <t>LOW</t>
        </is>
      </c>
    </row>
    <row r="80">
      <c r="A80" s="12" t="n">
        <v>46103</v>
      </c>
      <c r="B80" s="18" t="inlineStr">
        <is>
          <t>01:49-04:17</t>
        </is>
      </c>
      <c r="C80" s="39" t="n">
        <v>2.02</v>
      </c>
      <c r="D80" s="40" t="inlineStr">
        <is>
          <t>LOW</t>
        </is>
      </c>
    </row>
    <row r="81">
      <c r="A81" s="12" t="n">
        <v>46104</v>
      </c>
      <c r="B81" s="18" t="inlineStr">
        <is>
          <t>02:00-05:10</t>
        </is>
      </c>
      <c r="C81" s="39" t="n">
        <v>2.07</v>
      </c>
      <c r="D81" s="40" t="inlineStr">
        <is>
          <t>LOW</t>
        </is>
      </c>
    </row>
    <row r="82">
      <c r="A82" s="12" t="n">
        <v>46105</v>
      </c>
      <c r="B82" s="18" t="inlineStr">
        <is>
          <t>02:27-05:56</t>
        </is>
      </c>
      <c r="C82" s="39" t="n">
        <v>2.1</v>
      </c>
      <c r="D82" s="40" t="inlineStr">
        <is>
          <t>LOW</t>
        </is>
      </c>
    </row>
    <row r="83">
      <c r="A83" s="12" t="n">
        <v>46106</v>
      </c>
      <c r="B83" s="18" t="inlineStr">
        <is>
          <t>03:08-06:35</t>
        </is>
      </c>
      <c r="C83" s="39" t="n">
        <v>2.07</v>
      </c>
      <c r="D83" s="40" t="inlineStr">
        <is>
          <t>LOW</t>
        </is>
      </c>
    </row>
    <row r="84">
      <c r="A84" s="12" t="n">
        <v>46107</v>
      </c>
      <c r="B84" s="18" t="inlineStr">
        <is>
          <t>04:18-07:11</t>
        </is>
      </c>
      <c r="C84" s="39" t="n">
        <v>2</v>
      </c>
      <c r="D84" s="40" t="inlineStr">
        <is>
          <t>LOW</t>
        </is>
      </c>
    </row>
    <row r="85">
      <c r="A85" s="12" t="n">
        <v>46108</v>
      </c>
      <c r="B85" s="18" t="inlineStr"/>
      <c r="C85" s="39" t="n">
        <v>1.9</v>
      </c>
      <c r="D85" s="40" t="inlineStr">
        <is>
          <t>LOW</t>
        </is>
      </c>
    </row>
    <row r="86">
      <c r="A86" s="20" t="n">
        <v>46109</v>
      </c>
      <c r="B86" s="18" t="inlineStr"/>
      <c r="C86" s="41" t="n">
        <v>1.81</v>
      </c>
      <c r="D86" s="42" t="inlineStr">
        <is>
          <t>MEDIUM</t>
        </is>
      </c>
    </row>
    <row r="87">
      <c r="A87" s="20" t="n">
        <v>46110</v>
      </c>
      <c r="B87" s="18" t="inlineStr"/>
      <c r="C87" s="41" t="n">
        <v>1.78</v>
      </c>
      <c r="D87" s="42" t="inlineStr">
        <is>
          <t>MEDIUM</t>
        </is>
      </c>
    </row>
    <row r="88">
      <c r="A88" s="20" t="n">
        <v>46111</v>
      </c>
      <c r="B88" s="18" t="inlineStr"/>
      <c r="C88" s="41" t="n">
        <v>1.78</v>
      </c>
      <c r="D88" s="42" t="inlineStr">
        <is>
          <t>MEDIUM</t>
        </is>
      </c>
    </row>
    <row r="89">
      <c r="A89" s="20" t="n">
        <v>46112</v>
      </c>
      <c r="B89" s="18" t="inlineStr"/>
      <c r="C89" s="41" t="n">
        <v>1.79</v>
      </c>
      <c r="D89" s="42" t="inlineStr">
        <is>
          <t>MEDIUM</t>
        </is>
      </c>
    </row>
  </sheetData>
  <mergeCells count="2">
    <mergeCell ref="A1:D1"/>
    <mergeCell ref="A2:D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</cols>
  <sheetData>
    <row r="1">
      <c r="A1" s="31" t="inlineStr">
        <is>
          <t>AGI TR Transportation - Scenario Comparison</t>
        </is>
      </c>
    </row>
    <row r="3">
      <c r="A3" s="17" t="inlineStr">
        <is>
          <t>Metric</t>
        </is>
      </c>
      <c r="B3" s="17" t="inlineStr">
        <is>
          <t>Option A</t>
        </is>
      </c>
      <c r="C3" s="17" t="inlineStr">
        <is>
          <t>Option B</t>
        </is>
      </c>
      <c r="D3" s="17" t="inlineStr">
        <is>
          <t>Difference</t>
        </is>
      </c>
      <c r="E3" s="17" t="inlineStr">
        <is>
          <t>Notes</t>
        </is>
      </c>
    </row>
    <row r="4">
      <c r="A4" s="44" t="inlineStr">
        <is>
          <t>Total Tasks</t>
        </is>
      </c>
      <c r="B4" s="18">
        <f>COUNTIF('Schedule_Data_Option_A'!C:C,"A*")</f>
        <v/>
      </c>
      <c r="C4" s="18">
        <f>COUNTIF('Schedule_Data_Option_B'!C:C,"A*")</f>
        <v/>
      </c>
      <c r="D4" s="45">
        <f>C4-B4</f>
        <v/>
      </c>
      <c r="E4" s="18" t="inlineStr">
        <is>
          <t>Task count difference</t>
        </is>
      </c>
    </row>
    <row r="5">
      <c r="A5" s="44" t="inlineStr">
        <is>
          <t>Total Voyages</t>
        </is>
      </c>
      <c r="B5" s="18">
        <f>COUNTIF('Schedule_Data_Option_A'!A:A,"V*")</f>
        <v/>
      </c>
      <c r="C5" s="18">
        <f>COUNTIF('Schedule_Data_Option_B'!A:A,"V*")</f>
        <v/>
      </c>
      <c r="D5" s="45">
        <f>C5-B5</f>
        <v/>
      </c>
      <c r="E5" s="18" t="inlineStr"/>
    </row>
    <row r="6">
      <c r="A6" s="44" t="inlineStr">
        <is>
          <t>Project Duration (days)</t>
        </is>
      </c>
      <c r="B6" s="18">
        <f>MAX('Schedule_Data_Option_A'!H:H)-PROJECT_START</f>
        <v/>
      </c>
      <c r="C6" s="18">
        <f>MAX('Schedule_Data_Option_B'!H:H)-PROJECT_START</f>
        <v/>
      </c>
      <c r="D6" s="45">
        <f>C6-B6</f>
        <v/>
      </c>
      <c r="E6" s="18" t="inlineStr">
        <is>
          <t>Days difference</t>
        </is>
      </c>
    </row>
    <row r="7">
      <c r="A7" s="44" t="inlineStr">
        <is>
          <t>Total Jack-down Events</t>
        </is>
      </c>
      <c r="B7" s="18">
        <f>COUNTIF('Schedule_Data_Option_A'!E:E,"JACKDOWN")</f>
        <v/>
      </c>
      <c r="C7" s="18">
        <f>COUNTIF('Schedule_Data_Option_B'!E:E,"JACKDOWN")</f>
        <v/>
      </c>
      <c r="D7" s="45">
        <f>C7-B7</f>
        <v/>
      </c>
      <c r="E7" s="18" t="inlineStr"/>
    </row>
    <row r="8">
      <c r="A8" s="44" t="inlineStr">
        <is>
          <t>Project End Date</t>
        </is>
      </c>
      <c r="B8" s="20">
        <f>MAX('Schedule_Data_Option_A'!H:H)</f>
        <v/>
      </c>
      <c r="C8" s="20">
        <f>MAX('Schedule_Data_Option_B'!H:H)</f>
        <v/>
      </c>
      <c r="D8" s="20">
        <f>C8-B8</f>
        <v/>
      </c>
      <c r="E8" s="18" t="inlineStr">
        <is>
          <t>Date difference</t>
        </is>
      </c>
    </row>
  </sheetData>
  <mergeCells count="1">
    <mergeCell ref="A1:F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N193"/>
  <sheetViews>
    <sheetView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38" customWidth="1" min="2" max="2"/>
    <col width="14" customWidth="1" min="3" max="3"/>
    <col width="12" customWidth="1" min="4" max="4"/>
    <col width="12" customWidth="1" min="5" max="5"/>
    <col width="10" customWidth="1" min="6" max="6"/>
    <col width="38" customWidth="1" min="7" max="7"/>
    <col width="14" customWidth="1" min="8" max="8"/>
    <col width="12" customWidth="1" min="9" max="9"/>
    <col width="12" customWidth="1" min="10" max="10"/>
    <col width="10" customWidth="1" min="11" max="11"/>
    <col width="12" customWidth="1" min="12" max="12"/>
    <col width="12" customWidth="1" min="13" max="13"/>
    <col width="12" customWidth="1" min="14" max="14"/>
  </cols>
  <sheetData>
    <row r="1">
      <c r="A1" s="31" t="inlineStr">
        <is>
          <t>Option_A vs Option_B - Full Schedule Comparison</t>
        </is>
      </c>
    </row>
    <row r="3">
      <c r="A3" s="5" t="inlineStr">
        <is>
          <t>Overall End (A)</t>
        </is>
      </c>
      <c r="B3" s="46">
        <f>MAX('Schedule_Data_Option_A'!H:H)</f>
        <v/>
      </c>
    </row>
    <row r="4">
      <c r="A4" s="5" t="inlineStr">
        <is>
          <t>Overall End (B)</t>
        </is>
      </c>
      <c r="B4" s="46">
        <f>MAX('Schedule_Data_Option_B'!H:H)</f>
        <v/>
      </c>
    </row>
    <row r="5">
      <c r="A5" s="5" t="inlineStr">
        <is>
          <t>Delta End (B-A)</t>
        </is>
      </c>
      <c r="B5" s="47">
        <f>B4-B3</f>
        <v/>
      </c>
    </row>
    <row r="7">
      <c r="A7" s="48" t="inlineStr">
        <is>
          <t>Activity ID</t>
        </is>
      </c>
      <c r="B7" s="48" t="inlineStr">
        <is>
          <t>Activity Name (Option_A)</t>
        </is>
      </c>
      <c r="C7" s="48" t="inlineStr">
        <is>
          <t>Phase (Option_A)</t>
        </is>
      </c>
      <c r="D7" s="48" t="inlineStr">
        <is>
          <t>Start (Option_A)</t>
        </is>
      </c>
      <c r="E7" s="48" t="inlineStr">
        <is>
          <t>End (Option_A)</t>
        </is>
      </c>
      <c r="F7" s="48" t="inlineStr">
        <is>
          <t>Dur (Option_A)</t>
        </is>
      </c>
      <c r="G7" s="48" t="inlineStr">
        <is>
          <t>Activity Name (Option_B)</t>
        </is>
      </c>
      <c r="H7" s="48" t="inlineStr">
        <is>
          <t>Phase (Option_B)</t>
        </is>
      </c>
      <c r="I7" s="48" t="inlineStr">
        <is>
          <t>Start (Option_B)</t>
        </is>
      </c>
      <c r="J7" s="48" t="inlineStr">
        <is>
          <t>End (Option_B)</t>
        </is>
      </c>
      <c r="K7" s="48" t="inlineStr">
        <is>
          <t>Dur (Option_B)</t>
        </is>
      </c>
      <c r="L7" s="48" t="inlineStr">
        <is>
          <t>Delta Start (B-A)</t>
        </is>
      </c>
      <c r="M7" s="48" t="inlineStr">
        <is>
          <t>Delta End (B-A)</t>
        </is>
      </c>
      <c r="N7" s="48" t="inlineStr">
        <is>
          <t>Delta Dur (B-A)</t>
        </is>
      </c>
    </row>
    <row r="8">
      <c r="A8" s="18" t="inlineStr">
        <is>
          <t>A1000</t>
        </is>
      </c>
      <c r="B8" s="18">
        <f>IFERROR(INDEX('Schedule_Data_Option_A'!D:D,MATCH($A8,'Schedule_Data_Option_A'!$C:$C,0)),"")</f>
        <v/>
      </c>
      <c r="C8" s="18">
        <f>IFERROR(INDEX('Schedule_Data_Option_A'!E:E,MATCH($A8,'Schedule_Data_Option_A'!$C:$C,0)),"")</f>
        <v/>
      </c>
      <c r="D8" s="20">
        <f>IFERROR(INDEX('Schedule_Data_Option_A'!G:G,MATCH($A8,'Schedule_Data_Option_A'!$C:$C,0)),"")</f>
        <v/>
      </c>
      <c r="E8" s="20">
        <f>IFERROR(INDEX('Schedule_Data_Option_A'!H:H,MATCH($A8,'Schedule_Data_Option_A'!$C:$C,0)),"")</f>
        <v/>
      </c>
      <c r="F8" s="18">
        <f>IFERROR(INDEX('Schedule_Data_Option_A'!I:I,MATCH($A8,'Schedule_Data_Option_A'!$C:$C,0)),"")</f>
        <v/>
      </c>
      <c r="G8" s="18">
        <f>IFERROR(INDEX('Schedule_Data_Option_B'!D:D,MATCH($A8,'Schedule_Data_Option_B'!$C:$C,0)),"")</f>
        <v/>
      </c>
      <c r="H8" s="18">
        <f>IFERROR(INDEX('Schedule_Data_Option_B'!E:E,MATCH($A8,'Schedule_Data_Option_B'!$C:$C,0)),"")</f>
        <v/>
      </c>
      <c r="I8" s="20">
        <f>IFERROR(INDEX('Schedule_Data_Option_B'!G:G,MATCH($A8,'Schedule_Data_Option_B'!$C:$C,0)),"")</f>
        <v/>
      </c>
      <c r="J8" s="20">
        <f>IFERROR(INDEX('Schedule_Data_Option_B'!H:H,MATCH($A8,'Schedule_Data_Option_B'!$C:$C,0)),"")</f>
        <v/>
      </c>
      <c r="K8" s="18">
        <f>IFERROR(INDEX('Schedule_Data_Option_B'!I:I,MATCH($A8,'Schedule_Data_Option_B'!$C:$C,0)),"")</f>
        <v/>
      </c>
      <c r="L8" s="45">
        <f>IF(AND(D8&lt;&gt;"",I8&lt;&gt;""),I8-D8,"")</f>
        <v/>
      </c>
      <c r="M8" s="45">
        <f>IF(AND(E8&lt;&gt;"",J8&lt;&gt;""),J8-E8,"")</f>
        <v/>
      </c>
      <c r="N8" s="45">
        <f>IF(AND(F8&lt;&gt;"",K8&lt;&gt;""),K8-F8,"")</f>
        <v/>
      </c>
    </row>
    <row r="9">
      <c r="A9" s="18" t="inlineStr">
        <is>
          <t>A1010</t>
        </is>
      </c>
      <c r="B9" s="18">
        <f>IFERROR(INDEX('Schedule_Data_Option_A'!D:D,MATCH($A9,'Schedule_Data_Option_A'!$C:$C,0)),"")</f>
        <v/>
      </c>
      <c r="C9" s="18">
        <f>IFERROR(INDEX('Schedule_Data_Option_A'!E:E,MATCH($A9,'Schedule_Data_Option_A'!$C:$C,0)),"")</f>
        <v/>
      </c>
      <c r="D9" s="20">
        <f>IFERROR(INDEX('Schedule_Data_Option_A'!G:G,MATCH($A9,'Schedule_Data_Option_A'!$C:$C,0)),"")</f>
        <v/>
      </c>
      <c r="E9" s="20">
        <f>IFERROR(INDEX('Schedule_Data_Option_A'!H:H,MATCH($A9,'Schedule_Data_Option_A'!$C:$C,0)),"")</f>
        <v/>
      </c>
      <c r="F9" s="18">
        <f>IFERROR(INDEX('Schedule_Data_Option_A'!I:I,MATCH($A9,'Schedule_Data_Option_A'!$C:$C,0)),"")</f>
        <v/>
      </c>
      <c r="G9" s="18">
        <f>IFERROR(INDEX('Schedule_Data_Option_B'!D:D,MATCH($A9,'Schedule_Data_Option_B'!$C:$C,0)),"")</f>
        <v/>
      </c>
      <c r="H9" s="18">
        <f>IFERROR(INDEX('Schedule_Data_Option_B'!E:E,MATCH($A9,'Schedule_Data_Option_B'!$C:$C,0)),"")</f>
        <v/>
      </c>
      <c r="I9" s="20">
        <f>IFERROR(INDEX('Schedule_Data_Option_B'!G:G,MATCH($A9,'Schedule_Data_Option_B'!$C:$C,0)),"")</f>
        <v/>
      </c>
      <c r="J9" s="20">
        <f>IFERROR(INDEX('Schedule_Data_Option_B'!H:H,MATCH($A9,'Schedule_Data_Option_B'!$C:$C,0)),"")</f>
        <v/>
      </c>
      <c r="K9" s="18">
        <f>IFERROR(INDEX('Schedule_Data_Option_B'!I:I,MATCH($A9,'Schedule_Data_Option_B'!$C:$C,0)),"")</f>
        <v/>
      </c>
      <c r="L9" s="45">
        <f>IF(AND(D9&lt;&gt;"",I9&lt;&gt;""),I9-D9,"")</f>
        <v/>
      </c>
      <c r="M9" s="45">
        <f>IF(AND(E9&lt;&gt;"",J9&lt;&gt;""),J9-E9,"")</f>
        <v/>
      </c>
      <c r="N9" s="45">
        <f>IF(AND(F9&lt;&gt;"",K9&lt;&gt;""),K9-F9,"")</f>
        <v/>
      </c>
    </row>
    <row r="10">
      <c r="A10" s="18" t="inlineStr">
        <is>
          <t>A1001</t>
        </is>
      </c>
      <c r="B10" s="18">
        <f>IFERROR(INDEX('Schedule_Data_Option_A'!D:D,MATCH($A10,'Schedule_Data_Option_A'!$C:$C,0)),"")</f>
        <v/>
      </c>
      <c r="C10" s="18">
        <f>IFERROR(INDEX('Schedule_Data_Option_A'!E:E,MATCH($A10,'Schedule_Data_Option_A'!$C:$C,0)),"")</f>
        <v/>
      </c>
      <c r="D10" s="20">
        <f>IFERROR(INDEX('Schedule_Data_Option_A'!G:G,MATCH($A10,'Schedule_Data_Option_A'!$C:$C,0)),"")</f>
        <v/>
      </c>
      <c r="E10" s="20">
        <f>IFERROR(INDEX('Schedule_Data_Option_A'!H:H,MATCH($A10,'Schedule_Data_Option_A'!$C:$C,0)),"")</f>
        <v/>
      </c>
      <c r="F10" s="18">
        <f>IFERROR(INDEX('Schedule_Data_Option_A'!I:I,MATCH($A10,'Schedule_Data_Option_A'!$C:$C,0)),"")</f>
        <v/>
      </c>
      <c r="G10" s="18">
        <f>IFERROR(INDEX('Schedule_Data_Option_B'!D:D,MATCH($A10,'Schedule_Data_Option_B'!$C:$C,0)),"")</f>
        <v/>
      </c>
      <c r="H10" s="18">
        <f>IFERROR(INDEX('Schedule_Data_Option_B'!E:E,MATCH($A10,'Schedule_Data_Option_B'!$C:$C,0)),"")</f>
        <v/>
      </c>
      <c r="I10" s="20">
        <f>IFERROR(INDEX('Schedule_Data_Option_B'!G:G,MATCH($A10,'Schedule_Data_Option_B'!$C:$C,0)),"")</f>
        <v/>
      </c>
      <c r="J10" s="20">
        <f>IFERROR(INDEX('Schedule_Data_Option_B'!H:H,MATCH($A10,'Schedule_Data_Option_B'!$C:$C,0)),"")</f>
        <v/>
      </c>
      <c r="K10" s="18">
        <f>IFERROR(INDEX('Schedule_Data_Option_B'!I:I,MATCH($A10,'Schedule_Data_Option_B'!$C:$C,0)),"")</f>
        <v/>
      </c>
      <c r="L10" s="45">
        <f>IF(AND(D10&lt;&gt;"",I10&lt;&gt;""),I10-D10,"")</f>
        <v/>
      </c>
      <c r="M10" s="45">
        <f>IF(AND(E10&lt;&gt;"",J10&lt;&gt;""),J10-E10,"")</f>
        <v/>
      </c>
      <c r="N10" s="45">
        <f>IF(AND(F10&lt;&gt;"",K10&lt;&gt;""),K10-F10,"")</f>
        <v/>
      </c>
    </row>
    <row r="11">
      <c r="A11" s="18" t="inlineStr">
        <is>
          <t>A2010</t>
        </is>
      </c>
      <c r="B11" s="18">
        <f>IFERROR(INDEX('Schedule_Data_Option_A'!D:D,MATCH($A11,'Schedule_Data_Option_A'!$C:$C,0)),"")</f>
        <v/>
      </c>
      <c r="C11" s="18">
        <f>IFERROR(INDEX('Schedule_Data_Option_A'!E:E,MATCH($A11,'Schedule_Data_Option_A'!$C:$C,0)),"")</f>
        <v/>
      </c>
      <c r="D11" s="20">
        <f>IFERROR(INDEX('Schedule_Data_Option_A'!G:G,MATCH($A11,'Schedule_Data_Option_A'!$C:$C,0)),"")</f>
        <v/>
      </c>
      <c r="E11" s="20">
        <f>IFERROR(INDEX('Schedule_Data_Option_A'!H:H,MATCH($A11,'Schedule_Data_Option_A'!$C:$C,0)),"")</f>
        <v/>
      </c>
      <c r="F11" s="18">
        <f>IFERROR(INDEX('Schedule_Data_Option_A'!I:I,MATCH($A11,'Schedule_Data_Option_A'!$C:$C,0)),"")</f>
        <v/>
      </c>
      <c r="G11" s="18">
        <f>IFERROR(INDEX('Schedule_Data_Option_B'!D:D,MATCH($A11,'Schedule_Data_Option_B'!$C:$C,0)),"")</f>
        <v/>
      </c>
      <c r="H11" s="18">
        <f>IFERROR(INDEX('Schedule_Data_Option_B'!E:E,MATCH($A11,'Schedule_Data_Option_B'!$C:$C,0)),"")</f>
        <v/>
      </c>
      <c r="I11" s="20">
        <f>IFERROR(INDEX('Schedule_Data_Option_B'!G:G,MATCH($A11,'Schedule_Data_Option_B'!$C:$C,0)),"")</f>
        <v/>
      </c>
      <c r="J11" s="20">
        <f>IFERROR(INDEX('Schedule_Data_Option_B'!H:H,MATCH($A11,'Schedule_Data_Option_B'!$C:$C,0)),"")</f>
        <v/>
      </c>
      <c r="K11" s="18">
        <f>IFERROR(INDEX('Schedule_Data_Option_B'!I:I,MATCH($A11,'Schedule_Data_Option_B'!$C:$C,0)),"")</f>
        <v/>
      </c>
      <c r="L11" s="45">
        <f>IF(AND(D11&lt;&gt;"",I11&lt;&gt;""),I11-D11,"")</f>
        <v/>
      </c>
      <c r="M11" s="45">
        <f>IF(AND(E11&lt;&gt;"",J11&lt;&gt;""),J11-E11,"")</f>
        <v/>
      </c>
      <c r="N11" s="45">
        <f>IF(AND(F11&lt;&gt;"",K11&lt;&gt;""),K11-F11,"")</f>
        <v/>
      </c>
    </row>
    <row r="12">
      <c r="A12" s="18" t="inlineStr">
        <is>
          <t>A1980</t>
        </is>
      </c>
      <c r="B12" s="18">
        <f>IFERROR(INDEX('Schedule_Data_Option_A'!D:D,MATCH($A12,'Schedule_Data_Option_A'!$C:$C,0)),"")</f>
        <v/>
      </c>
      <c r="C12" s="18">
        <f>IFERROR(INDEX('Schedule_Data_Option_A'!E:E,MATCH($A12,'Schedule_Data_Option_A'!$C:$C,0)),"")</f>
        <v/>
      </c>
      <c r="D12" s="20">
        <f>IFERROR(INDEX('Schedule_Data_Option_A'!G:G,MATCH($A12,'Schedule_Data_Option_A'!$C:$C,0)),"")</f>
        <v/>
      </c>
      <c r="E12" s="20">
        <f>IFERROR(INDEX('Schedule_Data_Option_A'!H:H,MATCH($A12,'Schedule_Data_Option_A'!$C:$C,0)),"")</f>
        <v/>
      </c>
      <c r="F12" s="18">
        <f>IFERROR(INDEX('Schedule_Data_Option_A'!I:I,MATCH($A12,'Schedule_Data_Option_A'!$C:$C,0)),"")</f>
        <v/>
      </c>
      <c r="G12" s="18">
        <f>IFERROR(INDEX('Schedule_Data_Option_B'!D:D,MATCH($A12,'Schedule_Data_Option_B'!$C:$C,0)),"")</f>
        <v/>
      </c>
      <c r="H12" s="18">
        <f>IFERROR(INDEX('Schedule_Data_Option_B'!E:E,MATCH($A12,'Schedule_Data_Option_B'!$C:$C,0)),"")</f>
        <v/>
      </c>
      <c r="I12" s="20">
        <f>IFERROR(INDEX('Schedule_Data_Option_B'!G:G,MATCH($A12,'Schedule_Data_Option_B'!$C:$C,0)),"")</f>
        <v/>
      </c>
      <c r="J12" s="20">
        <f>IFERROR(INDEX('Schedule_Data_Option_B'!H:H,MATCH($A12,'Schedule_Data_Option_B'!$C:$C,0)),"")</f>
        <v/>
      </c>
      <c r="K12" s="18">
        <f>IFERROR(INDEX('Schedule_Data_Option_B'!I:I,MATCH($A12,'Schedule_Data_Option_B'!$C:$C,0)),"")</f>
        <v/>
      </c>
      <c r="L12" s="45">
        <f>IF(AND(D12&lt;&gt;"",I12&lt;&gt;""),I12-D12,"")</f>
        <v/>
      </c>
      <c r="M12" s="45">
        <f>IF(AND(E12&lt;&gt;"",J12&lt;&gt;""),J12-E12,"")</f>
        <v/>
      </c>
      <c r="N12" s="45">
        <f>IF(AND(F12&lt;&gt;"",K12&lt;&gt;""),K12-F12,"")</f>
        <v/>
      </c>
    </row>
    <row r="13">
      <c r="A13" s="18" t="inlineStr">
        <is>
          <t>A1990</t>
        </is>
      </c>
      <c r="B13" s="18">
        <f>IFERROR(INDEX('Schedule_Data_Option_A'!D:D,MATCH($A13,'Schedule_Data_Option_A'!$C:$C,0)),"")</f>
        <v/>
      </c>
      <c r="C13" s="18">
        <f>IFERROR(INDEX('Schedule_Data_Option_A'!E:E,MATCH($A13,'Schedule_Data_Option_A'!$C:$C,0)),"")</f>
        <v/>
      </c>
      <c r="D13" s="20">
        <f>IFERROR(INDEX('Schedule_Data_Option_A'!G:G,MATCH($A13,'Schedule_Data_Option_A'!$C:$C,0)),"")</f>
        <v/>
      </c>
      <c r="E13" s="20">
        <f>IFERROR(INDEX('Schedule_Data_Option_A'!H:H,MATCH($A13,'Schedule_Data_Option_A'!$C:$C,0)),"")</f>
        <v/>
      </c>
      <c r="F13" s="18">
        <f>IFERROR(INDEX('Schedule_Data_Option_A'!I:I,MATCH($A13,'Schedule_Data_Option_A'!$C:$C,0)),"")</f>
        <v/>
      </c>
      <c r="G13" s="18">
        <f>IFERROR(INDEX('Schedule_Data_Option_B'!D:D,MATCH($A13,'Schedule_Data_Option_B'!$C:$C,0)),"")</f>
        <v/>
      </c>
      <c r="H13" s="18">
        <f>IFERROR(INDEX('Schedule_Data_Option_B'!E:E,MATCH($A13,'Schedule_Data_Option_B'!$C:$C,0)),"")</f>
        <v/>
      </c>
      <c r="I13" s="20">
        <f>IFERROR(INDEX('Schedule_Data_Option_B'!G:G,MATCH($A13,'Schedule_Data_Option_B'!$C:$C,0)),"")</f>
        <v/>
      </c>
      <c r="J13" s="20">
        <f>IFERROR(INDEX('Schedule_Data_Option_B'!H:H,MATCH($A13,'Schedule_Data_Option_B'!$C:$C,0)),"")</f>
        <v/>
      </c>
      <c r="K13" s="18">
        <f>IFERROR(INDEX('Schedule_Data_Option_B'!I:I,MATCH($A13,'Schedule_Data_Option_B'!$C:$C,0)),"")</f>
        <v/>
      </c>
      <c r="L13" s="45">
        <f>IF(AND(D13&lt;&gt;"",I13&lt;&gt;""),I13-D13,"")</f>
        <v/>
      </c>
      <c r="M13" s="45">
        <f>IF(AND(E13&lt;&gt;"",J13&lt;&gt;""),J13-E13,"")</f>
        <v/>
      </c>
      <c r="N13" s="45">
        <f>IF(AND(F13&lt;&gt;"",K13&lt;&gt;""),K13-F13,"")</f>
        <v/>
      </c>
    </row>
    <row r="14">
      <c r="A14" s="18" t="inlineStr">
        <is>
          <t>A2000</t>
        </is>
      </c>
      <c r="B14" s="18">
        <f>IFERROR(INDEX('Schedule_Data_Option_A'!D:D,MATCH($A14,'Schedule_Data_Option_A'!$C:$C,0)),"")</f>
        <v/>
      </c>
      <c r="C14" s="18">
        <f>IFERROR(INDEX('Schedule_Data_Option_A'!E:E,MATCH($A14,'Schedule_Data_Option_A'!$C:$C,0)),"")</f>
        <v/>
      </c>
      <c r="D14" s="20">
        <f>IFERROR(INDEX('Schedule_Data_Option_A'!G:G,MATCH($A14,'Schedule_Data_Option_A'!$C:$C,0)),"")</f>
        <v/>
      </c>
      <c r="E14" s="20">
        <f>IFERROR(INDEX('Schedule_Data_Option_A'!H:H,MATCH($A14,'Schedule_Data_Option_A'!$C:$C,0)),"")</f>
        <v/>
      </c>
      <c r="F14" s="18">
        <f>IFERROR(INDEX('Schedule_Data_Option_A'!I:I,MATCH($A14,'Schedule_Data_Option_A'!$C:$C,0)),"")</f>
        <v/>
      </c>
      <c r="G14" s="18">
        <f>IFERROR(INDEX('Schedule_Data_Option_B'!D:D,MATCH($A14,'Schedule_Data_Option_B'!$C:$C,0)),"")</f>
        <v/>
      </c>
      <c r="H14" s="18">
        <f>IFERROR(INDEX('Schedule_Data_Option_B'!E:E,MATCH($A14,'Schedule_Data_Option_B'!$C:$C,0)),"")</f>
        <v/>
      </c>
      <c r="I14" s="20">
        <f>IFERROR(INDEX('Schedule_Data_Option_B'!G:G,MATCH($A14,'Schedule_Data_Option_B'!$C:$C,0)),"")</f>
        <v/>
      </c>
      <c r="J14" s="20">
        <f>IFERROR(INDEX('Schedule_Data_Option_B'!H:H,MATCH($A14,'Schedule_Data_Option_B'!$C:$C,0)),"")</f>
        <v/>
      </c>
      <c r="K14" s="18">
        <f>IFERROR(INDEX('Schedule_Data_Option_B'!I:I,MATCH($A14,'Schedule_Data_Option_B'!$C:$C,0)),"")</f>
        <v/>
      </c>
      <c r="L14" s="45">
        <f>IF(AND(D14&lt;&gt;"",I14&lt;&gt;""),I14-D14,"")</f>
        <v/>
      </c>
      <c r="M14" s="45">
        <f>IF(AND(E14&lt;&gt;"",J14&lt;&gt;""),J14-E14,"")</f>
        <v/>
      </c>
      <c r="N14" s="45">
        <f>IF(AND(F14&lt;&gt;"",K14&lt;&gt;""),K14-F14,"")</f>
        <v/>
      </c>
    </row>
    <row r="15">
      <c r="A15" s="18" t="inlineStr">
        <is>
          <t>A2020</t>
        </is>
      </c>
      <c r="B15" s="18">
        <f>IFERROR(INDEX('Schedule_Data_Option_A'!D:D,MATCH($A15,'Schedule_Data_Option_A'!$C:$C,0)),"")</f>
        <v/>
      </c>
      <c r="C15" s="18">
        <f>IFERROR(INDEX('Schedule_Data_Option_A'!E:E,MATCH($A15,'Schedule_Data_Option_A'!$C:$C,0)),"")</f>
        <v/>
      </c>
      <c r="D15" s="20">
        <f>IFERROR(INDEX('Schedule_Data_Option_A'!G:G,MATCH($A15,'Schedule_Data_Option_A'!$C:$C,0)),"")</f>
        <v/>
      </c>
      <c r="E15" s="20">
        <f>IFERROR(INDEX('Schedule_Data_Option_A'!H:H,MATCH($A15,'Schedule_Data_Option_A'!$C:$C,0)),"")</f>
        <v/>
      </c>
      <c r="F15" s="18">
        <f>IFERROR(INDEX('Schedule_Data_Option_A'!I:I,MATCH($A15,'Schedule_Data_Option_A'!$C:$C,0)),"")</f>
        <v/>
      </c>
      <c r="G15" s="18">
        <f>IFERROR(INDEX('Schedule_Data_Option_B'!D:D,MATCH($A15,'Schedule_Data_Option_B'!$C:$C,0)),"")</f>
        <v/>
      </c>
      <c r="H15" s="18">
        <f>IFERROR(INDEX('Schedule_Data_Option_B'!E:E,MATCH($A15,'Schedule_Data_Option_B'!$C:$C,0)),"")</f>
        <v/>
      </c>
      <c r="I15" s="20">
        <f>IFERROR(INDEX('Schedule_Data_Option_B'!G:G,MATCH($A15,'Schedule_Data_Option_B'!$C:$C,0)),"")</f>
        <v/>
      </c>
      <c r="J15" s="20">
        <f>IFERROR(INDEX('Schedule_Data_Option_B'!H:H,MATCH($A15,'Schedule_Data_Option_B'!$C:$C,0)),"")</f>
        <v/>
      </c>
      <c r="K15" s="18">
        <f>IFERROR(INDEX('Schedule_Data_Option_B'!I:I,MATCH($A15,'Schedule_Data_Option_B'!$C:$C,0)),"")</f>
        <v/>
      </c>
      <c r="L15" s="45">
        <f>IF(AND(D15&lt;&gt;"",I15&lt;&gt;""),I15-D15,"")</f>
        <v/>
      </c>
      <c r="M15" s="45">
        <f>IF(AND(E15&lt;&gt;"",J15&lt;&gt;""),J15-E15,"")</f>
        <v/>
      </c>
      <c r="N15" s="45">
        <f>IF(AND(F15&lt;&gt;"",K15&lt;&gt;""),K15-F15,"")</f>
        <v/>
      </c>
    </row>
    <row r="16">
      <c r="A16" s="18" t="inlineStr">
        <is>
          <t>A1002</t>
        </is>
      </c>
      <c r="B16" s="18">
        <f>IFERROR(INDEX('Schedule_Data_Option_A'!D:D,MATCH($A16,'Schedule_Data_Option_A'!$C:$C,0)),"")</f>
        <v/>
      </c>
      <c r="C16" s="18">
        <f>IFERROR(INDEX('Schedule_Data_Option_A'!E:E,MATCH($A16,'Schedule_Data_Option_A'!$C:$C,0)),"")</f>
        <v/>
      </c>
      <c r="D16" s="20">
        <f>IFERROR(INDEX('Schedule_Data_Option_A'!G:G,MATCH($A16,'Schedule_Data_Option_A'!$C:$C,0)),"")</f>
        <v/>
      </c>
      <c r="E16" s="20">
        <f>IFERROR(INDEX('Schedule_Data_Option_A'!H:H,MATCH($A16,'Schedule_Data_Option_A'!$C:$C,0)),"")</f>
        <v/>
      </c>
      <c r="F16" s="18">
        <f>IFERROR(INDEX('Schedule_Data_Option_A'!I:I,MATCH($A16,'Schedule_Data_Option_A'!$C:$C,0)),"")</f>
        <v/>
      </c>
      <c r="G16" s="18">
        <f>IFERROR(INDEX('Schedule_Data_Option_B'!D:D,MATCH($A16,'Schedule_Data_Option_B'!$C:$C,0)),"")</f>
        <v/>
      </c>
      <c r="H16" s="18">
        <f>IFERROR(INDEX('Schedule_Data_Option_B'!E:E,MATCH($A16,'Schedule_Data_Option_B'!$C:$C,0)),"")</f>
        <v/>
      </c>
      <c r="I16" s="20">
        <f>IFERROR(INDEX('Schedule_Data_Option_B'!G:G,MATCH($A16,'Schedule_Data_Option_B'!$C:$C,0)),"")</f>
        <v/>
      </c>
      <c r="J16" s="20">
        <f>IFERROR(INDEX('Schedule_Data_Option_B'!H:H,MATCH($A16,'Schedule_Data_Option_B'!$C:$C,0)),"")</f>
        <v/>
      </c>
      <c r="K16" s="18">
        <f>IFERROR(INDEX('Schedule_Data_Option_B'!I:I,MATCH($A16,'Schedule_Data_Option_B'!$C:$C,0)),"")</f>
        <v/>
      </c>
      <c r="L16" s="45">
        <f>IF(AND(D16&lt;&gt;"",I16&lt;&gt;""),I16-D16,"")</f>
        <v/>
      </c>
      <c r="M16" s="45">
        <f>IF(AND(E16&lt;&gt;"",J16&lt;&gt;""),J16-E16,"")</f>
        <v/>
      </c>
      <c r="N16" s="45">
        <f>IF(AND(F16&lt;&gt;"",K16&lt;&gt;""),K16-F16,"")</f>
        <v/>
      </c>
    </row>
    <row r="17">
      <c r="A17" s="18" t="inlineStr">
        <is>
          <t>A1003</t>
        </is>
      </c>
      <c r="B17" s="18">
        <f>IFERROR(INDEX('Schedule_Data_Option_A'!D:D,MATCH($A17,'Schedule_Data_Option_A'!$C:$C,0)),"")</f>
        <v/>
      </c>
      <c r="C17" s="18">
        <f>IFERROR(INDEX('Schedule_Data_Option_A'!E:E,MATCH($A17,'Schedule_Data_Option_A'!$C:$C,0)),"")</f>
        <v/>
      </c>
      <c r="D17" s="20">
        <f>IFERROR(INDEX('Schedule_Data_Option_A'!G:G,MATCH($A17,'Schedule_Data_Option_A'!$C:$C,0)),"")</f>
        <v/>
      </c>
      <c r="E17" s="20">
        <f>IFERROR(INDEX('Schedule_Data_Option_A'!H:H,MATCH($A17,'Schedule_Data_Option_A'!$C:$C,0)),"")</f>
        <v/>
      </c>
      <c r="F17" s="18">
        <f>IFERROR(INDEX('Schedule_Data_Option_A'!I:I,MATCH($A17,'Schedule_Data_Option_A'!$C:$C,0)),"")</f>
        <v/>
      </c>
      <c r="G17" s="18">
        <f>IFERROR(INDEX('Schedule_Data_Option_B'!D:D,MATCH($A17,'Schedule_Data_Option_B'!$C:$C,0)),"")</f>
        <v/>
      </c>
      <c r="H17" s="18">
        <f>IFERROR(INDEX('Schedule_Data_Option_B'!E:E,MATCH($A17,'Schedule_Data_Option_B'!$C:$C,0)),"")</f>
        <v/>
      </c>
      <c r="I17" s="20">
        <f>IFERROR(INDEX('Schedule_Data_Option_B'!G:G,MATCH($A17,'Schedule_Data_Option_B'!$C:$C,0)),"")</f>
        <v/>
      </c>
      <c r="J17" s="20">
        <f>IFERROR(INDEX('Schedule_Data_Option_B'!H:H,MATCH($A17,'Schedule_Data_Option_B'!$C:$C,0)),"")</f>
        <v/>
      </c>
      <c r="K17" s="18">
        <f>IFERROR(INDEX('Schedule_Data_Option_B'!I:I,MATCH($A17,'Schedule_Data_Option_B'!$C:$C,0)),"")</f>
        <v/>
      </c>
      <c r="L17" s="45">
        <f>IF(AND(D17&lt;&gt;"",I17&lt;&gt;""),I17-D17,"")</f>
        <v/>
      </c>
      <c r="M17" s="45">
        <f>IF(AND(E17&lt;&gt;"",J17&lt;&gt;""),J17-E17,"")</f>
        <v/>
      </c>
      <c r="N17" s="45">
        <f>IF(AND(F17&lt;&gt;"",K17&lt;&gt;""),K17-F17,"")</f>
        <v/>
      </c>
    </row>
    <row r="18">
      <c r="A18" s="18" t="inlineStr">
        <is>
          <t>A1013</t>
        </is>
      </c>
      <c r="B18" s="18">
        <f>IFERROR(INDEX('Schedule_Data_Option_A'!D:D,MATCH($A18,'Schedule_Data_Option_A'!$C:$C,0)),"")</f>
        <v/>
      </c>
      <c r="C18" s="18">
        <f>IFERROR(INDEX('Schedule_Data_Option_A'!E:E,MATCH($A18,'Schedule_Data_Option_A'!$C:$C,0)),"")</f>
        <v/>
      </c>
      <c r="D18" s="20">
        <f>IFERROR(INDEX('Schedule_Data_Option_A'!G:G,MATCH($A18,'Schedule_Data_Option_A'!$C:$C,0)),"")</f>
        <v/>
      </c>
      <c r="E18" s="20">
        <f>IFERROR(INDEX('Schedule_Data_Option_A'!H:H,MATCH($A18,'Schedule_Data_Option_A'!$C:$C,0)),"")</f>
        <v/>
      </c>
      <c r="F18" s="18">
        <f>IFERROR(INDEX('Schedule_Data_Option_A'!I:I,MATCH($A18,'Schedule_Data_Option_A'!$C:$C,0)),"")</f>
        <v/>
      </c>
      <c r="G18" s="18">
        <f>IFERROR(INDEX('Schedule_Data_Option_B'!D:D,MATCH($A18,'Schedule_Data_Option_B'!$C:$C,0)),"")</f>
        <v/>
      </c>
      <c r="H18" s="18">
        <f>IFERROR(INDEX('Schedule_Data_Option_B'!E:E,MATCH($A18,'Schedule_Data_Option_B'!$C:$C,0)),"")</f>
        <v/>
      </c>
      <c r="I18" s="20">
        <f>IFERROR(INDEX('Schedule_Data_Option_B'!G:G,MATCH($A18,'Schedule_Data_Option_B'!$C:$C,0)),"")</f>
        <v/>
      </c>
      <c r="J18" s="20">
        <f>IFERROR(INDEX('Schedule_Data_Option_B'!H:H,MATCH($A18,'Schedule_Data_Option_B'!$C:$C,0)),"")</f>
        <v/>
      </c>
      <c r="K18" s="18">
        <f>IFERROR(INDEX('Schedule_Data_Option_B'!I:I,MATCH($A18,'Schedule_Data_Option_B'!$C:$C,0)),"")</f>
        <v/>
      </c>
      <c r="L18" s="45">
        <f>IF(AND(D18&lt;&gt;"",I18&lt;&gt;""),I18-D18,"")</f>
        <v/>
      </c>
      <c r="M18" s="45">
        <f>IF(AND(E18&lt;&gt;"",J18&lt;&gt;""),J18-E18,"")</f>
        <v/>
      </c>
      <c r="N18" s="45">
        <f>IF(AND(F18&lt;&gt;"",K18&lt;&gt;""),K18-F18,"")</f>
        <v/>
      </c>
    </row>
    <row r="19">
      <c r="A19" s="18" t="inlineStr">
        <is>
          <t>A1023</t>
        </is>
      </c>
      <c r="B19" s="18">
        <f>IFERROR(INDEX('Schedule_Data_Option_A'!D:D,MATCH($A19,'Schedule_Data_Option_A'!$C:$C,0)),"")</f>
        <v/>
      </c>
      <c r="C19" s="18">
        <f>IFERROR(INDEX('Schedule_Data_Option_A'!E:E,MATCH($A19,'Schedule_Data_Option_A'!$C:$C,0)),"")</f>
        <v/>
      </c>
      <c r="D19" s="20">
        <f>IFERROR(INDEX('Schedule_Data_Option_A'!G:G,MATCH($A19,'Schedule_Data_Option_A'!$C:$C,0)),"")</f>
        <v/>
      </c>
      <c r="E19" s="20">
        <f>IFERROR(INDEX('Schedule_Data_Option_A'!H:H,MATCH($A19,'Schedule_Data_Option_A'!$C:$C,0)),"")</f>
        <v/>
      </c>
      <c r="F19" s="18">
        <f>IFERROR(INDEX('Schedule_Data_Option_A'!I:I,MATCH($A19,'Schedule_Data_Option_A'!$C:$C,0)),"")</f>
        <v/>
      </c>
      <c r="G19" s="18">
        <f>IFERROR(INDEX('Schedule_Data_Option_B'!D:D,MATCH($A19,'Schedule_Data_Option_B'!$C:$C,0)),"")</f>
        <v/>
      </c>
      <c r="H19" s="18">
        <f>IFERROR(INDEX('Schedule_Data_Option_B'!E:E,MATCH($A19,'Schedule_Data_Option_B'!$C:$C,0)),"")</f>
        <v/>
      </c>
      <c r="I19" s="20">
        <f>IFERROR(INDEX('Schedule_Data_Option_B'!G:G,MATCH($A19,'Schedule_Data_Option_B'!$C:$C,0)),"")</f>
        <v/>
      </c>
      <c r="J19" s="20">
        <f>IFERROR(INDEX('Schedule_Data_Option_B'!H:H,MATCH($A19,'Schedule_Data_Option_B'!$C:$C,0)),"")</f>
        <v/>
      </c>
      <c r="K19" s="18">
        <f>IFERROR(INDEX('Schedule_Data_Option_B'!I:I,MATCH($A19,'Schedule_Data_Option_B'!$C:$C,0)),"")</f>
        <v/>
      </c>
      <c r="L19" s="45">
        <f>IF(AND(D19&lt;&gt;"",I19&lt;&gt;""),I19-D19,"")</f>
        <v/>
      </c>
      <c r="M19" s="45">
        <f>IF(AND(E19&lt;&gt;"",J19&lt;&gt;""),J19-E19,"")</f>
        <v/>
      </c>
      <c r="N19" s="45">
        <f>IF(AND(F19&lt;&gt;"",K19&lt;&gt;""),K19-F19,"")</f>
        <v/>
      </c>
    </row>
    <row r="20">
      <c r="A20" s="18" t="inlineStr">
        <is>
          <t>A1033</t>
        </is>
      </c>
      <c r="B20" s="18">
        <f>IFERROR(INDEX('Schedule_Data_Option_A'!D:D,MATCH($A20,'Schedule_Data_Option_A'!$C:$C,0)),"")</f>
        <v/>
      </c>
      <c r="C20" s="18">
        <f>IFERROR(INDEX('Schedule_Data_Option_A'!E:E,MATCH($A20,'Schedule_Data_Option_A'!$C:$C,0)),"")</f>
        <v/>
      </c>
      <c r="D20" s="20">
        <f>IFERROR(INDEX('Schedule_Data_Option_A'!G:G,MATCH($A20,'Schedule_Data_Option_A'!$C:$C,0)),"")</f>
        <v/>
      </c>
      <c r="E20" s="20">
        <f>IFERROR(INDEX('Schedule_Data_Option_A'!H:H,MATCH($A20,'Schedule_Data_Option_A'!$C:$C,0)),"")</f>
        <v/>
      </c>
      <c r="F20" s="18">
        <f>IFERROR(INDEX('Schedule_Data_Option_A'!I:I,MATCH($A20,'Schedule_Data_Option_A'!$C:$C,0)),"")</f>
        <v/>
      </c>
      <c r="G20" s="18">
        <f>IFERROR(INDEX('Schedule_Data_Option_B'!D:D,MATCH($A20,'Schedule_Data_Option_B'!$C:$C,0)),"")</f>
        <v/>
      </c>
      <c r="H20" s="18">
        <f>IFERROR(INDEX('Schedule_Data_Option_B'!E:E,MATCH($A20,'Schedule_Data_Option_B'!$C:$C,0)),"")</f>
        <v/>
      </c>
      <c r="I20" s="20">
        <f>IFERROR(INDEX('Schedule_Data_Option_B'!G:G,MATCH($A20,'Schedule_Data_Option_B'!$C:$C,0)),"")</f>
        <v/>
      </c>
      <c r="J20" s="20">
        <f>IFERROR(INDEX('Schedule_Data_Option_B'!H:H,MATCH($A20,'Schedule_Data_Option_B'!$C:$C,0)),"")</f>
        <v/>
      </c>
      <c r="K20" s="18">
        <f>IFERROR(INDEX('Schedule_Data_Option_B'!I:I,MATCH($A20,'Schedule_Data_Option_B'!$C:$C,0)),"")</f>
        <v/>
      </c>
      <c r="L20" s="45">
        <f>IF(AND(D20&lt;&gt;"",I20&lt;&gt;""),I20-D20,"")</f>
        <v/>
      </c>
      <c r="M20" s="45">
        <f>IF(AND(E20&lt;&gt;"",J20&lt;&gt;""),J20-E20,"")</f>
        <v/>
      </c>
      <c r="N20" s="45">
        <f>IF(AND(F20&lt;&gt;"",K20&lt;&gt;""),K20-F20,"")</f>
        <v/>
      </c>
    </row>
    <row r="21">
      <c r="A21" s="18" t="inlineStr">
        <is>
          <t>A1043</t>
        </is>
      </c>
      <c r="B21" s="18">
        <f>IFERROR(INDEX('Schedule_Data_Option_A'!D:D,MATCH($A21,'Schedule_Data_Option_A'!$C:$C,0)),"")</f>
        <v/>
      </c>
      <c r="C21" s="18">
        <f>IFERROR(INDEX('Schedule_Data_Option_A'!E:E,MATCH($A21,'Schedule_Data_Option_A'!$C:$C,0)),"")</f>
        <v/>
      </c>
      <c r="D21" s="20">
        <f>IFERROR(INDEX('Schedule_Data_Option_A'!G:G,MATCH($A21,'Schedule_Data_Option_A'!$C:$C,0)),"")</f>
        <v/>
      </c>
      <c r="E21" s="20">
        <f>IFERROR(INDEX('Schedule_Data_Option_A'!H:H,MATCH($A21,'Schedule_Data_Option_A'!$C:$C,0)),"")</f>
        <v/>
      </c>
      <c r="F21" s="18">
        <f>IFERROR(INDEX('Schedule_Data_Option_A'!I:I,MATCH($A21,'Schedule_Data_Option_A'!$C:$C,0)),"")</f>
        <v/>
      </c>
      <c r="G21" s="18">
        <f>IFERROR(INDEX('Schedule_Data_Option_B'!D:D,MATCH($A21,'Schedule_Data_Option_B'!$C:$C,0)),"")</f>
        <v/>
      </c>
      <c r="H21" s="18">
        <f>IFERROR(INDEX('Schedule_Data_Option_B'!E:E,MATCH($A21,'Schedule_Data_Option_B'!$C:$C,0)),"")</f>
        <v/>
      </c>
      <c r="I21" s="20">
        <f>IFERROR(INDEX('Schedule_Data_Option_B'!G:G,MATCH($A21,'Schedule_Data_Option_B'!$C:$C,0)),"")</f>
        <v/>
      </c>
      <c r="J21" s="20">
        <f>IFERROR(INDEX('Schedule_Data_Option_B'!H:H,MATCH($A21,'Schedule_Data_Option_B'!$C:$C,0)),"")</f>
        <v/>
      </c>
      <c r="K21" s="18">
        <f>IFERROR(INDEX('Schedule_Data_Option_B'!I:I,MATCH($A21,'Schedule_Data_Option_B'!$C:$C,0)),"")</f>
        <v/>
      </c>
      <c r="L21" s="45">
        <f>IF(AND(D21&lt;&gt;"",I21&lt;&gt;""),I21-D21,"")</f>
        <v/>
      </c>
      <c r="M21" s="45">
        <f>IF(AND(E21&lt;&gt;"",J21&lt;&gt;""),J21-E21,"")</f>
        <v/>
      </c>
      <c r="N21" s="45">
        <f>IF(AND(F21&lt;&gt;"",K21&lt;&gt;""),K21-F21,"")</f>
        <v/>
      </c>
    </row>
    <row r="22">
      <c r="A22" s="18" t="inlineStr">
        <is>
          <t>A1053</t>
        </is>
      </c>
      <c r="B22" s="18">
        <f>IFERROR(INDEX('Schedule_Data_Option_A'!D:D,MATCH($A22,'Schedule_Data_Option_A'!$C:$C,0)),"")</f>
        <v/>
      </c>
      <c r="C22" s="18">
        <f>IFERROR(INDEX('Schedule_Data_Option_A'!E:E,MATCH($A22,'Schedule_Data_Option_A'!$C:$C,0)),"")</f>
        <v/>
      </c>
      <c r="D22" s="20">
        <f>IFERROR(INDEX('Schedule_Data_Option_A'!G:G,MATCH($A22,'Schedule_Data_Option_A'!$C:$C,0)),"")</f>
        <v/>
      </c>
      <c r="E22" s="20">
        <f>IFERROR(INDEX('Schedule_Data_Option_A'!H:H,MATCH($A22,'Schedule_Data_Option_A'!$C:$C,0)),"")</f>
        <v/>
      </c>
      <c r="F22" s="18">
        <f>IFERROR(INDEX('Schedule_Data_Option_A'!I:I,MATCH($A22,'Schedule_Data_Option_A'!$C:$C,0)),"")</f>
        <v/>
      </c>
      <c r="G22" s="18">
        <f>IFERROR(INDEX('Schedule_Data_Option_B'!D:D,MATCH($A22,'Schedule_Data_Option_B'!$C:$C,0)),"")</f>
        <v/>
      </c>
      <c r="H22" s="18">
        <f>IFERROR(INDEX('Schedule_Data_Option_B'!E:E,MATCH($A22,'Schedule_Data_Option_B'!$C:$C,0)),"")</f>
        <v/>
      </c>
      <c r="I22" s="20">
        <f>IFERROR(INDEX('Schedule_Data_Option_B'!G:G,MATCH($A22,'Schedule_Data_Option_B'!$C:$C,0)),"")</f>
        <v/>
      </c>
      <c r="J22" s="20">
        <f>IFERROR(INDEX('Schedule_Data_Option_B'!H:H,MATCH($A22,'Schedule_Data_Option_B'!$C:$C,0)),"")</f>
        <v/>
      </c>
      <c r="K22" s="18">
        <f>IFERROR(INDEX('Schedule_Data_Option_B'!I:I,MATCH($A22,'Schedule_Data_Option_B'!$C:$C,0)),"")</f>
        <v/>
      </c>
      <c r="L22" s="45">
        <f>IF(AND(D22&lt;&gt;"",I22&lt;&gt;""),I22-D22,"")</f>
        <v/>
      </c>
      <c r="M22" s="45">
        <f>IF(AND(E22&lt;&gt;"",J22&lt;&gt;""),J22-E22,"")</f>
        <v/>
      </c>
      <c r="N22" s="45">
        <f>IF(AND(F22&lt;&gt;"",K22&lt;&gt;""),K22-F22,"")</f>
        <v/>
      </c>
    </row>
    <row r="23">
      <c r="A23" s="18" t="inlineStr">
        <is>
          <t>A1004</t>
        </is>
      </c>
      <c r="B23" s="18">
        <f>IFERROR(INDEX('Schedule_Data_Option_A'!D:D,MATCH($A23,'Schedule_Data_Option_A'!$C:$C,0)),"")</f>
        <v/>
      </c>
      <c r="C23" s="18">
        <f>IFERROR(INDEX('Schedule_Data_Option_A'!E:E,MATCH($A23,'Schedule_Data_Option_A'!$C:$C,0)),"")</f>
        <v/>
      </c>
      <c r="D23" s="20">
        <f>IFERROR(INDEX('Schedule_Data_Option_A'!G:G,MATCH($A23,'Schedule_Data_Option_A'!$C:$C,0)),"")</f>
        <v/>
      </c>
      <c r="E23" s="20">
        <f>IFERROR(INDEX('Schedule_Data_Option_A'!H:H,MATCH($A23,'Schedule_Data_Option_A'!$C:$C,0)),"")</f>
        <v/>
      </c>
      <c r="F23" s="18">
        <f>IFERROR(INDEX('Schedule_Data_Option_A'!I:I,MATCH($A23,'Schedule_Data_Option_A'!$C:$C,0)),"")</f>
        <v/>
      </c>
      <c r="G23" s="18">
        <f>IFERROR(INDEX('Schedule_Data_Option_B'!D:D,MATCH($A23,'Schedule_Data_Option_B'!$C:$C,0)),"")</f>
        <v/>
      </c>
      <c r="H23" s="18">
        <f>IFERROR(INDEX('Schedule_Data_Option_B'!E:E,MATCH($A23,'Schedule_Data_Option_B'!$C:$C,0)),"")</f>
        <v/>
      </c>
      <c r="I23" s="20">
        <f>IFERROR(INDEX('Schedule_Data_Option_B'!G:G,MATCH($A23,'Schedule_Data_Option_B'!$C:$C,0)),"")</f>
        <v/>
      </c>
      <c r="J23" s="20">
        <f>IFERROR(INDEX('Schedule_Data_Option_B'!H:H,MATCH($A23,'Schedule_Data_Option_B'!$C:$C,0)),"")</f>
        <v/>
      </c>
      <c r="K23" s="18">
        <f>IFERROR(INDEX('Schedule_Data_Option_B'!I:I,MATCH($A23,'Schedule_Data_Option_B'!$C:$C,0)),"")</f>
        <v/>
      </c>
      <c r="L23" s="45">
        <f>IF(AND(D23&lt;&gt;"",I23&lt;&gt;""),I23-D23,"")</f>
        <v/>
      </c>
      <c r="M23" s="45">
        <f>IF(AND(E23&lt;&gt;"",J23&lt;&gt;""),J23-E23,"")</f>
        <v/>
      </c>
      <c r="N23" s="45">
        <f>IF(AND(F23&lt;&gt;"",K23&lt;&gt;""),K23-F23,"")</f>
        <v/>
      </c>
    </row>
    <row r="24">
      <c r="A24" s="18" t="inlineStr">
        <is>
          <t>A1005</t>
        </is>
      </c>
      <c r="B24" s="18">
        <f>IFERROR(INDEX('Schedule_Data_Option_A'!D:D,MATCH($A24,'Schedule_Data_Option_A'!$C:$C,0)),"")</f>
        <v/>
      </c>
      <c r="C24" s="18">
        <f>IFERROR(INDEX('Schedule_Data_Option_A'!E:E,MATCH($A24,'Schedule_Data_Option_A'!$C:$C,0)),"")</f>
        <v/>
      </c>
      <c r="D24" s="20">
        <f>IFERROR(INDEX('Schedule_Data_Option_A'!G:G,MATCH($A24,'Schedule_Data_Option_A'!$C:$C,0)),"")</f>
        <v/>
      </c>
      <c r="E24" s="20">
        <f>IFERROR(INDEX('Schedule_Data_Option_A'!H:H,MATCH($A24,'Schedule_Data_Option_A'!$C:$C,0)),"")</f>
        <v/>
      </c>
      <c r="F24" s="18">
        <f>IFERROR(INDEX('Schedule_Data_Option_A'!I:I,MATCH($A24,'Schedule_Data_Option_A'!$C:$C,0)),"")</f>
        <v/>
      </c>
      <c r="G24" s="18">
        <f>IFERROR(INDEX('Schedule_Data_Option_B'!D:D,MATCH($A24,'Schedule_Data_Option_B'!$C:$C,0)),"")</f>
        <v/>
      </c>
      <c r="H24" s="18">
        <f>IFERROR(INDEX('Schedule_Data_Option_B'!E:E,MATCH($A24,'Schedule_Data_Option_B'!$C:$C,0)),"")</f>
        <v/>
      </c>
      <c r="I24" s="20">
        <f>IFERROR(INDEX('Schedule_Data_Option_B'!G:G,MATCH($A24,'Schedule_Data_Option_B'!$C:$C,0)),"")</f>
        <v/>
      </c>
      <c r="J24" s="20">
        <f>IFERROR(INDEX('Schedule_Data_Option_B'!H:H,MATCH($A24,'Schedule_Data_Option_B'!$C:$C,0)),"")</f>
        <v/>
      </c>
      <c r="K24" s="18">
        <f>IFERROR(INDEX('Schedule_Data_Option_B'!I:I,MATCH($A24,'Schedule_Data_Option_B'!$C:$C,0)),"")</f>
        <v/>
      </c>
      <c r="L24" s="45">
        <f>IF(AND(D24&lt;&gt;"",I24&lt;&gt;""),I24-D24,"")</f>
        <v/>
      </c>
      <c r="M24" s="45">
        <f>IF(AND(E24&lt;&gt;"",J24&lt;&gt;""),J24-E24,"")</f>
        <v/>
      </c>
      <c r="N24" s="45">
        <f>IF(AND(F24&lt;&gt;"",K24&lt;&gt;""),K24-F24,"")</f>
        <v/>
      </c>
    </row>
    <row r="25">
      <c r="A25" s="18" t="inlineStr">
        <is>
          <t>A1030</t>
        </is>
      </c>
      <c r="B25" s="18">
        <f>IFERROR(INDEX('Schedule_Data_Option_A'!D:D,MATCH($A25,'Schedule_Data_Option_A'!$C:$C,0)),"")</f>
        <v/>
      </c>
      <c r="C25" s="18">
        <f>IFERROR(INDEX('Schedule_Data_Option_A'!E:E,MATCH($A25,'Schedule_Data_Option_A'!$C:$C,0)),"")</f>
        <v/>
      </c>
      <c r="D25" s="20">
        <f>IFERROR(INDEX('Schedule_Data_Option_A'!G:G,MATCH($A25,'Schedule_Data_Option_A'!$C:$C,0)),"")</f>
        <v/>
      </c>
      <c r="E25" s="20">
        <f>IFERROR(INDEX('Schedule_Data_Option_A'!H:H,MATCH($A25,'Schedule_Data_Option_A'!$C:$C,0)),"")</f>
        <v/>
      </c>
      <c r="F25" s="18">
        <f>IFERROR(INDEX('Schedule_Data_Option_A'!I:I,MATCH($A25,'Schedule_Data_Option_A'!$C:$C,0)),"")</f>
        <v/>
      </c>
      <c r="G25" s="18">
        <f>IFERROR(INDEX('Schedule_Data_Option_B'!D:D,MATCH($A25,'Schedule_Data_Option_B'!$C:$C,0)),"")</f>
        <v/>
      </c>
      <c r="H25" s="18">
        <f>IFERROR(INDEX('Schedule_Data_Option_B'!E:E,MATCH($A25,'Schedule_Data_Option_B'!$C:$C,0)),"")</f>
        <v/>
      </c>
      <c r="I25" s="20">
        <f>IFERROR(INDEX('Schedule_Data_Option_B'!G:G,MATCH($A25,'Schedule_Data_Option_B'!$C:$C,0)),"")</f>
        <v/>
      </c>
      <c r="J25" s="20">
        <f>IFERROR(INDEX('Schedule_Data_Option_B'!H:H,MATCH($A25,'Schedule_Data_Option_B'!$C:$C,0)),"")</f>
        <v/>
      </c>
      <c r="K25" s="18">
        <f>IFERROR(INDEX('Schedule_Data_Option_B'!I:I,MATCH($A25,'Schedule_Data_Option_B'!$C:$C,0)),"")</f>
        <v/>
      </c>
      <c r="L25" s="45">
        <f>IF(AND(D25&lt;&gt;"",I25&lt;&gt;""),I25-D25,"")</f>
        <v/>
      </c>
      <c r="M25" s="45">
        <f>IF(AND(E25&lt;&gt;"",J25&lt;&gt;""),J25-E25,"")</f>
        <v/>
      </c>
      <c r="N25" s="45">
        <f>IF(AND(F25&lt;&gt;"",K25&lt;&gt;""),K25-F25,"")</f>
        <v/>
      </c>
    </row>
    <row r="26">
      <c r="A26" s="18" t="inlineStr">
        <is>
          <t>A1040</t>
        </is>
      </c>
      <c r="B26" s="18">
        <f>IFERROR(INDEX('Schedule_Data_Option_A'!D:D,MATCH($A26,'Schedule_Data_Option_A'!$C:$C,0)),"")</f>
        <v/>
      </c>
      <c r="C26" s="18">
        <f>IFERROR(INDEX('Schedule_Data_Option_A'!E:E,MATCH($A26,'Schedule_Data_Option_A'!$C:$C,0)),"")</f>
        <v/>
      </c>
      <c r="D26" s="20">
        <f>IFERROR(INDEX('Schedule_Data_Option_A'!G:G,MATCH($A26,'Schedule_Data_Option_A'!$C:$C,0)),"")</f>
        <v/>
      </c>
      <c r="E26" s="20">
        <f>IFERROR(INDEX('Schedule_Data_Option_A'!H:H,MATCH($A26,'Schedule_Data_Option_A'!$C:$C,0)),"")</f>
        <v/>
      </c>
      <c r="F26" s="18">
        <f>IFERROR(INDEX('Schedule_Data_Option_A'!I:I,MATCH($A26,'Schedule_Data_Option_A'!$C:$C,0)),"")</f>
        <v/>
      </c>
      <c r="G26" s="18">
        <f>IFERROR(INDEX('Schedule_Data_Option_B'!D:D,MATCH($A26,'Schedule_Data_Option_B'!$C:$C,0)),"")</f>
        <v/>
      </c>
      <c r="H26" s="18">
        <f>IFERROR(INDEX('Schedule_Data_Option_B'!E:E,MATCH($A26,'Schedule_Data_Option_B'!$C:$C,0)),"")</f>
        <v/>
      </c>
      <c r="I26" s="20">
        <f>IFERROR(INDEX('Schedule_Data_Option_B'!G:G,MATCH($A26,'Schedule_Data_Option_B'!$C:$C,0)),"")</f>
        <v/>
      </c>
      <c r="J26" s="20">
        <f>IFERROR(INDEX('Schedule_Data_Option_B'!H:H,MATCH($A26,'Schedule_Data_Option_B'!$C:$C,0)),"")</f>
        <v/>
      </c>
      <c r="K26" s="18">
        <f>IFERROR(INDEX('Schedule_Data_Option_B'!I:I,MATCH($A26,'Schedule_Data_Option_B'!$C:$C,0)),"")</f>
        <v/>
      </c>
      <c r="L26" s="45">
        <f>IF(AND(D26&lt;&gt;"",I26&lt;&gt;""),I26-D26,"")</f>
        <v/>
      </c>
      <c r="M26" s="45">
        <f>IF(AND(E26&lt;&gt;"",J26&lt;&gt;""),J26-E26,"")</f>
        <v/>
      </c>
      <c r="N26" s="45">
        <f>IF(AND(F26&lt;&gt;"",K26&lt;&gt;""),K26-F26,"")</f>
        <v/>
      </c>
    </row>
    <row r="27">
      <c r="A27" s="18" t="inlineStr">
        <is>
          <t>A1060</t>
        </is>
      </c>
      <c r="B27" s="18">
        <f>IFERROR(INDEX('Schedule_Data_Option_A'!D:D,MATCH($A27,'Schedule_Data_Option_A'!$C:$C,0)),"")</f>
        <v/>
      </c>
      <c r="C27" s="18">
        <f>IFERROR(INDEX('Schedule_Data_Option_A'!E:E,MATCH($A27,'Schedule_Data_Option_A'!$C:$C,0)),"")</f>
        <v/>
      </c>
      <c r="D27" s="20">
        <f>IFERROR(INDEX('Schedule_Data_Option_A'!G:G,MATCH($A27,'Schedule_Data_Option_A'!$C:$C,0)),"")</f>
        <v/>
      </c>
      <c r="E27" s="20">
        <f>IFERROR(INDEX('Schedule_Data_Option_A'!H:H,MATCH($A27,'Schedule_Data_Option_A'!$C:$C,0)),"")</f>
        <v/>
      </c>
      <c r="F27" s="18">
        <f>IFERROR(INDEX('Schedule_Data_Option_A'!I:I,MATCH($A27,'Schedule_Data_Option_A'!$C:$C,0)),"")</f>
        <v/>
      </c>
      <c r="G27" s="18">
        <f>IFERROR(INDEX('Schedule_Data_Option_B'!D:D,MATCH($A27,'Schedule_Data_Option_B'!$C:$C,0)),"")</f>
        <v/>
      </c>
      <c r="H27" s="18">
        <f>IFERROR(INDEX('Schedule_Data_Option_B'!E:E,MATCH($A27,'Schedule_Data_Option_B'!$C:$C,0)),"")</f>
        <v/>
      </c>
      <c r="I27" s="20">
        <f>IFERROR(INDEX('Schedule_Data_Option_B'!G:G,MATCH($A27,'Schedule_Data_Option_B'!$C:$C,0)),"")</f>
        <v/>
      </c>
      <c r="J27" s="20">
        <f>IFERROR(INDEX('Schedule_Data_Option_B'!H:H,MATCH($A27,'Schedule_Data_Option_B'!$C:$C,0)),"")</f>
        <v/>
      </c>
      <c r="K27" s="18">
        <f>IFERROR(INDEX('Schedule_Data_Option_B'!I:I,MATCH($A27,'Schedule_Data_Option_B'!$C:$C,0)),"")</f>
        <v/>
      </c>
      <c r="L27" s="45">
        <f>IF(AND(D27&lt;&gt;"",I27&lt;&gt;""),I27-D27,"")</f>
        <v/>
      </c>
      <c r="M27" s="45">
        <f>IF(AND(E27&lt;&gt;"",J27&lt;&gt;""),J27-E27,"")</f>
        <v/>
      </c>
      <c r="N27" s="45">
        <f>IF(AND(F27&lt;&gt;"",K27&lt;&gt;""),K27-F27,"")</f>
        <v/>
      </c>
    </row>
    <row r="28">
      <c r="A28" s="18" t="inlineStr">
        <is>
          <t>A1070</t>
        </is>
      </c>
      <c r="B28" s="18">
        <f>IFERROR(INDEX('Schedule_Data_Option_A'!D:D,MATCH($A28,'Schedule_Data_Option_A'!$C:$C,0)),"")</f>
        <v/>
      </c>
      <c r="C28" s="18">
        <f>IFERROR(INDEX('Schedule_Data_Option_A'!E:E,MATCH($A28,'Schedule_Data_Option_A'!$C:$C,0)),"")</f>
        <v/>
      </c>
      <c r="D28" s="20">
        <f>IFERROR(INDEX('Schedule_Data_Option_A'!G:G,MATCH($A28,'Schedule_Data_Option_A'!$C:$C,0)),"")</f>
        <v/>
      </c>
      <c r="E28" s="20">
        <f>IFERROR(INDEX('Schedule_Data_Option_A'!H:H,MATCH($A28,'Schedule_Data_Option_A'!$C:$C,0)),"")</f>
        <v/>
      </c>
      <c r="F28" s="18">
        <f>IFERROR(INDEX('Schedule_Data_Option_A'!I:I,MATCH($A28,'Schedule_Data_Option_A'!$C:$C,0)),"")</f>
        <v/>
      </c>
      <c r="G28" s="18">
        <f>IFERROR(INDEX('Schedule_Data_Option_B'!D:D,MATCH($A28,'Schedule_Data_Option_B'!$C:$C,0)),"")</f>
        <v/>
      </c>
      <c r="H28" s="18">
        <f>IFERROR(INDEX('Schedule_Data_Option_B'!E:E,MATCH($A28,'Schedule_Data_Option_B'!$C:$C,0)),"")</f>
        <v/>
      </c>
      <c r="I28" s="20">
        <f>IFERROR(INDEX('Schedule_Data_Option_B'!G:G,MATCH($A28,'Schedule_Data_Option_B'!$C:$C,0)),"")</f>
        <v/>
      </c>
      <c r="J28" s="20">
        <f>IFERROR(INDEX('Schedule_Data_Option_B'!H:H,MATCH($A28,'Schedule_Data_Option_B'!$C:$C,0)),"")</f>
        <v/>
      </c>
      <c r="K28" s="18">
        <f>IFERROR(INDEX('Schedule_Data_Option_B'!I:I,MATCH($A28,'Schedule_Data_Option_B'!$C:$C,0)),"")</f>
        <v/>
      </c>
      <c r="L28" s="45">
        <f>IF(AND(D28&lt;&gt;"",I28&lt;&gt;""),I28-D28,"")</f>
        <v/>
      </c>
      <c r="M28" s="45">
        <f>IF(AND(E28&lt;&gt;"",J28&lt;&gt;""),J28-E28,"")</f>
        <v/>
      </c>
      <c r="N28" s="45">
        <f>IF(AND(F28&lt;&gt;"",K28&lt;&gt;""),K28-F28,"")</f>
        <v/>
      </c>
    </row>
    <row r="29">
      <c r="A29" s="18" t="inlineStr">
        <is>
          <t>A1071</t>
        </is>
      </c>
      <c r="B29" s="18">
        <f>IFERROR(INDEX('Schedule_Data_Option_A'!D:D,MATCH($A29,'Schedule_Data_Option_A'!$C:$C,0)),"")</f>
        <v/>
      </c>
      <c r="C29" s="18">
        <f>IFERROR(INDEX('Schedule_Data_Option_A'!E:E,MATCH($A29,'Schedule_Data_Option_A'!$C:$C,0)),"")</f>
        <v/>
      </c>
      <c r="D29" s="20">
        <f>IFERROR(INDEX('Schedule_Data_Option_A'!G:G,MATCH($A29,'Schedule_Data_Option_A'!$C:$C,0)),"")</f>
        <v/>
      </c>
      <c r="E29" s="20">
        <f>IFERROR(INDEX('Schedule_Data_Option_A'!H:H,MATCH($A29,'Schedule_Data_Option_A'!$C:$C,0)),"")</f>
        <v/>
      </c>
      <c r="F29" s="18">
        <f>IFERROR(INDEX('Schedule_Data_Option_A'!I:I,MATCH($A29,'Schedule_Data_Option_A'!$C:$C,0)),"")</f>
        <v/>
      </c>
      <c r="G29" s="18">
        <f>IFERROR(INDEX('Schedule_Data_Option_B'!D:D,MATCH($A29,'Schedule_Data_Option_B'!$C:$C,0)),"")</f>
        <v/>
      </c>
      <c r="H29" s="18">
        <f>IFERROR(INDEX('Schedule_Data_Option_B'!E:E,MATCH($A29,'Schedule_Data_Option_B'!$C:$C,0)),"")</f>
        <v/>
      </c>
      <c r="I29" s="20">
        <f>IFERROR(INDEX('Schedule_Data_Option_B'!G:G,MATCH($A29,'Schedule_Data_Option_B'!$C:$C,0)),"")</f>
        <v/>
      </c>
      <c r="J29" s="20">
        <f>IFERROR(INDEX('Schedule_Data_Option_B'!H:H,MATCH($A29,'Schedule_Data_Option_B'!$C:$C,0)),"")</f>
        <v/>
      </c>
      <c r="K29" s="18">
        <f>IFERROR(INDEX('Schedule_Data_Option_B'!I:I,MATCH($A29,'Schedule_Data_Option_B'!$C:$C,0)),"")</f>
        <v/>
      </c>
      <c r="L29" s="45">
        <f>IF(AND(D29&lt;&gt;"",I29&lt;&gt;""),I29-D29,"")</f>
        <v/>
      </c>
      <c r="M29" s="45">
        <f>IF(AND(E29&lt;&gt;"",J29&lt;&gt;""),J29-E29,"")</f>
        <v/>
      </c>
      <c r="N29" s="45">
        <f>IF(AND(F29&lt;&gt;"",K29&lt;&gt;""),K29-F29,"")</f>
        <v/>
      </c>
    </row>
    <row r="30">
      <c r="A30" s="18" t="inlineStr">
        <is>
          <t>A1072</t>
        </is>
      </c>
      <c r="B30" s="18">
        <f>IFERROR(INDEX('Schedule_Data_Option_A'!D:D,MATCH($A30,'Schedule_Data_Option_A'!$C:$C,0)),"")</f>
        <v/>
      </c>
      <c r="C30" s="18">
        <f>IFERROR(INDEX('Schedule_Data_Option_A'!E:E,MATCH($A30,'Schedule_Data_Option_A'!$C:$C,0)),"")</f>
        <v/>
      </c>
      <c r="D30" s="20">
        <f>IFERROR(INDEX('Schedule_Data_Option_A'!G:G,MATCH($A30,'Schedule_Data_Option_A'!$C:$C,0)),"")</f>
        <v/>
      </c>
      <c r="E30" s="20">
        <f>IFERROR(INDEX('Schedule_Data_Option_A'!H:H,MATCH($A30,'Schedule_Data_Option_A'!$C:$C,0)),"")</f>
        <v/>
      </c>
      <c r="F30" s="18">
        <f>IFERROR(INDEX('Schedule_Data_Option_A'!I:I,MATCH($A30,'Schedule_Data_Option_A'!$C:$C,0)),"")</f>
        <v/>
      </c>
      <c r="G30" s="18">
        <f>IFERROR(INDEX('Schedule_Data_Option_B'!D:D,MATCH($A30,'Schedule_Data_Option_B'!$C:$C,0)),"")</f>
        <v/>
      </c>
      <c r="H30" s="18">
        <f>IFERROR(INDEX('Schedule_Data_Option_B'!E:E,MATCH($A30,'Schedule_Data_Option_B'!$C:$C,0)),"")</f>
        <v/>
      </c>
      <c r="I30" s="20">
        <f>IFERROR(INDEX('Schedule_Data_Option_B'!G:G,MATCH($A30,'Schedule_Data_Option_B'!$C:$C,0)),"")</f>
        <v/>
      </c>
      <c r="J30" s="20">
        <f>IFERROR(INDEX('Schedule_Data_Option_B'!H:H,MATCH($A30,'Schedule_Data_Option_B'!$C:$C,0)),"")</f>
        <v/>
      </c>
      <c r="K30" s="18">
        <f>IFERROR(INDEX('Schedule_Data_Option_B'!I:I,MATCH($A30,'Schedule_Data_Option_B'!$C:$C,0)),"")</f>
        <v/>
      </c>
      <c r="L30" s="45">
        <f>IF(AND(D30&lt;&gt;"",I30&lt;&gt;""),I30-D30,"")</f>
        <v/>
      </c>
      <c r="M30" s="45">
        <f>IF(AND(E30&lt;&gt;"",J30&lt;&gt;""),J30-E30,"")</f>
        <v/>
      </c>
      <c r="N30" s="45">
        <f>IF(AND(F30&lt;&gt;"",K30&lt;&gt;""),K30-F30,"")</f>
        <v/>
      </c>
    </row>
    <row r="31">
      <c r="A31" s="18" t="inlineStr">
        <is>
          <t>A1073</t>
        </is>
      </c>
      <c r="B31" s="18">
        <f>IFERROR(INDEX('Schedule_Data_Option_A'!D:D,MATCH($A31,'Schedule_Data_Option_A'!$C:$C,0)),"")</f>
        <v/>
      </c>
      <c r="C31" s="18">
        <f>IFERROR(INDEX('Schedule_Data_Option_A'!E:E,MATCH($A31,'Schedule_Data_Option_A'!$C:$C,0)),"")</f>
        <v/>
      </c>
      <c r="D31" s="20">
        <f>IFERROR(INDEX('Schedule_Data_Option_A'!G:G,MATCH($A31,'Schedule_Data_Option_A'!$C:$C,0)),"")</f>
        <v/>
      </c>
      <c r="E31" s="20">
        <f>IFERROR(INDEX('Schedule_Data_Option_A'!H:H,MATCH($A31,'Schedule_Data_Option_A'!$C:$C,0)),"")</f>
        <v/>
      </c>
      <c r="F31" s="18">
        <f>IFERROR(INDEX('Schedule_Data_Option_A'!I:I,MATCH($A31,'Schedule_Data_Option_A'!$C:$C,0)),"")</f>
        <v/>
      </c>
      <c r="G31" s="18">
        <f>IFERROR(INDEX('Schedule_Data_Option_B'!D:D,MATCH($A31,'Schedule_Data_Option_B'!$C:$C,0)),"")</f>
        <v/>
      </c>
      <c r="H31" s="18">
        <f>IFERROR(INDEX('Schedule_Data_Option_B'!E:E,MATCH($A31,'Schedule_Data_Option_B'!$C:$C,0)),"")</f>
        <v/>
      </c>
      <c r="I31" s="20">
        <f>IFERROR(INDEX('Schedule_Data_Option_B'!G:G,MATCH($A31,'Schedule_Data_Option_B'!$C:$C,0)),"")</f>
        <v/>
      </c>
      <c r="J31" s="20">
        <f>IFERROR(INDEX('Schedule_Data_Option_B'!H:H,MATCH($A31,'Schedule_Data_Option_B'!$C:$C,0)),"")</f>
        <v/>
      </c>
      <c r="K31" s="18">
        <f>IFERROR(INDEX('Schedule_Data_Option_B'!I:I,MATCH($A31,'Schedule_Data_Option_B'!$C:$C,0)),"")</f>
        <v/>
      </c>
      <c r="L31" s="45">
        <f>IF(AND(D31&lt;&gt;"",I31&lt;&gt;""),I31-D31,"")</f>
        <v/>
      </c>
      <c r="M31" s="45">
        <f>IF(AND(E31&lt;&gt;"",J31&lt;&gt;""),J31-E31,"")</f>
        <v/>
      </c>
      <c r="N31" s="45">
        <f>IF(AND(F31&lt;&gt;"",K31&lt;&gt;""),K31-F31,"")</f>
        <v/>
      </c>
    </row>
    <row r="32">
      <c r="A32" s="18" t="inlineStr">
        <is>
          <t>A1074</t>
        </is>
      </c>
      <c r="B32" s="18">
        <f>IFERROR(INDEX('Schedule_Data_Option_A'!D:D,MATCH($A32,'Schedule_Data_Option_A'!$C:$C,0)),"")</f>
        <v/>
      </c>
      <c r="C32" s="18">
        <f>IFERROR(INDEX('Schedule_Data_Option_A'!E:E,MATCH($A32,'Schedule_Data_Option_A'!$C:$C,0)),"")</f>
        <v/>
      </c>
      <c r="D32" s="20">
        <f>IFERROR(INDEX('Schedule_Data_Option_A'!G:G,MATCH($A32,'Schedule_Data_Option_A'!$C:$C,0)),"")</f>
        <v/>
      </c>
      <c r="E32" s="20">
        <f>IFERROR(INDEX('Schedule_Data_Option_A'!H:H,MATCH($A32,'Schedule_Data_Option_A'!$C:$C,0)),"")</f>
        <v/>
      </c>
      <c r="F32" s="18">
        <f>IFERROR(INDEX('Schedule_Data_Option_A'!I:I,MATCH($A32,'Schedule_Data_Option_A'!$C:$C,0)),"")</f>
        <v/>
      </c>
      <c r="G32" s="18">
        <f>IFERROR(INDEX('Schedule_Data_Option_B'!D:D,MATCH($A32,'Schedule_Data_Option_B'!$C:$C,0)),"")</f>
        <v/>
      </c>
      <c r="H32" s="18">
        <f>IFERROR(INDEX('Schedule_Data_Option_B'!E:E,MATCH($A32,'Schedule_Data_Option_B'!$C:$C,0)),"")</f>
        <v/>
      </c>
      <c r="I32" s="20">
        <f>IFERROR(INDEX('Schedule_Data_Option_B'!G:G,MATCH($A32,'Schedule_Data_Option_B'!$C:$C,0)),"")</f>
        <v/>
      </c>
      <c r="J32" s="20">
        <f>IFERROR(INDEX('Schedule_Data_Option_B'!H:H,MATCH($A32,'Schedule_Data_Option_B'!$C:$C,0)),"")</f>
        <v/>
      </c>
      <c r="K32" s="18">
        <f>IFERROR(INDEX('Schedule_Data_Option_B'!I:I,MATCH($A32,'Schedule_Data_Option_B'!$C:$C,0)),"")</f>
        <v/>
      </c>
      <c r="L32" s="45">
        <f>IF(AND(D32&lt;&gt;"",I32&lt;&gt;""),I32-D32,"")</f>
        <v/>
      </c>
      <c r="M32" s="45">
        <f>IF(AND(E32&lt;&gt;"",J32&lt;&gt;""),J32-E32,"")</f>
        <v/>
      </c>
      <c r="N32" s="45">
        <f>IF(AND(F32&lt;&gt;"",K32&lt;&gt;""),K32-F32,"")</f>
        <v/>
      </c>
    </row>
    <row r="33">
      <c r="A33" s="18" t="inlineStr">
        <is>
          <t>A1075</t>
        </is>
      </c>
      <c r="B33" s="18">
        <f>IFERROR(INDEX('Schedule_Data_Option_A'!D:D,MATCH($A33,'Schedule_Data_Option_A'!$C:$C,0)),"")</f>
        <v/>
      </c>
      <c r="C33" s="18">
        <f>IFERROR(INDEX('Schedule_Data_Option_A'!E:E,MATCH($A33,'Schedule_Data_Option_A'!$C:$C,0)),"")</f>
        <v/>
      </c>
      <c r="D33" s="20">
        <f>IFERROR(INDEX('Schedule_Data_Option_A'!G:G,MATCH($A33,'Schedule_Data_Option_A'!$C:$C,0)),"")</f>
        <v/>
      </c>
      <c r="E33" s="20">
        <f>IFERROR(INDEX('Schedule_Data_Option_A'!H:H,MATCH($A33,'Schedule_Data_Option_A'!$C:$C,0)),"")</f>
        <v/>
      </c>
      <c r="F33" s="18">
        <f>IFERROR(INDEX('Schedule_Data_Option_A'!I:I,MATCH($A33,'Schedule_Data_Option_A'!$C:$C,0)),"")</f>
        <v/>
      </c>
      <c r="G33" s="18">
        <f>IFERROR(INDEX('Schedule_Data_Option_B'!D:D,MATCH($A33,'Schedule_Data_Option_B'!$C:$C,0)),"")</f>
        <v/>
      </c>
      <c r="H33" s="18">
        <f>IFERROR(INDEX('Schedule_Data_Option_B'!E:E,MATCH($A33,'Schedule_Data_Option_B'!$C:$C,0)),"")</f>
        <v/>
      </c>
      <c r="I33" s="20">
        <f>IFERROR(INDEX('Schedule_Data_Option_B'!G:G,MATCH($A33,'Schedule_Data_Option_B'!$C:$C,0)),"")</f>
        <v/>
      </c>
      <c r="J33" s="20">
        <f>IFERROR(INDEX('Schedule_Data_Option_B'!H:H,MATCH($A33,'Schedule_Data_Option_B'!$C:$C,0)),"")</f>
        <v/>
      </c>
      <c r="K33" s="18">
        <f>IFERROR(INDEX('Schedule_Data_Option_B'!I:I,MATCH($A33,'Schedule_Data_Option_B'!$C:$C,0)),"")</f>
        <v/>
      </c>
      <c r="L33" s="45">
        <f>IF(AND(D33&lt;&gt;"",I33&lt;&gt;""),I33-D33,"")</f>
        <v/>
      </c>
      <c r="M33" s="45">
        <f>IF(AND(E33&lt;&gt;"",J33&lt;&gt;""),J33-E33,"")</f>
        <v/>
      </c>
      <c r="N33" s="45">
        <f>IF(AND(F33&lt;&gt;"",K33&lt;&gt;""),K33-F33,"")</f>
        <v/>
      </c>
    </row>
    <row r="34">
      <c r="A34" s="18" t="inlineStr">
        <is>
          <t>A1080</t>
        </is>
      </c>
      <c r="B34" s="18">
        <f>IFERROR(INDEX('Schedule_Data_Option_A'!D:D,MATCH($A34,'Schedule_Data_Option_A'!$C:$C,0)),"")</f>
        <v/>
      </c>
      <c r="C34" s="18">
        <f>IFERROR(INDEX('Schedule_Data_Option_A'!E:E,MATCH($A34,'Schedule_Data_Option_A'!$C:$C,0)),"")</f>
        <v/>
      </c>
      <c r="D34" s="20">
        <f>IFERROR(INDEX('Schedule_Data_Option_A'!G:G,MATCH($A34,'Schedule_Data_Option_A'!$C:$C,0)),"")</f>
        <v/>
      </c>
      <c r="E34" s="20">
        <f>IFERROR(INDEX('Schedule_Data_Option_A'!H:H,MATCH($A34,'Schedule_Data_Option_A'!$C:$C,0)),"")</f>
        <v/>
      </c>
      <c r="F34" s="18">
        <f>IFERROR(INDEX('Schedule_Data_Option_A'!I:I,MATCH($A34,'Schedule_Data_Option_A'!$C:$C,0)),"")</f>
        <v/>
      </c>
      <c r="G34" s="18">
        <f>IFERROR(INDEX('Schedule_Data_Option_B'!D:D,MATCH($A34,'Schedule_Data_Option_B'!$C:$C,0)),"")</f>
        <v/>
      </c>
      <c r="H34" s="18">
        <f>IFERROR(INDEX('Schedule_Data_Option_B'!E:E,MATCH($A34,'Schedule_Data_Option_B'!$C:$C,0)),"")</f>
        <v/>
      </c>
      <c r="I34" s="20">
        <f>IFERROR(INDEX('Schedule_Data_Option_B'!G:G,MATCH($A34,'Schedule_Data_Option_B'!$C:$C,0)),"")</f>
        <v/>
      </c>
      <c r="J34" s="20">
        <f>IFERROR(INDEX('Schedule_Data_Option_B'!H:H,MATCH($A34,'Schedule_Data_Option_B'!$C:$C,0)),"")</f>
        <v/>
      </c>
      <c r="K34" s="18">
        <f>IFERROR(INDEX('Schedule_Data_Option_B'!I:I,MATCH($A34,'Schedule_Data_Option_B'!$C:$C,0)),"")</f>
        <v/>
      </c>
      <c r="L34" s="45">
        <f>IF(AND(D34&lt;&gt;"",I34&lt;&gt;""),I34-D34,"")</f>
        <v/>
      </c>
      <c r="M34" s="45">
        <f>IF(AND(E34&lt;&gt;"",J34&lt;&gt;""),J34-E34,"")</f>
        <v/>
      </c>
      <c r="N34" s="45">
        <f>IF(AND(F34&lt;&gt;"",K34&lt;&gt;""),K34-F34,"")</f>
        <v/>
      </c>
    </row>
    <row r="35">
      <c r="A35" s="18" t="inlineStr">
        <is>
          <t>A1081</t>
        </is>
      </c>
      <c r="B35" s="18">
        <f>IFERROR(INDEX('Schedule_Data_Option_A'!D:D,MATCH($A35,'Schedule_Data_Option_A'!$C:$C,0)),"")</f>
        <v/>
      </c>
      <c r="C35" s="18">
        <f>IFERROR(INDEX('Schedule_Data_Option_A'!E:E,MATCH($A35,'Schedule_Data_Option_A'!$C:$C,0)),"")</f>
        <v/>
      </c>
      <c r="D35" s="20">
        <f>IFERROR(INDEX('Schedule_Data_Option_A'!G:G,MATCH($A35,'Schedule_Data_Option_A'!$C:$C,0)),"")</f>
        <v/>
      </c>
      <c r="E35" s="20">
        <f>IFERROR(INDEX('Schedule_Data_Option_A'!H:H,MATCH($A35,'Schedule_Data_Option_A'!$C:$C,0)),"")</f>
        <v/>
      </c>
      <c r="F35" s="18">
        <f>IFERROR(INDEX('Schedule_Data_Option_A'!I:I,MATCH($A35,'Schedule_Data_Option_A'!$C:$C,0)),"")</f>
        <v/>
      </c>
      <c r="G35" s="18">
        <f>IFERROR(INDEX('Schedule_Data_Option_B'!D:D,MATCH($A35,'Schedule_Data_Option_B'!$C:$C,0)),"")</f>
        <v/>
      </c>
      <c r="H35" s="18">
        <f>IFERROR(INDEX('Schedule_Data_Option_B'!E:E,MATCH($A35,'Schedule_Data_Option_B'!$C:$C,0)),"")</f>
        <v/>
      </c>
      <c r="I35" s="20">
        <f>IFERROR(INDEX('Schedule_Data_Option_B'!G:G,MATCH($A35,'Schedule_Data_Option_B'!$C:$C,0)),"")</f>
        <v/>
      </c>
      <c r="J35" s="20">
        <f>IFERROR(INDEX('Schedule_Data_Option_B'!H:H,MATCH($A35,'Schedule_Data_Option_B'!$C:$C,0)),"")</f>
        <v/>
      </c>
      <c r="K35" s="18">
        <f>IFERROR(INDEX('Schedule_Data_Option_B'!I:I,MATCH($A35,'Schedule_Data_Option_B'!$C:$C,0)),"")</f>
        <v/>
      </c>
      <c r="L35" s="45">
        <f>IF(AND(D35&lt;&gt;"",I35&lt;&gt;""),I35-D35,"")</f>
        <v/>
      </c>
      <c r="M35" s="45">
        <f>IF(AND(E35&lt;&gt;"",J35&lt;&gt;""),J35-E35,"")</f>
        <v/>
      </c>
      <c r="N35" s="45">
        <f>IF(AND(F35&lt;&gt;"",K35&lt;&gt;""),K35-F35,"")</f>
        <v/>
      </c>
    </row>
    <row r="36">
      <c r="A36" s="18" t="inlineStr">
        <is>
          <t>A1090</t>
        </is>
      </c>
      <c r="B36" s="18">
        <f>IFERROR(INDEX('Schedule_Data_Option_A'!D:D,MATCH($A36,'Schedule_Data_Option_A'!$C:$C,0)),"")</f>
        <v/>
      </c>
      <c r="C36" s="18">
        <f>IFERROR(INDEX('Schedule_Data_Option_A'!E:E,MATCH($A36,'Schedule_Data_Option_A'!$C:$C,0)),"")</f>
        <v/>
      </c>
      <c r="D36" s="20">
        <f>IFERROR(INDEX('Schedule_Data_Option_A'!G:G,MATCH($A36,'Schedule_Data_Option_A'!$C:$C,0)),"")</f>
        <v/>
      </c>
      <c r="E36" s="20">
        <f>IFERROR(INDEX('Schedule_Data_Option_A'!H:H,MATCH($A36,'Schedule_Data_Option_A'!$C:$C,0)),"")</f>
        <v/>
      </c>
      <c r="F36" s="18">
        <f>IFERROR(INDEX('Schedule_Data_Option_A'!I:I,MATCH($A36,'Schedule_Data_Option_A'!$C:$C,0)),"")</f>
        <v/>
      </c>
      <c r="G36" s="18">
        <f>IFERROR(INDEX('Schedule_Data_Option_B'!D:D,MATCH($A36,'Schedule_Data_Option_B'!$C:$C,0)),"")</f>
        <v/>
      </c>
      <c r="H36" s="18">
        <f>IFERROR(INDEX('Schedule_Data_Option_B'!E:E,MATCH($A36,'Schedule_Data_Option_B'!$C:$C,0)),"")</f>
        <v/>
      </c>
      <c r="I36" s="20">
        <f>IFERROR(INDEX('Schedule_Data_Option_B'!G:G,MATCH($A36,'Schedule_Data_Option_B'!$C:$C,0)),"")</f>
        <v/>
      </c>
      <c r="J36" s="20">
        <f>IFERROR(INDEX('Schedule_Data_Option_B'!H:H,MATCH($A36,'Schedule_Data_Option_B'!$C:$C,0)),"")</f>
        <v/>
      </c>
      <c r="K36" s="18">
        <f>IFERROR(INDEX('Schedule_Data_Option_B'!I:I,MATCH($A36,'Schedule_Data_Option_B'!$C:$C,0)),"")</f>
        <v/>
      </c>
      <c r="L36" s="45">
        <f>IF(AND(D36&lt;&gt;"",I36&lt;&gt;""),I36-D36,"")</f>
        <v/>
      </c>
      <c r="M36" s="45">
        <f>IF(AND(E36&lt;&gt;"",J36&lt;&gt;""),J36-E36,"")</f>
        <v/>
      </c>
      <c r="N36" s="45">
        <f>IF(AND(F36&lt;&gt;"",K36&lt;&gt;""),K36-F36,"")</f>
        <v/>
      </c>
    </row>
    <row r="37">
      <c r="A37" s="18" t="inlineStr">
        <is>
          <t>A1091</t>
        </is>
      </c>
      <c r="B37" s="18">
        <f>IFERROR(INDEX('Schedule_Data_Option_A'!D:D,MATCH($A37,'Schedule_Data_Option_A'!$C:$C,0)),"")</f>
        <v/>
      </c>
      <c r="C37" s="18">
        <f>IFERROR(INDEX('Schedule_Data_Option_A'!E:E,MATCH($A37,'Schedule_Data_Option_A'!$C:$C,0)),"")</f>
        <v/>
      </c>
      <c r="D37" s="20">
        <f>IFERROR(INDEX('Schedule_Data_Option_A'!G:G,MATCH($A37,'Schedule_Data_Option_A'!$C:$C,0)),"")</f>
        <v/>
      </c>
      <c r="E37" s="20">
        <f>IFERROR(INDEX('Schedule_Data_Option_A'!H:H,MATCH($A37,'Schedule_Data_Option_A'!$C:$C,0)),"")</f>
        <v/>
      </c>
      <c r="F37" s="18">
        <f>IFERROR(INDEX('Schedule_Data_Option_A'!I:I,MATCH($A37,'Schedule_Data_Option_A'!$C:$C,0)),"")</f>
        <v/>
      </c>
      <c r="G37" s="18">
        <f>IFERROR(INDEX('Schedule_Data_Option_B'!D:D,MATCH($A37,'Schedule_Data_Option_B'!$C:$C,0)),"")</f>
        <v/>
      </c>
      <c r="H37" s="18">
        <f>IFERROR(INDEX('Schedule_Data_Option_B'!E:E,MATCH($A37,'Schedule_Data_Option_B'!$C:$C,0)),"")</f>
        <v/>
      </c>
      <c r="I37" s="20">
        <f>IFERROR(INDEX('Schedule_Data_Option_B'!G:G,MATCH($A37,'Schedule_Data_Option_B'!$C:$C,0)),"")</f>
        <v/>
      </c>
      <c r="J37" s="20">
        <f>IFERROR(INDEX('Schedule_Data_Option_B'!H:H,MATCH($A37,'Schedule_Data_Option_B'!$C:$C,0)),"")</f>
        <v/>
      </c>
      <c r="K37" s="18">
        <f>IFERROR(INDEX('Schedule_Data_Option_B'!I:I,MATCH($A37,'Schedule_Data_Option_B'!$C:$C,0)),"")</f>
        <v/>
      </c>
      <c r="L37" s="45">
        <f>IF(AND(D37&lt;&gt;"",I37&lt;&gt;""),I37-D37,"")</f>
        <v/>
      </c>
      <c r="M37" s="45">
        <f>IF(AND(E37&lt;&gt;"",J37&lt;&gt;""),J37-E37,"")</f>
        <v/>
      </c>
      <c r="N37" s="45">
        <f>IF(AND(F37&lt;&gt;"",K37&lt;&gt;""),K37-F37,"")</f>
        <v/>
      </c>
    </row>
    <row r="38">
      <c r="A38" s="18" t="inlineStr">
        <is>
          <t>A1100</t>
        </is>
      </c>
      <c r="B38" s="18">
        <f>IFERROR(INDEX('Schedule_Data_Option_A'!D:D,MATCH($A38,'Schedule_Data_Option_A'!$C:$C,0)),"")</f>
        <v/>
      </c>
      <c r="C38" s="18">
        <f>IFERROR(INDEX('Schedule_Data_Option_A'!E:E,MATCH($A38,'Schedule_Data_Option_A'!$C:$C,0)),"")</f>
        <v/>
      </c>
      <c r="D38" s="20">
        <f>IFERROR(INDEX('Schedule_Data_Option_A'!G:G,MATCH($A38,'Schedule_Data_Option_A'!$C:$C,0)),"")</f>
        <v/>
      </c>
      <c r="E38" s="20">
        <f>IFERROR(INDEX('Schedule_Data_Option_A'!H:H,MATCH($A38,'Schedule_Data_Option_A'!$C:$C,0)),"")</f>
        <v/>
      </c>
      <c r="F38" s="18">
        <f>IFERROR(INDEX('Schedule_Data_Option_A'!I:I,MATCH($A38,'Schedule_Data_Option_A'!$C:$C,0)),"")</f>
        <v/>
      </c>
      <c r="G38" s="18">
        <f>IFERROR(INDEX('Schedule_Data_Option_B'!D:D,MATCH($A38,'Schedule_Data_Option_B'!$C:$C,0)),"")</f>
        <v/>
      </c>
      <c r="H38" s="18">
        <f>IFERROR(INDEX('Schedule_Data_Option_B'!E:E,MATCH($A38,'Schedule_Data_Option_B'!$C:$C,0)),"")</f>
        <v/>
      </c>
      <c r="I38" s="20">
        <f>IFERROR(INDEX('Schedule_Data_Option_B'!G:G,MATCH($A38,'Schedule_Data_Option_B'!$C:$C,0)),"")</f>
        <v/>
      </c>
      <c r="J38" s="20">
        <f>IFERROR(INDEX('Schedule_Data_Option_B'!H:H,MATCH($A38,'Schedule_Data_Option_B'!$C:$C,0)),"")</f>
        <v/>
      </c>
      <c r="K38" s="18">
        <f>IFERROR(INDEX('Schedule_Data_Option_B'!I:I,MATCH($A38,'Schedule_Data_Option_B'!$C:$C,0)),"")</f>
        <v/>
      </c>
      <c r="L38" s="45">
        <f>IF(AND(D38&lt;&gt;"",I38&lt;&gt;""),I38-D38,"")</f>
        <v/>
      </c>
      <c r="M38" s="45">
        <f>IF(AND(E38&lt;&gt;"",J38&lt;&gt;""),J38-E38,"")</f>
        <v/>
      </c>
      <c r="N38" s="45">
        <f>IF(AND(F38&lt;&gt;"",K38&lt;&gt;""),K38-F38,"")</f>
        <v/>
      </c>
    </row>
    <row r="39">
      <c r="A39" s="18" t="inlineStr">
        <is>
          <t>A1110</t>
        </is>
      </c>
      <c r="B39" s="18">
        <f>IFERROR(INDEX('Schedule_Data_Option_A'!D:D,MATCH($A39,'Schedule_Data_Option_A'!$C:$C,0)),"")</f>
        <v/>
      </c>
      <c r="C39" s="18">
        <f>IFERROR(INDEX('Schedule_Data_Option_A'!E:E,MATCH($A39,'Schedule_Data_Option_A'!$C:$C,0)),"")</f>
        <v/>
      </c>
      <c r="D39" s="20">
        <f>IFERROR(INDEX('Schedule_Data_Option_A'!G:G,MATCH($A39,'Schedule_Data_Option_A'!$C:$C,0)),"")</f>
        <v/>
      </c>
      <c r="E39" s="20">
        <f>IFERROR(INDEX('Schedule_Data_Option_A'!H:H,MATCH($A39,'Schedule_Data_Option_A'!$C:$C,0)),"")</f>
        <v/>
      </c>
      <c r="F39" s="18">
        <f>IFERROR(INDEX('Schedule_Data_Option_A'!I:I,MATCH($A39,'Schedule_Data_Option_A'!$C:$C,0)),"")</f>
        <v/>
      </c>
      <c r="G39" s="18">
        <f>IFERROR(INDEX('Schedule_Data_Option_B'!D:D,MATCH($A39,'Schedule_Data_Option_B'!$C:$C,0)),"")</f>
        <v/>
      </c>
      <c r="H39" s="18">
        <f>IFERROR(INDEX('Schedule_Data_Option_B'!E:E,MATCH($A39,'Schedule_Data_Option_B'!$C:$C,0)),"")</f>
        <v/>
      </c>
      <c r="I39" s="20">
        <f>IFERROR(INDEX('Schedule_Data_Option_B'!G:G,MATCH($A39,'Schedule_Data_Option_B'!$C:$C,0)),"")</f>
        <v/>
      </c>
      <c r="J39" s="20">
        <f>IFERROR(INDEX('Schedule_Data_Option_B'!H:H,MATCH($A39,'Schedule_Data_Option_B'!$C:$C,0)),"")</f>
        <v/>
      </c>
      <c r="K39" s="18">
        <f>IFERROR(INDEX('Schedule_Data_Option_B'!I:I,MATCH($A39,'Schedule_Data_Option_B'!$C:$C,0)),"")</f>
        <v/>
      </c>
      <c r="L39" s="45">
        <f>IF(AND(D39&lt;&gt;"",I39&lt;&gt;""),I39-D39,"")</f>
        <v/>
      </c>
      <c r="M39" s="45">
        <f>IF(AND(E39&lt;&gt;"",J39&lt;&gt;""),J39-E39,"")</f>
        <v/>
      </c>
      <c r="N39" s="45">
        <f>IF(AND(F39&lt;&gt;"",K39&lt;&gt;""),K39-F39,"")</f>
        <v/>
      </c>
    </row>
    <row r="40">
      <c r="A40" s="18" t="inlineStr">
        <is>
          <t>A1120</t>
        </is>
      </c>
      <c r="B40" s="18">
        <f>IFERROR(INDEX('Schedule_Data_Option_A'!D:D,MATCH($A40,'Schedule_Data_Option_A'!$C:$C,0)),"")</f>
        <v/>
      </c>
      <c r="C40" s="18">
        <f>IFERROR(INDEX('Schedule_Data_Option_A'!E:E,MATCH($A40,'Schedule_Data_Option_A'!$C:$C,0)),"")</f>
        <v/>
      </c>
      <c r="D40" s="20">
        <f>IFERROR(INDEX('Schedule_Data_Option_A'!G:G,MATCH($A40,'Schedule_Data_Option_A'!$C:$C,0)),"")</f>
        <v/>
      </c>
      <c r="E40" s="20">
        <f>IFERROR(INDEX('Schedule_Data_Option_A'!H:H,MATCH($A40,'Schedule_Data_Option_A'!$C:$C,0)),"")</f>
        <v/>
      </c>
      <c r="F40" s="18">
        <f>IFERROR(INDEX('Schedule_Data_Option_A'!I:I,MATCH($A40,'Schedule_Data_Option_A'!$C:$C,0)),"")</f>
        <v/>
      </c>
      <c r="G40" s="18">
        <f>IFERROR(INDEX('Schedule_Data_Option_B'!D:D,MATCH($A40,'Schedule_Data_Option_B'!$C:$C,0)),"")</f>
        <v/>
      </c>
      <c r="H40" s="18">
        <f>IFERROR(INDEX('Schedule_Data_Option_B'!E:E,MATCH($A40,'Schedule_Data_Option_B'!$C:$C,0)),"")</f>
        <v/>
      </c>
      <c r="I40" s="20">
        <f>IFERROR(INDEX('Schedule_Data_Option_B'!G:G,MATCH($A40,'Schedule_Data_Option_B'!$C:$C,0)),"")</f>
        <v/>
      </c>
      <c r="J40" s="20">
        <f>IFERROR(INDEX('Schedule_Data_Option_B'!H:H,MATCH($A40,'Schedule_Data_Option_B'!$C:$C,0)),"")</f>
        <v/>
      </c>
      <c r="K40" s="18">
        <f>IFERROR(INDEX('Schedule_Data_Option_B'!I:I,MATCH($A40,'Schedule_Data_Option_B'!$C:$C,0)),"")</f>
        <v/>
      </c>
      <c r="L40" s="45">
        <f>IF(AND(D40&lt;&gt;"",I40&lt;&gt;""),I40-D40,"")</f>
        <v/>
      </c>
      <c r="M40" s="45">
        <f>IF(AND(E40&lt;&gt;"",J40&lt;&gt;""),J40-E40,"")</f>
        <v/>
      </c>
      <c r="N40" s="45">
        <f>IF(AND(F40&lt;&gt;"",K40&lt;&gt;""),K40-F40,"")</f>
        <v/>
      </c>
    </row>
    <row r="41">
      <c r="A41" s="18" t="inlineStr">
        <is>
          <t>A1121</t>
        </is>
      </c>
      <c r="B41" s="18">
        <f>IFERROR(INDEX('Schedule_Data_Option_A'!D:D,MATCH($A41,'Schedule_Data_Option_A'!$C:$C,0)),"")</f>
        <v/>
      </c>
      <c r="C41" s="18">
        <f>IFERROR(INDEX('Schedule_Data_Option_A'!E:E,MATCH($A41,'Schedule_Data_Option_A'!$C:$C,0)),"")</f>
        <v/>
      </c>
      <c r="D41" s="20">
        <f>IFERROR(INDEX('Schedule_Data_Option_A'!G:G,MATCH($A41,'Schedule_Data_Option_A'!$C:$C,0)),"")</f>
        <v/>
      </c>
      <c r="E41" s="20">
        <f>IFERROR(INDEX('Schedule_Data_Option_A'!H:H,MATCH($A41,'Schedule_Data_Option_A'!$C:$C,0)),"")</f>
        <v/>
      </c>
      <c r="F41" s="18">
        <f>IFERROR(INDEX('Schedule_Data_Option_A'!I:I,MATCH($A41,'Schedule_Data_Option_A'!$C:$C,0)),"")</f>
        <v/>
      </c>
      <c r="G41" s="18">
        <f>IFERROR(INDEX('Schedule_Data_Option_B'!D:D,MATCH($A41,'Schedule_Data_Option_B'!$C:$C,0)),"")</f>
        <v/>
      </c>
      <c r="H41" s="18">
        <f>IFERROR(INDEX('Schedule_Data_Option_B'!E:E,MATCH($A41,'Schedule_Data_Option_B'!$C:$C,0)),"")</f>
        <v/>
      </c>
      <c r="I41" s="20">
        <f>IFERROR(INDEX('Schedule_Data_Option_B'!G:G,MATCH($A41,'Schedule_Data_Option_B'!$C:$C,0)),"")</f>
        <v/>
      </c>
      <c r="J41" s="20">
        <f>IFERROR(INDEX('Schedule_Data_Option_B'!H:H,MATCH($A41,'Schedule_Data_Option_B'!$C:$C,0)),"")</f>
        <v/>
      </c>
      <c r="K41" s="18">
        <f>IFERROR(INDEX('Schedule_Data_Option_B'!I:I,MATCH($A41,'Schedule_Data_Option_B'!$C:$C,0)),"")</f>
        <v/>
      </c>
      <c r="L41" s="45">
        <f>IF(AND(D41&lt;&gt;"",I41&lt;&gt;""),I41-D41,"")</f>
        <v/>
      </c>
      <c r="M41" s="45">
        <f>IF(AND(E41&lt;&gt;"",J41&lt;&gt;""),J41-E41,"")</f>
        <v/>
      </c>
      <c r="N41" s="45">
        <f>IF(AND(F41&lt;&gt;"",K41&lt;&gt;""),K41-F41,"")</f>
        <v/>
      </c>
    </row>
    <row r="42">
      <c r="A42" s="18" t="inlineStr">
        <is>
          <t>A1122</t>
        </is>
      </c>
      <c r="B42" s="18">
        <f>IFERROR(INDEX('Schedule_Data_Option_A'!D:D,MATCH($A42,'Schedule_Data_Option_A'!$C:$C,0)),"")</f>
        <v/>
      </c>
      <c r="C42" s="18">
        <f>IFERROR(INDEX('Schedule_Data_Option_A'!E:E,MATCH($A42,'Schedule_Data_Option_A'!$C:$C,0)),"")</f>
        <v/>
      </c>
      <c r="D42" s="20">
        <f>IFERROR(INDEX('Schedule_Data_Option_A'!G:G,MATCH($A42,'Schedule_Data_Option_A'!$C:$C,0)),"")</f>
        <v/>
      </c>
      <c r="E42" s="20">
        <f>IFERROR(INDEX('Schedule_Data_Option_A'!H:H,MATCH($A42,'Schedule_Data_Option_A'!$C:$C,0)),"")</f>
        <v/>
      </c>
      <c r="F42" s="18">
        <f>IFERROR(INDEX('Schedule_Data_Option_A'!I:I,MATCH($A42,'Schedule_Data_Option_A'!$C:$C,0)),"")</f>
        <v/>
      </c>
      <c r="G42" s="18">
        <f>IFERROR(INDEX('Schedule_Data_Option_B'!D:D,MATCH($A42,'Schedule_Data_Option_B'!$C:$C,0)),"")</f>
        <v/>
      </c>
      <c r="H42" s="18">
        <f>IFERROR(INDEX('Schedule_Data_Option_B'!E:E,MATCH($A42,'Schedule_Data_Option_B'!$C:$C,0)),"")</f>
        <v/>
      </c>
      <c r="I42" s="20">
        <f>IFERROR(INDEX('Schedule_Data_Option_B'!G:G,MATCH($A42,'Schedule_Data_Option_B'!$C:$C,0)),"")</f>
        <v/>
      </c>
      <c r="J42" s="20">
        <f>IFERROR(INDEX('Schedule_Data_Option_B'!H:H,MATCH($A42,'Schedule_Data_Option_B'!$C:$C,0)),"")</f>
        <v/>
      </c>
      <c r="K42" s="18">
        <f>IFERROR(INDEX('Schedule_Data_Option_B'!I:I,MATCH($A42,'Schedule_Data_Option_B'!$C:$C,0)),"")</f>
        <v/>
      </c>
      <c r="L42" s="45">
        <f>IF(AND(D42&lt;&gt;"",I42&lt;&gt;""),I42-D42,"")</f>
        <v/>
      </c>
      <c r="M42" s="45">
        <f>IF(AND(E42&lt;&gt;"",J42&lt;&gt;""),J42-E42,"")</f>
        <v/>
      </c>
      <c r="N42" s="45">
        <f>IF(AND(F42&lt;&gt;"",K42&lt;&gt;""),K42-F42,"")</f>
        <v/>
      </c>
    </row>
    <row r="43">
      <c r="A43" s="18" t="inlineStr">
        <is>
          <t>A1140</t>
        </is>
      </c>
      <c r="B43" s="18">
        <f>IFERROR(INDEX('Schedule_Data_Option_A'!D:D,MATCH($A43,'Schedule_Data_Option_A'!$C:$C,0)),"")</f>
        <v/>
      </c>
      <c r="C43" s="18">
        <f>IFERROR(INDEX('Schedule_Data_Option_A'!E:E,MATCH($A43,'Schedule_Data_Option_A'!$C:$C,0)),"")</f>
        <v/>
      </c>
      <c r="D43" s="20">
        <f>IFERROR(INDEX('Schedule_Data_Option_A'!G:G,MATCH($A43,'Schedule_Data_Option_A'!$C:$C,0)),"")</f>
        <v/>
      </c>
      <c r="E43" s="20">
        <f>IFERROR(INDEX('Schedule_Data_Option_A'!H:H,MATCH($A43,'Schedule_Data_Option_A'!$C:$C,0)),"")</f>
        <v/>
      </c>
      <c r="F43" s="18">
        <f>IFERROR(INDEX('Schedule_Data_Option_A'!I:I,MATCH($A43,'Schedule_Data_Option_A'!$C:$C,0)),"")</f>
        <v/>
      </c>
      <c r="G43" s="18">
        <f>IFERROR(INDEX('Schedule_Data_Option_B'!D:D,MATCH($A43,'Schedule_Data_Option_B'!$C:$C,0)),"")</f>
        <v/>
      </c>
      <c r="H43" s="18">
        <f>IFERROR(INDEX('Schedule_Data_Option_B'!E:E,MATCH($A43,'Schedule_Data_Option_B'!$C:$C,0)),"")</f>
        <v/>
      </c>
      <c r="I43" s="20">
        <f>IFERROR(INDEX('Schedule_Data_Option_B'!G:G,MATCH($A43,'Schedule_Data_Option_B'!$C:$C,0)),"")</f>
        <v/>
      </c>
      <c r="J43" s="20">
        <f>IFERROR(INDEX('Schedule_Data_Option_B'!H:H,MATCH($A43,'Schedule_Data_Option_B'!$C:$C,0)),"")</f>
        <v/>
      </c>
      <c r="K43" s="18">
        <f>IFERROR(INDEX('Schedule_Data_Option_B'!I:I,MATCH($A43,'Schedule_Data_Option_B'!$C:$C,0)),"")</f>
        <v/>
      </c>
      <c r="L43" s="45">
        <f>IF(AND(D43&lt;&gt;"",I43&lt;&gt;""),I43-D43,"")</f>
        <v/>
      </c>
      <c r="M43" s="45">
        <f>IF(AND(E43&lt;&gt;"",J43&lt;&gt;""),J43-E43,"")</f>
        <v/>
      </c>
      <c r="N43" s="45">
        <f>IF(AND(F43&lt;&gt;"",K43&lt;&gt;""),K43-F43,"")</f>
        <v/>
      </c>
    </row>
    <row r="44">
      <c r="A44" s="18" t="inlineStr">
        <is>
          <t>A1141</t>
        </is>
      </c>
      <c r="B44" s="18">
        <f>IFERROR(INDEX('Schedule_Data_Option_A'!D:D,MATCH($A44,'Schedule_Data_Option_A'!$C:$C,0)),"")</f>
        <v/>
      </c>
      <c r="C44" s="18">
        <f>IFERROR(INDEX('Schedule_Data_Option_A'!E:E,MATCH($A44,'Schedule_Data_Option_A'!$C:$C,0)),"")</f>
        <v/>
      </c>
      <c r="D44" s="20">
        <f>IFERROR(INDEX('Schedule_Data_Option_A'!G:G,MATCH($A44,'Schedule_Data_Option_A'!$C:$C,0)),"")</f>
        <v/>
      </c>
      <c r="E44" s="20">
        <f>IFERROR(INDEX('Schedule_Data_Option_A'!H:H,MATCH($A44,'Schedule_Data_Option_A'!$C:$C,0)),"")</f>
        <v/>
      </c>
      <c r="F44" s="18">
        <f>IFERROR(INDEX('Schedule_Data_Option_A'!I:I,MATCH($A44,'Schedule_Data_Option_A'!$C:$C,0)),"")</f>
        <v/>
      </c>
      <c r="G44" s="18">
        <f>IFERROR(INDEX('Schedule_Data_Option_B'!D:D,MATCH($A44,'Schedule_Data_Option_B'!$C:$C,0)),"")</f>
        <v/>
      </c>
      <c r="H44" s="18">
        <f>IFERROR(INDEX('Schedule_Data_Option_B'!E:E,MATCH($A44,'Schedule_Data_Option_B'!$C:$C,0)),"")</f>
        <v/>
      </c>
      <c r="I44" s="20">
        <f>IFERROR(INDEX('Schedule_Data_Option_B'!G:G,MATCH($A44,'Schedule_Data_Option_B'!$C:$C,0)),"")</f>
        <v/>
      </c>
      <c r="J44" s="20">
        <f>IFERROR(INDEX('Schedule_Data_Option_B'!H:H,MATCH($A44,'Schedule_Data_Option_B'!$C:$C,0)),"")</f>
        <v/>
      </c>
      <c r="K44" s="18">
        <f>IFERROR(INDEX('Schedule_Data_Option_B'!I:I,MATCH($A44,'Schedule_Data_Option_B'!$C:$C,0)),"")</f>
        <v/>
      </c>
      <c r="L44" s="45">
        <f>IF(AND(D44&lt;&gt;"",I44&lt;&gt;""),I44-D44,"")</f>
        <v/>
      </c>
      <c r="M44" s="45">
        <f>IF(AND(E44&lt;&gt;"",J44&lt;&gt;""),J44-E44,"")</f>
        <v/>
      </c>
      <c r="N44" s="45">
        <f>IF(AND(F44&lt;&gt;"",K44&lt;&gt;""),K44-F44,"")</f>
        <v/>
      </c>
    </row>
    <row r="45">
      <c r="A45" s="18" t="inlineStr">
        <is>
          <t>A1150</t>
        </is>
      </c>
      <c r="B45" s="18">
        <f>IFERROR(INDEX('Schedule_Data_Option_A'!D:D,MATCH($A45,'Schedule_Data_Option_A'!$C:$C,0)),"")</f>
        <v/>
      </c>
      <c r="C45" s="18">
        <f>IFERROR(INDEX('Schedule_Data_Option_A'!E:E,MATCH($A45,'Schedule_Data_Option_A'!$C:$C,0)),"")</f>
        <v/>
      </c>
      <c r="D45" s="20">
        <f>IFERROR(INDEX('Schedule_Data_Option_A'!G:G,MATCH($A45,'Schedule_Data_Option_A'!$C:$C,0)),"")</f>
        <v/>
      </c>
      <c r="E45" s="20">
        <f>IFERROR(INDEX('Schedule_Data_Option_A'!H:H,MATCH($A45,'Schedule_Data_Option_A'!$C:$C,0)),"")</f>
        <v/>
      </c>
      <c r="F45" s="18">
        <f>IFERROR(INDEX('Schedule_Data_Option_A'!I:I,MATCH($A45,'Schedule_Data_Option_A'!$C:$C,0)),"")</f>
        <v/>
      </c>
      <c r="G45" s="18">
        <f>IFERROR(INDEX('Schedule_Data_Option_B'!D:D,MATCH($A45,'Schedule_Data_Option_B'!$C:$C,0)),"")</f>
        <v/>
      </c>
      <c r="H45" s="18">
        <f>IFERROR(INDEX('Schedule_Data_Option_B'!E:E,MATCH($A45,'Schedule_Data_Option_B'!$C:$C,0)),"")</f>
        <v/>
      </c>
      <c r="I45" s="20">
        <f>IFERROR(INDEX('Schedule_Data_Option_B'!G:G,MATCH($A45,'Schedule_Data_Option_B'!$C:$C,0)),"")</f>
        <v/>
      </c>
      <c r="J45" s="20">
        <f>IFERROR(INDEX('Schedule_Data_Option_B'!H:H,MATCH($A45,'Schedule_Data_Option_B'!$C:$C,0)),"")</f>
        <v/>
      </c>
      <c r="K45" s="18">
        <f>IFERROR(INDEX('Schedule_Data_Option_B'!I:I,MATCH($A45,'Schedule_Data_Option_B'!$C:$C,0)),"")</f>
        <v/>
      </c>
      <c r="L45" s="45">
        <f>IF(AND(D45&lt;&gt;"",I45&lt;&gt;""),I45-D45,"")</f>
        <v/>
      </c>
      <c r="M45" s="45">
        <f>IF(AND(E45&lt;&gt;"",J45&lt;&gt;""),J45-E45,"")</f>
        <v/>
      </c>
      <c r="N45" s="45">
        <f>IF(AND(F45&lt;&gt;"",K45&lt;&gt;""),K45-F45,"")</f>
        <v/>
      </c>
    </row>
    <row r="46">
      <c r="A46" s="18" t="inlineStr">
        <is>
          <t>A1160</t>
        </is>
      </c>
      <c r="B46" s="18">
        <f>IFERROR(INDEX('Schedule_Data_Option_A'!D:D,MATCH($A46,'Schedule_Data_Option_A'!$C:$C,0)),"")</f>
        <v/>
      </c>
      <c r="C46" s="18">
        <f>IFERROR(INDEX('Schedule_Data_Option_A'!E:E,MATCH($A46,'Schedule_Data_Option_A'!$C:$C,0)),"")</f>
        <v/>
      </c>
      <c r="D46" s="20">
        <f>IFERROR(INDEX('Schedule_Data_Option_A'!G:G,MATCH($A46,'Schedule_Data_Option_A'!$C:$C,0)),"")</f>
        <v/>
      </c>
      <c r="E46" s="20">
        <f>IFERROR(INDEX('Schedule_Data_Option_A'!H:H,MATCH($A46,'Schedule_Data_Option_A'!$C:$C,0)),"")</f>
        <v/>
      </c>
      <c r="F46" s="18">
        <f>IFERROR(INDEX('Schedule_Data_Option_A'!I:I,MATCH($A46,'Schedule_Data_Option_A'!$C:$C,0)),"")</f>
        <v/>
      </c>
      <c r="G46" s="18">
        <f>IFERROR(INDEX('Schedule_Data_Option_B'!D:D,MATCH($A46,'Schedule_Data_Option_B'!$C:$C,0)),"")</f>
        <v/>
      </c>
      <c r="H46" s="18">
        <f>IFERROR(INDEX('Schedule_Data_Option_B'!E:E,MATCH($A46,'Schedule_Data_Option_B'!$C:$C,0)),"")</f>
        <v/>
      </c>
      <c r="I46" s="20">
        <f>IFERROR(INDEX('Schedule_Data_Option_B'!G:G,MATCH($A46,'Schedule_Data_Option_B'!$C:$C,0)),"")</f>
        <v/>
      </c>
      <c r="J46" s="20">
        <f>IFERROR(INDEX('Schedule_Data_Option_B'!H:H,MATCH($A46,'Schedule_Data_Option_B'!$C:$C,0)),"")</f>
        <v/>
      </c>
      <c r="K46" s="18">
        <f>IFERROR(INDEX('Schedule_Data_Option_B'!I:I,MATCH($A46,'Schedule_Data_Option_B'!$C:$C,0)),"")</f>
        <v/>
      </c>
      <c r="L46" s="45">
        <f>IF(AND(D46&lt;&gt;"",I46&lt;&gt;""),I46-D46,"")</f>
        <v/>
      </c>
      <c r="M46" s="45">
        <f>IF(AND(E46&lt;&gt;"",J46&lt;&gt;""),J46-E46,"")</f>
        <v/>
      </c>
      <c r="N46" s="45">
        <f>IF(AND(F46&lt;&gt;"",K46&lt;&gt;""),K46-F46,"")</f>
        <v/>
      </c>
    </row>
    <row r="47">
      <c r="A47" s="18" t="inlineStr">
        <is>
          <t>A1170</t>
        </is>
      </c>
      <c r="B47" s="18">
        <f>IFERROR(INDEX('Schedule_Data_Option_A'!D:D,MATCH($A47,'Schedule_Data_Option_A'!$C:$C,0)),"")</f>
        <v/>
      </c>
      <c r="C47" s="18">
        <f>IFERROR(INDEX('Schedule_Data_Option_A'!E:E,MATCH($A47,'Schedule_Data_Option_A'!$C:$C,0)),"")</f>
        <v/>
      </c>
      <c r="D47" s="20">
        <f>IFERROR(INDEX('Schedule_Data_Option_A'!G:G,MATCH($A47,'Schedule_Data_Option_A'!$C:$C,0)),"")</f>
        <v/>
      </c>
      <c r="E47" s="20">
        <f>IFERROR(INDEX('Schedule_Data_Option_A'!H:H,MATCH($A47,'Schedule_Data_Option_A'!$C:$C,0)),"")</f>
        <v/>
      </c>
      <c r="F47" s="18">
        <f>IFERROR(INDEX('Schedule_Data_Option_A'!I:I,MATCH($A47,'Schedule_Data_Option_A'!$C:$C,0)),"")</f>
        <v/>
      </c>
      <c r="G47" s="18">
        <f>IFERROR(INDEX('Schedule_Data_Option_B'!D:D,MATCH($A47,'Schedule_Data_Option_B'!$C:$C,0)),"")</f>
        <v/>
      </c>
      <c r="H47" s="18">
        <f>IFERROR(INDEX('Schedule_Data_Option_B'!E:E,MATCH($A47,'Schedule_Data_Option_B'!$C:$C,0)),"")</f>
        <v/>
      </c>
      <c r="I47" s="20">
        <f>IFERROR(INDEX('Schedule_Data_Option_B'!G:G,MATCH($A47,'Schedule_Data_Option_B'!$C:$C,0)),"")</f>
        <v/>
      </c>
      <c r="J47" s="20">
        <f>IFERROR(INDEX('Schedule_Data_Option_B'!H:H,MATCH($A47,'Schedule_Data_Option_B'!$C:$C,0)),"")</f>
        <v/>
      </c>
      <c r="K47" s="18">
        <f>IFERROR(INDEX('Schedule_Data_Option_B'!I:I,MATCH($A47,'Schedule_Data_Option_B'!$C:$C,0)),"")</f>
        <v/>
      </c>
      <c r="L47" s="45">
        <f>IF(AND(D47&lt;&gt;"",I47&lt;&gt;""),I47-D47,"")</f>
        <v/>
      </c>
      <c r="M47" s="45">
        <f>IF(AND(E47&lt;&gt;"",J47&lt;&gt;""),J47-E47,"")</f>
        <v/>
      </c>
      <c r="N47" s="45">
        <f>IF(AND(F47&lt;&gt;"",K47&lt;&gt;""),K47-F47,"")</f>
        <v/>
      </c>
    </row>
    <row r="48">
      <c r="A48" s="18" t="inlineStr">
        <is>
          <t>A1180</t>
        </is>
      </c>
      <c r="B48" s="18">
        <f>IFERROR(INDEX('Schedule_Data_Option_A'!D:D,MATCH($A48,'Schedule_Data_Option_A'!$C:$C,0)),"")</f>
        <v/>
      </c>
      <c r="C48" s="18">
        <f>IFERROR(INDEX('Schedule_Data_Option_A'!E:E,MATCH($A48,'Schedule_Data_Option_A'!$C:$C,0)),"")</f>
        <v/>
      </c>
      <c r="D48" s="20">
        <f>IFERROR(INDEX('Schedule_Data_Option_A'!G:G,MATCH($A48,'Schedule_Data_Option_A'!$C:$C,0)),"")</f>
        <v/>
      </c>
      <c r="E48" s="20">
        <f>IFERROR(INDEX('Schedule_Data_Option_A'!H:H,MATCH($A48,'Schedule_Data_Option_A'!$C:$C,0)),"")</f>
        <v/>
      </c>
      <c r="F48" s="18">
        <f>IFERROR(INDEX('Schedule_Data_Option_A'!I:I,MATCH($A48,'Schedule_Data_Option_A'!$C:$C,0)),"")</f>
        <v/>
      </c>
      <c r="G48" s="18">
        <f>IFERROR(INDEX('Schedule_Data_Option_B'!D:D,MATCH($A48,'Schedule_Data_Option_B'!$C:$C,0)),"")</f>
        <v/>
      </c>
      <c r="H48" s="18">
        <f>IFERROR(INDEX('Schedule_Data_Option_B'!E:E,MATCH($A48,'Schedule_Data_Option_B'!$C:$C,0)),"")</f>
        <v/>
      </c>
      <c r="I48" s="20">
        <f>IFERROR(INDEX('Schedule_Data_Option_B'!G:G,MATCH($A48,'Schedule_Data_Option_B'!$C:$C,0)),"")</f>
        <v/>
      </c>
      <c r="J48" s="20">
        <f>IFERROR(INDEX('Schedule_Data_Option_B'!H:H,MATCH($A48,'Schedule_Data_Option_B'!$C:$C,0)),"")</f>
        <v/>
      </c>
      <c r="K48" s="18">
        <f>IFERROR(INDEX('Schedule_Data_Option_B'!I:I,MATCH($A48,'Schedule_Data_Option_B'!$C:$C,0)),"")</f>
        <v/>
      </c>
      <c r="L48" s="45">
        <f>IF(AND(D48&lt;&gt;"",I48&lt;&gt;""),I48-D48,"")</f>
        <v/>
      </c>
      <c r="M48" s="45">
        <f>IF(AND(E48&lt;&gt;"",J48&lt;&gt;""),J48-E48,"")</f>
        <v/>
      </c>
      <c r="N48" s="45">
        <f>IF(AND(F48&lt;&gt;"",K48&lt;&gt;""),K48-F48,"")</f>
        <v/>
      </c>
    </row>
    <row r="49">
      <c r="A49" s="18" t="inlineStr">
        <is>
          <t>A1181</t>
        </is>
      </c>
      <c r="B49" s="18">
        <f>IFERROR(INDEX('Schedule_Data_Option_A'!D:D,MATCH($A49,'Schedule_Data_Option_A'!$C:$C,0)),"")</f>
        <v/>
      </c>
      <c r="C49" s="18">
        <f>IFERROR(INDEX('Schedule_Data_Option_A'!E:E,MATCH($A49,'Schedule_Data_Option_A'!$C:$C,0)),"")</f>
        <v/>
      </c>
      <c r="D49" s="20">
        <f>IFERROR(INDEX('Schedule_Data_Option_A'!G:G,MATCH($A49,'Schedule_Data_Option_A'!$C:$C,0)),"")</f>
        <v/>
      </c>
      <c r="E49" s="20">
        <f>IFERROR(INDEX('Schedule_Data_Option_A'!H:H,MATCH($A49,'Schedule_Data_Option_A'!$C:$C,0)),"")</f>
        <v/>
      </c>
      <c r="F49" s="18">
        <f>IFERROR(INDEX('Schedule_Data_Option_A'!I:I,MATCH($A49,'Schedule_Data_Option_A'!$C:$C,0)),"")</f>
        <v/>
      </c>
      <c r="G49" s="18">
        <f>IFERROR(INDEX('Schedule_Data_Option_B'!D:D,MATCH($A49,'Schedule_Data_Option_B'!$C:$C,0)),"")</f>
        <v/>
      </c>
      <c r="H49" s="18">
        <f>IFERROR(INDEX('Schedule_Data_Option_B'!E:E,MATCH($A49,'Schedule_Data_Option_B'!$C:$C,0)),"")</f>
        <v/>
      </c>
      <c r="I49" s="20">
        <f>IFERROR(INDEX('Schedule_Data_Option_B'!G:G,MATCH($A49,'Schedule_Data_Option_B'!$C:$C,0)),"")</f>
        <v/>
      </c>
      <c r="J49" s="20">
        <f>IFERROR(INDEX('Schedule_Data_Option_B'!H:H,MATCH($A49,'Schedule_Data_Option_B'!$C:$C,0)),"")</f>
        <v/>
      </c>
      <c r="K49" s="18">
        <f>IFERROR(INDEX('Schedule_Data_Option_B'!I:I,MATCH($A49,'Schedule_Data_Option_B'!$C:$C,0)),"")</f>
        <v/>
      </c>
      <c r="L49" s="45">
        <f>IF(AND(D49&lt;&gt;"",I49&lt;&gt;""),I49-D49,"")</f>
        <v/>
      </c>
      <c r="M49" s="45">
        <f>IF(AND(E49&lt;&gt;"",J49&lt;&gt;""),J49-E49,"")</f>
        <v/>
      </c>
      <c r="N49" s="45">
        <f>IF(AND(F49&lt;&gt;"",K49&lt;&gt;""),K49-F49,"")</f>
        <v/>
      </c>
    </row>
    <row r="50">
      <c r="A50" s="18" t="inlineStr">
        <is>
          <t>A1190</t>
        </is>
      </c>
      <c r="B50" s="18">
        <f>IFERROR(INDEX('Schedule_Data_Option_A'!D:D,MATCH($A50,'Schedule_Data_Option_A'!$C:$C,0)),"")</f>
        <v/>
      </c>
      <c r="C50" s="18">
        <f>IFERROR(INDEX('Schedule_Data_Option_A'!E:E,MATCH($A50,'Schedule_Data_Option_A'!$C:$C,0)),"")</f>
        <v/>
      </c>
      <c r="D50" s="20">
        <f>IFERROR(INDEX('Schedule_Data_Option_A'!G:G,MATCH($A50,'Schedule_Data_Option_A'!$C:$C,0)),"")</f>
        <v/>
      </c>
      <c r="E50" s="20">
        <f>IFERROR(INDEX('Schedule_Data_Option_A'!H:H,MATCH($A50,'Schedule_Data_Option_A'!$C:$C,0)),"")</f>
        <v/>
      </c>
      <c r="F50" s="18">
        <f>IFERROR(INDEX('Schedule_Data_Option_A'!I:I,MATCH($A50,'Schedule_Data_Option_A'!$C:$C,0)),"")</f>
        <v/>
      </c>
      <c r="G50" s="18">
        <f>IFERROR(INDEX('Schedule_Data_Option_B'!D:D,MATCH($A50,'Schedule_Data_Option_B'!$C:$C,0)),"")</f>
        <v/>
      </c>
      <c r="H50" s="18">
        <f>IFERROR(INDEX('Schedule_Data_Option_B'!E:E,MATCH($A50,'Schedule_Data_Option_B'!$C:$C,0)),"")</f>
        <v/>
      </c>
      <c r="I50" s="20">
        <f>IFERROR(INDEX('Schedule_Data_Option_B'!G:G,MATCH($A50,'Schedule_Data_Option_B'!$C:$C,0)),"")</f>
        <v/>
      </c>
      <c r="J50" s="20">
        <f>IFERROR(INDEX('Schedule_Data_Option_B'!H:H,MATCH($A50,'Schedule_Data_Option_B'!$C:$C,0)),"")</f>
        <v/>
      </c>
      <c r="K50" s="18">
        <f>IFERROR(INDEX('Schedule_Data_Option_B'!I:I,MATCH($A50,'Schedule_Data_Option_B'!$C:$C,0)),"")</f>
        <v/>
      </c>
      <c r="L50" s="45">
        <f>IF(AND(D50&lt;&gt;"",I50&lt;&gt;""),I50-D50,"")</f>
        <v/>
      </c>
      <c r="M50" s="45">
        <f>IF(AND(E50&lt;&gt;"",J50&lt;&gt;""),J50-E50,"")</f>
        <v/>
      </c>
      <c r="N50" s="45">
        <f>IF(AND(F50&lt;&gt;"",K50&lt;&gt;""),K50-F50,"")</f>
        <v/>
      </c>
    </row>
    <row r="51">
      <c r="A51" s="18" t="inlineStr">
        <is>
          <t>A1200</t>
        </is>
      </c>
      <c r="B51" s="18">
        <f>IFERROR(INDEX('Schedule_Data_Option_A'!D:D,MATCH($A51,'Schedule_Data_Option_A'!$C:$C,0)),"")</f>
        <v/>
      </c>
      <c r="C51" s="18">
        <f>IFERROR(INDEX('Schedule_Data_Option_A'!E:E,MATCH($A51,'Schedule_Data_Option_A'!$C:$C,0)),"")</f>
        <v/>
      </c>
      <c r="D51" s="20">
        <f>IFERROR(INDEX('Schedule_Data_Option_A'!G:G,MATCH($A51,'Schedule_Data_Option_A'!$C:$C,0)),"")</f>
        <v/>
      </c>
      <c r="E51" s="20">
        <f>IFERROR(INDEX('Schedule_Data_Option_A'!H:H,MATCH($A51,'Schedule_Data_Option_A'!$C:$C,0)),"")</f>
        <v/>
      </c>
      <c r="F51" s="18">
        <f>IFERROR(INDEX('Schedule_Data_Option_A'!I:I,MATCH($A51,'Schedule_Data_Option_A'!$C:$C,0)),"")</f>
        <v/>
      </c>
      <c r="G51" s="18">
        <f>IFERROR(INDEX('Schedule_Data_Option_B'!D:D,MATCH($A51,'Schedule_Data_Option_B'!$C:$C,0)),"")</f>
        <v/>
      </c>
      <c r="H51" s="18">
        <f>IFERROR(INDEX('Schedule_Data_Option_B'!E:E,MATCH($A51,'Schedule_Data_Option_B'!$C:$C,0)),"")</f>
        <v/>
      </c>
      <c r="I51" s="20">
        <f>IFERROR(INDEX('Schedule_Data_Option_B'!G:G,MATCH($A51,'Schedule_Data_Option_B'!$C:$C,0)),"")</f>
        <v/>
      </c>
      <c r="J51" s="20">
        <f>IFERROR(INDEX('Schedule_Data_Option_B'!H:H,MATCH($A51,'Schedule_Data_Option_B'!$C:$C,0)),"")</f>
        <v/>
      </c>
      <c r="K51" s="18">
        <f>IFERROR(INDEX('Schedule_Data_Option_B'!I:I,MATCH($A51,'Schedule_Data_Option_B'!$C:$C,0)),"")</f>
        <v/>
      </c>
      <c r="L51" s="45">
        <f>IF(AND(D51&lt;&gt;"",I51&lt;&gt;""),I51-D51,"")</f>
        <v/>
      </c>
      <c r="M51" s="45">
        <f>IF(AND(E51&lt;&gt;"",J51&lt;&gt;""),J51-E51,"")</f>
        <v/>
      </c>
      <c r="N51" s="45">
        <f>IF(AND(F51&lt;&gt;"",K51&lt;&gt;""),K51-F51,"")</f>
        <v/>
      </c>
    </row>
    <row r="52">
      <c r="A52" s="18" t="inlineStr">
        <is>
          <t>A1210</t>
        </is>
      </c>
      <c r="B52" s="18">
        <f>IFERROR(INDEX('Schedule_Data_Option_A'!D:D,MATCH($A52,'Schedule_Data_Option_A'!$C:$C,0)),"")</f>
        <v/>
      </c>
      <c r="C52" s="18">
        <f>IFERROR(INDEX('Schedule_Data_Option_A'!E:E,MATCH($A52,'Schedule_Data_Option_A'!$C:$C,0)),"")</f>
        <v/>
      </c>
      <c r="D52" s="20">
        <f>IFERROR(INDEX('Schedule_Data_Option_A'!G:G,MATCH($A52,'Schedule_Data_Option_A'!$C:$C,0)),"")</f>
        <v/>
      </c>
      <c r="E52" s="20">
        <f>IFERROR(INDEX('Schedule_Data_Option_A'!H:H,MATCH($A52,'Schedule_Data_Option_A'!$C:$C,0)),"")</f>
        <v/>
      </c>
      <c r="F52" s="18">
        <f>IFERROR(INDEX('Schedule_Data_Option_A'!I:I,MATCH($A52,'Schedule_Data_Option_A'!$C:$C,0)),"")</f>
        <v/>
      </c>
      <c r="G52" s="18">
        <f>IFERROR(INDEX('Schedule_Data_Option_B'!D:D,MATCH($A52,'Schedule_Data_Option_B'!$C:$C,0)),"")</f>
        <v/>
      </c>
      <c r="H52" s="18">
        <f>IFERROR(INDEX('Schedule_Data_Option_B'!E:E,MATCH($A52,'Schedule_Data_Option_B'!$C:$C,0)),"")</f>
        <v/>
      </c>
      <c r="I52" s="20">
        <f>IFERROR(INDEX('Schedule_Data_Option_B'!G:G,MATCH($A52,'Schedule_Data_Option_B'!$C:$C,0)),"")</f>
        <v/>
      </c>
      <c r="J52" s="20">
        <f>IFERROR(INDEX('Schedule_Data_Option_B'!H:H,MATCH($A52,'Schedule_Data_Option_B'!$C:$C,0)),"")</f>
        <v/>
      </c>
      <c r="K52" s="18">
        <f>IFERROR(INDEX('Schedule_Data_Option_B'!I:I,MATCH($A52,'Schedule_Data_Option_B'!$C:$C,0)),"")</f>
        <v/>
      </c>
      <c r="L52" s="45">
        <f>IF(AND(D52&lt;&gt;"",I52&lt;&gt;""),I52-D52,"")</f>
        <v/>
      </c>
      <c r="M52" s="45">
        <f>IF(AND(E52&lt;&gt;"",J52&lt;&gt;""),J52-E52,"")</f>
        <v/>
      </c>
      <c r="N52" s="45">
        <f>IF(AND(F52&lt;&gt;"",K52&lt;&gt;""),K52-F52,"")</f>
        <v/>
      </c>
    </row>
    <row r="53">
      <c r="A53" s="18" t="inlineStr">
        <is>
          <t>A1220</t>
        </is>
      </c>
      <c r="B53" s="18">
        <f>IFERROR(INDEX('Schedule_Data_Option_A'!D:D,MATCH($A53,'Schedule_Data_Option_A'!$C:$C,0)),"")</f>
        <v/>
      </c>
      <c r="C53" s="18">
        <f>IFERROR(INDEX('Schedule_Data_Option_A'!E:E,MATCH($A53,'Schedule_Data_Option_A'!$C:$C,0)),"")</f>
        <v/>
      </c>
      <c r="D53" s="20">
        <f>IFERROR(INDEX('Schedule_Data_Option_A'!G:G,MATCH($A53,'Schedule_Data_Option_A'!$C:$C,0)),"")</f>
        <v/>
      </c>
      <c r="E53" s="20">
        <f>IFERROR(INDEX('Schedule_Data_Option_A'!H:H,MATCH($A53,'Schedule_Data_Option_A'!$C:$C,0)),"")</f>
        <v/>
      </c>
      <c r="F53" s="18">
        <f>IFERROR(INDEX('Schedule_Data_Option_A'!I:I,MATCH($A53,'Schedule_Data_Option_A'!$C:$C,0)),"")</f>
        <v/>
      </c>
      <c r="G53" s="18">
        <f>IFERROR(INDEX('Schedule_Data_Option_B'!D:D,MATCH($A53,'Schedule_Data_Option_B'!$C:$C,0)),"")</f>
        <v/>
      </c>
      <c r="H53" s="18">
        <f>IFERROR(INDEX('Schedule_Data_Option_B'!E:E,MATCH($A53,'Schedule_Data_Option_B'!$C:$C,0)),"")</f>
        <v/>
      </c>
      <c r="I53" s="20">
        <f>IFERROR(INDEX('Schedule_Data_Option_B'!G:G,MATCH($A53,'Schedule_Data_Option_B'!$C:$C,0)),"")</f>
        <v/>
      </c>
      <c r="J53" s="20">
        <f>IFERROR(INDEX('Schedule_Data_Option_B'!H:H,MATCH($A53,'Schedule_Data_Option_B'!$C:$C,0)),"")</f>
        <v/>
      </c>
      <c r="K53" s="18">
        <f>IFERROR(INDEX('Schedule_Data_Option_B'!I:I,MATCH($A53,'Schedule_Data_Option_B'!$C:$C,0)),"")</f>
        <v/>
      </c>
      <c r="L53" s="45">
        <f>IF(AND(D53&lt;&gt;"",I53&lt;&gt;""),I53-D53,"")</f>
        <v/>
      </c>
      <c r="M53" s="45">
        <f>IF(AND(E53&lt;&gt;"",J53&lt;&gt;""),J53-E53,"")</f>
        <v/>
      </c>
      <c r="N53" s="45">
        <f>IF(AND(F53&lt;&gt;"",K53&lt;&gt;""),K53-F53,"")</f>
        <v/>
      </c>
    </row>
    <row r="54">
      <c r="A54" s="18" t="inlineStr">
        <is>
          <t>A1230</t>
        </is>
      </c>
      <c r="B54" s="18">
        <f>IFERROR(INDEX('Schedule_Data_Option_A'!D:D,MATCH($A54,'Schedule_Data_Option_A'!$C:$C,0)),"")</f>
        <v/>
      </c>
      <c r="C54" s="18">
        <f>IFERROR(INDEX('Schedule_Data_Option_A'!E:E,MATCH($A54,'Schedule_Data_Option_A'!$C:$C,0)),"")</f>
        <v/>
      </c>
      <c r="D54" s="20">
        <f>IFERROR(INDEX('Schedule_Data_Option_A'!G:G,MATCH($A54,'Schedule_Data_Option_A'!$C:$C,0)),"")</f>
        <v/>
      </c>
      <c r="E54" s="20">
        <f>IFERROR(INDEX('Schedule_Data_Option_A'!H:H,MATCH($A54,'Schedule_Data_Option_A'!$C:$C,0)),"")</f>
        <v/>
      </c>
      <c r="F54" s="18">
        <f>IFERROR(INDEX('Schedule_Data_Option_A'!I:I,MATCH($A54,'Schedule_Data_Option_A'!$C:$C,0)),"")</f>
        <v/>
      </c>
      <c r="G54" s="18">
        <f>IFERROR(INDEX('Schedule_Data_Option_B'!D:D,MATCH($A54,'Schedule_Data_Option_B'!$C:$C,0)),"")</f>
        <v/>
      </c>
      <c r="H54" s="18">
        <f>IFERROR(INDEX('Schedule_Data_Option_B'!E:E,MATCH($A54,'Schedule_Data_Option_B'!$C:$C,0)),"")</f>
        <v/>
      </c>
      <c r="I54" s="20">
        <f>IFERROR(INDEX('Schedule_Data_Option_B'!G:G,MATCH($A54,'Schedule_Data_Option_B'!$C:$C,0)),"")</f>
        <v/>
      </c>
      <c r="J54" s="20">
        <f>IFERROR(INDEX('Schedule_Data_Option_B'!H:H,MATCH($A54,'Schedule_Data_Option_B'!$C:$C,0)),"")</f>
        <v/>
      </c>
      <c r="K54" s="18">
        <f>IFERROR(INDEX('Schedule_Data_Option_B'!I:I,MATCH($A54,'Schedule_Data_Option_B'!$C:$C,0)),"")</f>
        <v/>
      </c>
      <c r="L54" s="45">
        <f>IF(AND(D54&lt;&gt;"",I54&lt;&gt;""),I54-D54,"")</f>
        <v/>
      </c>
      <c r="M54" s="45">
        <f>IF(AND(E54&lt;&gt;"",J54&lt;&gt;""),J54-E54,"")</f>
        <v/>
      </c>
      <c r="N54" s="45">
        <f>IF(AND(F54&lt;&gt;"",K54&lt;&gt;""),K54-F54,"")</f>
        <v/>
      </c>
    </row>
    <row r="55">
      <c r="A55" s="18" t="inlineStr">
        <is>
          <t>A1240</t>
        </is>
      </c>
      <c r="B55" s="18">
        <f>IFERROR(INDEX('Schedule_Data_Option_A'!D:D,MATCH($A55,'Schedule_Data_Option_A'!$C:$C,0)),"")</f>
        <v/>
      </c>
      <c r="C55" s="18">
        <f>IFERROR(INDEX('Schedule_Data_Option_A'!E:E,MATCH($A55,'Schedule_Data_Option_A'!$C:$C,0)),"")</f>
        <v/>
      </c>
      <c r="D55" s="20">
        <f>IFERROR(INDEX('Schedule_Data_Option_A'!G:G,MATCH($A55,'Schedule_Data_Option_A'!$C:$C,0)),"")</f>
        <v/>
      </c>
      <c r="E55" s="20">
        <f>IFERROR(INDEX('Schedule_Data_Option_A'!H:H,MATCH($A55,'Schedule_Data_Option_A'!$C:$C,0)),"")</f>
        <v/>
      </c>
      <c r="F55" s="18">
        <f>IFERROR(INDEX('Schedule_Data_Option_A'!I:I,MATCH($A55,'Schedule_Data_Option_A'!$C:$C,0)),"")</f>
        <v/>
      </c>
      <c r="G55" s="18">
        <f>IFERROR(INDEX('Schedule_Data_Option_B'!D:D,MATCH($A55,'Schedule_Data_Option_B'!$C:$C,0)),"")</f>
        <v/>
      </c>
      <c r="H55" s="18">
        <f>IFERROR(INDEX('Schedule_Data_Option_B'!E:E,MATCH($A55,'Schedule_Data_Option_B'!$C:$C,0)),"")</f>
        <v/>
      </c>
      <c r="I55" s="20">
        <f>IFERROR(INDEX('Schedule_Data_Option_B'!G:G,MATCH($A55,'Schedule_Data_Option_B'!$C:$C,0)),"")</f>
        <v/>
      </c>
      <c r="J55" s="20">
        <f>IFERROR(INDEX('Schedule_Data_Option_B'!H:H,MATCH($A55,'Schedule_Data_Option_B'!$C:$C,0)),"")</f>
        <v/>
      </c>
      <c r="K55" s="18">
        <f>IFERROR(INDEX('Schedule_Data_Option_B'!I:I,MATCH($A55,'Schedule_Data_Option_B'!$C:$C,0)),"")</f>
        <v/>
      </c>
      <c r="L55" s="45">
        <f>IF(AND(D55&lt;&gt;"",I55&lt;&gt;""),I55-D55,"")</f>
        <v/>
      </c>
      <c r="M55" s="45">
        <f>IF(AND(E55&lt;&gt;"",J55&lt;&gt;""),J55-E55,"")</f>
        <v/>
      </c>
      <c r="N55" s="45">
        <f>IF(AND(F55&lt;&gt;"",K55&lt;&gt;""),K55-F55,"")</f>
        <v/>
      </c>
    </row>
    <row r="56">
      <c r="A56" s="18" t="inlineStr">
        <is>
          <t>A1250</t>
        </is>
      </c>
      <c r="B56" s="18">
        <f>IFERROR(INDEX('Schedule_Data_Option_A'!D:D,MATCH($A56,'Schedule_Data_Option_A'!$C:$C,0)),"")</f>
        <v/>
      </c>
      <c r="C56" s="18">
        <f>IFERROR(INDEX('Schedule_Data_Option_A'!E:E,MATCH($A56,'Schedule_Data_Option_A'!$C:$C,0)),"")</f>
        <v/>
      </c>
      <c r="D56" s="20">
        <f>IFERROR(INDEX('Schedule_Data_Option_A'!G:G,MATCH($A56,'Schedule_Data_Option_A'!$C:$C,0)),"")</f>
        <v/>
      </c>
      <c r="E56" s="20">
        <f>IFERROR(INDEX('Schedule_Data_Option_A'!H:H,MATCH($A56,'Schedule_Data_Option_A'!$C:$C,0)),"")</f>
        <v/>
      </c>
      <c r="F56" s="18">
        <f>IFERROR(INDEX('Schedule_Data_Option_A'!I:I,MATCH($A56,'Schedule_Data_Option_A'!$C:$C,0)),"")</f>
        <v/>
      </c>
      <c r="G56" s="18">
        <f>IFERROR(INDEX('Schedule_Data_Option_B'!D:D,MATCH($A56,'Schedule_Data_Option_B'!$C:$C,0)),"")</f>
        <v/>
      </c>
      <c r="H56" s="18">
        <f>IFERROR(INDEX('Schedule_Data_Option_B'!E:E,MATCH($A56,'Schedule_Data_Option_B'!$C:$C,0)),"")</f>
        <v/>
      </c>
      <c r="I56" s="20">
        <f>IFERROR(INDEX('Schedule_Data_Option_B'!G:G,MATCH($A56,'Schedule_Data_Option_B'!$C:$C,0)),"")</f>
        <v/>
      </c>
      <c r="J56" s="20">
        <f>IFERROR(INDEX('Schedule_Data_Option_B'!H:H,MATCH($A56,'Schedule_Data_Option_B'!$C:$C,0)),"")</f>
        <v/>
      </c>
      <c r="K56" s="18">
        <f>IFERROR(INDEX('Schedule_Data_Option_B'!I:I,MATCH($A56,'Schedule_Data_Option_B'!$C:$C,0)),"")</f>
        <v/>
      </c>
      <c r="L56" s="45">
        <f>IF(AND(D56&lt;&gt;"",I56&lt;&gt;""),I56-D56,"")</f>
        <v/>
      </c>
      <c r="M56" s="45">
        <f>IF(AND(E56&lt;&gt;"",J56&lt;&gt;""),J56-E56,"")</f>
        <v/>
      </c>
      <c r="N56" s="45">
        <f>IF(AND(F56&lt;&gt;"",K56&lt;&gt;""),K56-F56,"")</f>
        <v/>
      </c>
    </row>
    <row r="57">
      <c r="A57" s="18" t="inlineStr">
        <is>
          <t>A1260</t>
        </is>
      </c>
      <c r="B57" s="18">
        <f>IFERROR(INDEX('Schedule_Data_Option_A'!D:D,MATCH($A57,'Schedule_Data_Option_A'!$C:$C,0)),"")</f>
        <v/>
      </c>
      <c r="C57" s="18">
        <f>IFERROR(INDEX('Schedule_Data_Option_A'!E:E,MATCH($A57,'Schedule_Data_Option_A'!$C:$C,0)),"")</f>
        <v/>
      </c>
      <c r="D57" s="20">
        <f>IFERROR(INDEX('Schedule_Data_Option_A'!G:G,MATCH($A57,'Schedule_Data_Option_A'!$C:$C,0)),"")</f>
        <v/>
      </c>
      <c r="E57" s="20">
        <f>IFERROR(INDEX('Schedule_Data_Option_A'!H:H,MATCH($A57,'Schedule_Data_Option_A'!$C:$C,0)),"")</f>
        <v/>
      </c>
      <c r="F57" s="18">
        <f>IFERROR(INDEX('Schedule_Data_Option_A'!I:I,MATCH($A57,'Schedule_Data_Option_A'!$C:$C,0)),"")</f>
        <v/>
      </c>
      <c r="G57" s="18">
        <f>IFERROR(INDEX('Schedule_Data_Option_B'!D:D,MATCH($A57,'Schedule_Data_Option_B'!$C:$C,0)),"")</f>
        <v/>
      </c>
      <c r="H57" s="18">
        <f>IFERROR(INDEX('Schedule_Data_Option_B'!E:E,MATCH($A57,'Schedule_Data_Option_B'!$C:$C,0)),"")</f>
        <v/>
      </c>
      <c r="I57" s="20">
        <f>IFERROR(INDEX('Schedule_Data_Option_B'!G:G,MATCH($A57,'Schedule_Data_Option_B'!$C:$C,0)),"")</f>
        <v/>
      </c>
      <c r="J57" s="20">
        <f>IFERROR(INDEX('Schedule_Data_Option_B'!H:H,MATCH($A57,'Schedule_Data_Option_B'!$C:$C,0)),"")</f>
        <v/>
      </c>
      <c r="K57" s="18">
        <f>IFERROR(INDEX('Schedule_Data_Option_B'!I:I,MATCH($A57,'Schedule_Data_Option_B'!$C:$C,0)),"")</f>
        <v/>
      </c>
      <c r="L57" s="45">
        <f>IF(AND(D57&lt;&gt;"",I57&lt;&gt;""),I57-D57,"")</f>
        <v/>
      </c>
      <c r="M57" s="45">
        <f>IF(AND(E57&lt;&gt;"",J57&lt;&gt;""),J57-E57,"")</f>
        <v/>
      </c>
      <c r="N57" s="45">
        <f>IF(AND(F57&lt;&gt;"",K57&lt;&gt;""),K57-F57,"")</f>
        <v/>
      </c>
    </row>
    <row r="58">
      <c r="A58" s="18" t="inlineStr">
        <is>
          <t>A1270</t>
        </is>
      </c>
      <c r="B58" s="18">
        <f>IFERROR(INDEX('Schedule_Data_Option_A'!D:D,MATCH($A58,'Schedule_Data_Option_A'!$C:$C,0)),"")</f>
        <v/>
      </c>
      <c r="C58" s="18">
        <f>IFERROR(INDEX('Schedule_Data_Option_A'!E:E,MATCH($A58,'Schedule_Data_Option_A'!$C:$C,0)),"")</f>
        <v/>
      </c>
      <c r="D58" s="20">
        <f>IFERROR(INDEX('Schedule_Data_Option_A'!G:G,MATCH($A58,'Schedule_Data_Option_A'!$C:$C,0)),"")</f>
        <v/>
      </c>
      <c r="E58" s="20">
        <f>IFERROR(INDEX('Schedule_Data_Option_A'!H:H,MATCH($A58,'Schedule_Data_Option_A'!$C:$C,0)),"")</f>
        <v/>
      </c>
      <c r="F58" s="18">
        <f>IFERROR(INDEX('Schedule_Data_Option_A'!I:I,MATCH($A58,'Schedule_Data_Option_A'!$C:$C,0)),"")</f>
        <v/>
      </c>
      <c r="G58" s="18">
        <f>IFERROR(INDEX('Schedule_Data_Option_B'!D:D,MATCH($A58,'Schedule_Data_Option_B'!$C:$C,0)),"")</f>
        <v/>
      </c>
      <c r="H58" s="18">
        <f>IFERROR(INDEX('Schedule_Data_Option_B'!E:E,MATCH($A58,'Schedule_Data_Option_B'!$C:$C,0)),"")</f>
        <v/>
      </c>
      <c r="I58" s="20">
        <f>IFERROR(INDEX('Schedule_Data_Option_B'!G:G,MATCH($A58,'Schedule_Data_Option_B'!$C:$C,0)),"")</f>
        <v/>
      </c>
      <c r="J58" s="20">
        <f>IFERROR(INDEX('Schedule_Data_Option_B'!H:H,MATCH($A58,'Schedule_Data_Option_B'!$C:$C,0)),"")</f>
        <v/>
      </c>
      <c r="K58" s="18">
        <f>IFERROR(INDEX('Schedule_Data_Option_B'!I:I,MATCH($A58,'Schedule_Data_Option_B'!$C:$C,0)),"")</f>
        <v/>
      </c>
      <c r="L58" s="45">
        <f>IF(AND(D58&lt;&gt;"",I58&lt;&gt;""),I58-D58,"")</f>
        <v/>
      </c>
      <c r="M58" s="45">
        <f>IF(AND(E58&lt;&gt;"",J58&lt;&gt;""),J58-E58,"")</f>
        <v/>
      </c>
      <c r="N58" s="45">
        <f>IF(AND(F58&lt;&gt;"",K58&lt;&gt;""),K58-F58,"")</f>
        <v/>
      </c>
    </row>
    <row r="59">
      <c r="A59" s="18" t="inlineStr">
        <is>
          <t>A1280</t>
        </is>
      </c>
      <c r="B59" s="18">
        <f>IFERROR(INDEX('Schedule_Data_Option_A'!D:D,MATCH($A59,'Schedule_Data_Option_A'!$C:$C,0)),"")</f>
        <v/>
      </c>
      <c r="C59" s="18">
        <f>IFERROR(INDEX('Schedule_Data_Option_A'!E:E,MATCH($A59,'Schedule_Data_Option_A'!$C:$C,0)),"")</f>
        <v/>
      </c>
      <c r="D59" s="20">
        <f>IFERROR(INDEX('Schedule_Data_Option_A'!G:G,MATCH($A59,'Schedule_Data_Option_A'!$C:$C,0)),"")</f>
        <v/>
      </c>
      <c r="E59" s="20">
        <f>IFERROR(INDEX('Schedule_Data_Option_A'!H:H,MATCH($A59,'Schedule_Data_Option_A'!$C:$C,0)),"")</f>
        <v/>
      </c>
      <c r="F59" s="18">
        <f>IFERROR(INDEX('Schedule_Data_Option_A'!I:I,MATCH($A59,'Schedule_Data_Option_A'!$C:$C,0)),"")</f>
        <v/>
      </c>
      <c r="G59" s="18">
        <f>IFERROR(INDEX('Schedule_Data_Option_B'!D:D,MATCH($A59,'Schedule_Data_Option_B'!$C:$C,0)),"")</f>
        <v/>
      </c>
      <c r="H59" s="18">
        <f>IFERROR(INDEX('Schedule_Data_Option_B'!E:E,MATCH($A59,'Schedule_Data_Option_B'!$C:$C,0)),"")</f>
        <v/>
      </c>
      <c r="I59" s="20">
        <f>IFERROR(INDEX('Schedule_Data_Option_B'!G:G,MATCH($A59,'Schedule_Data_Option_B'!$C:$C,0)),"")</f>
        <v/>
      </c>
      <c r="J59" s="20">
        <f>IFERROR(INDEX('Schedule_Data_Option_B'!H:H,MATCH($A59,'Schedule_Data_Option_B'!$C:$C,0)),"")</f>
        <v/>
      </c>
      <c r="K59" s="18">
        <f>IFERROR(INDEX('Schedule_Data_Option_B'!I:I,MATCH($A59,'Schedule_Data_Option_B'!$C:$C,0)),"")</f>
        <v/>
      </c>
      <c r="L59" s="45">
        <f>IF(AND(D59&lt;&gt;"",I59&lt;&gt;""),I59-D59,"")</f>
        <v/>
      </c>
      <c r="M59" s="45">
        <f>IF(AND(E59&lt;&gt;"",J59&lt;&gt;""),J59-E59,"")</f>
        <v/>
      </c>
      <c r="N59" s="45">
        <f>IF(AND(F59&lt;&gt;"",K59&lt;&gt;""),K59-F59,"")</f>
        <v/>
      </c>
    </row>
    <row r="60">
      <c r="A60" s="18" t="inlineStr">
        <is>
          <t>A1290</t>
        </is>
      </c>
      <c r="B60" s="18">
        <f>IFERROR(INDEX('Schedule_Data_Option_A'!D:D,MATCH($A60,'Schedule_Data_Option_A'!$C:$C,0)),"")</f>
        <v/>
      </c>
      <c r="C60" s="18">
        <f>IFERROR(INDEX('Schedule_Data_Option_A'!E:E,MATCH($A60,'Schedule_Data_Option_A'!$C:$C,0)),"")</f>
        <v/>
      </c>
      <c r="D60" s="20">
        <f>IFERROR(INDEX('Schedule_Data_Option_A'!G:G,MATCH($A60,'Schedule_Data_Option_A'!$C:$C,0)),"")</f>
        <v/>
      </c>
      <c r="E60" s="20">
        <f>IFERROR(INDEX('Schedule_Data_Option_A'!H:H,MATCH($A60,'Schedule_Data_Option_A'!$C:$C,0)),"")</f>
        <v/>
      </c>
      <c r="F60" s="18">
        <f>IFERROR(INDEX('Schedule_Data_Option_A'!I:I,MATCH($A60,'Schedule_Data_Option_A'!$C:$C,0)),"")</f>
        <v/>
      </c>
      <c r="G60" s="18">
        <f>IFERROR(INDEX('Schedule_Data_Option_B'!D:D,MATCH($A60,'Schedule_Data_Option_B'!$C:$C,0)),"")</f>
        <v/>
      </c>
      <c r="H60" s="18">
        <f>IFERROR(INDEX('Schedule_Data_Option_B'!E:E,MATCH($A60,'Schedule_Data_Option_B'!$C:$C,0)),"")</f>
        <v/>
      </c>
      <c r="I60" s="20">
        <f>IFERROR(INDEX('Schedule_Data_Option_B'!G:G,MATCH($A60,'Schedule_Data_Option_B'!$C:$C,0)),"")</f>
        <v/>
      </c>
      <c r="J60" s="20">
        <f>IFERROR(INDEX('Schedule_Data_Option_B'!H:H,MATCH($A60,'Schedule_Data_Option_B'!$C:$C,0)),"")</f>
        <v/>
      </c>
      <c r="K60" s="18">
        <f>IFERROR(INDEX('Schedule_Data_Option_B'!I:I,MATCH($A60,'Schedule_Data_Option_B'!$C:$C,0)),"")</f>
        <v/>
      </c>
      <c r="L60" s="45">
        <f>IF(AND(D60&lt;&gt;"",I60&lt;&gt;""),I60-D60,"")</f>
        <v/>
      </c>
      <c r="M60" s="45">
        <f>IF(AND(E60&lt;&gt;"",J60&lt;&gt;""),J60-E60,"")</f>
        <v/>
      </c>
      <c r="N60" s="45">
        <f>IF(AND(F60&lt;&gt;"",K60&lt;&gt;""),K60-F60,"")</f>
        <v/>
      </c>
    </row>
    <row r="61">
      <c r="A61" s="18" t="inlineStr">
        <is>
          <t>A1300</t>
        </is>
      </c>
      <c r="B61" s="18">
        <f>IFERROR(INDEX('Schedule_Data_Option_A'!D:D,MATCH($A61,'Schedule_Data_Option_A'!$C:$C,0)),"")</f>
        <v/>
      </c>
      <c r="C61" s="18">
        <f>IFERROR(INDEX('Schedule_Data_Option_A'!E:E,MATCH($A61,'Schedule_Data_Option_A'!$C:$C,0)),"")</f>
        <v/>
      </c>
      <c r="D61" s="20">
        <f>IFERROR(INDEX('Schedule_Data_Option_A'!G:G,MATCH($A61,'Schedule_Data_Option_A'!$C:$C,0)),"")</f>
        <v/>
      </c>
      <c r="E61" s="20">
        <f>IFERROR(INDEX('Schedule_Data_Option_A'!H:H,MATCH($A61,'Schedule_Data_Option_A'!$C:$C,0)),"")</f>
        <v/>
      </c>
      <c r="F61" s="18">
        <f>IFERROR(INDEX('Schedule_Data_Option_A'!I:I,MATCH($A61,'Schedule_Data_Option_A'!$C:$C,0)),"")</f>
        <v/>
      </c>
      <c r="G61" s="18">
        <f>IFERROR(INDEX('Schedule_Data_Option_B'!D:D,MATCH($A61,'Schedule_Data_Option_B'!$C:$C,0)),"")</f>
        <v/>
      </c>
      <c r="H61" s="18">
        <f>IFERROR(INDEX('Schedule_Data_Option_B'!E:E,MATCH($A61,'Schedule_Data_Option_B'!$C:$C,0)),"")</f>
        <v/>
      </c>
      <c r="I61" s="20">
        <f>IFERROR(INDEX('Schedule_Data_Option_B'!G:G,MATCH($A61,'Schedule_Data_Option_B'!$C:$C,0)),"")</f>
        <v/>
      </c>
      <c r="J61" s="20">
        <f>IFERROR(INDEX('Schedule_Data_Option_B'!H:H,MATCH($A61,'Schedule_Data_Option_B'!$C:$C,0)),"")</f>
        <v/>
      </c>
      <c r="K61" s="18">
        <f>IFERROR(INDEX('Schedule_Data_Option_B'!I:I,MATCH($A61,'Schedule_Data_Option_B'!$C:$C,0)),"")</f>
        <v/>
      </c>
      <c r="L61" s="45">
        <f>IF(AND(D61&lt;&gt;"",I61&lt;&gt;""),I61-D61,"")</f>
        <v/>
      </c>
      <c r="M61" s="45">
        <f>IF(AND(E61&lt;&gt;"",J61&lt;&gt;""),J61-E61,"")</f>
        <v/>
      </c>
      <c r="N61" s="45">
        <f>IF(AND(F61&lt;&gt;"",K61&lt;&gt;""),K61-F61,"")</f>
        <v/>
      </c>
    </row>
    <row r="62">
      <c r="A62" s="18" t="inlineStr">
        <is>
          <t>A1310</t>
        </is>
      </c>
      <c r="B62" s="18">
        <f>IFERROR(INDEX('Schedule_Data_Option_A'!D:D,MATCH($A62,'Schedule_Data_Option_A'!$C:$C,0)),"")</f>
        <v/>
      </c>
      <c r="C62" s="18">
        <f>IFERROR(INDEX('Schedule_Data_Option_A'!E:E,MATCH($A62,'Schedule_Data_Option_A'!$C:$C,0)),"")</f>
        <v/>
      </c>
      <c r="D62" s="20">
        <f>IFERROR(INDEX('Schedule_Data_Option_A'!G:G,MATCH($A62,'Schedule_Data_Option_A'!$C:$C,0)),"")</f>
        <v/>
      </c>
      <c r="E62" s="20">
        <f>IFERROR(INDEX('Schedule_Data_Option_A'!H:H,MATCH($A62,'Schedule_Data_Option_A'!$C:$C,0)),"")</f>
        <v/>
      </c>
      <c r="F62" s="18">
        <f>IFERROR(INDEX('Schedule_Data_Option_A'!I:I,MATCH($A62,'Schedule_Data_Option_A'!$C:$C,0)),"")</f>
        <v/>
      </c>
      <c r="G62" s="18">
        <f>IFERROR(INDEX('Schedule_Data_Option_B'!D:D,MATCH($A62,'Schedule_Data_Option_B'!$C:$C,0)),"")</f>
        <v/>
      </c>
      <c r="H62" s="18">
        <f>IFERROR(INDEX('Schedule_Data_Option_B'!E:E,MATCH($A62,'Schedule_Data_Option_B'!$C:$C,0)),"")</f>
        <v/>
      </c>
      <c r="I62" s="20">
        <f>IFERROR(INDEX('Schedule_Data_Option_B'!G:G,MATCH($A62,'Schedule_Data_Option_B'!$C:$C,0)),"")</f>
        <v/>
      </c>
      <c r="J62" s="20">
        <f>IFERROR(INDEX('Schedule_Data_Option_B'!H:H,MATCH($A62,'Schedule_Data_Option_B'!$C:$C,0)),"")</f>
        <v/>
      </c>
      <c r="K62" s="18">
        <f>IFERROR(INDEX('Schedule_Data_Option_B'!I:I,MATCH($A62,'Schedule_Data_Option_B'!$C:$C,0)),"")</f>
        <v/>
      </c>
      <c r="L62" s="45">
        <f>IF(AND(D62&lt;&gt;"",I62&lt;&gt;""),I62-D62,"")</f>
        <v/>
      </c>
      <c r="M62" s="45">
        <f>IF(AND(E62&lt;&gt;"",J62&lt;&gt;""),J62-E62,"")</f>
        <v/>
      </c>
      <c r="N62" s="45">
        <f>IF(AND(F62&lt;&gt;"",K62&lt;&gt;""),K62-F62,"")</f>
        <v/>
      </c>
    </row>
    <row r="63">
      <c r="A63" s="18" t="inlineStr">
        <is>
          <t>A1320</t>
        </is>
      </c>
      <c r="B63" s="18">
        <f>IFERROR(INDEX('Schedule_Data_Option_A'!D:D,MATCH($A63,'Schedule_Data_Option_A'!$C:$C,0)),"")</f>
        <v/>
      </c>
      <c r="C63" s="18">
        <f>IFERROR(INDEX('Schedule_Data_Option_A'!E:E,MATCH($A63,'Schedule_Data_Option_A'!$C:$C,0)),"")</f>
        <v/>
      </c>
      <c r="D63" s="20">
        <f>IFERROR(INDEX('Schedule_Data_Option_A'!G:G,MATCH($A63,'Schedule_Data_Option_A'!$C:$C,0)),"")</f>
        <v/>
      </c>
      <c r="E63" s="20">
        <f>IFERROR(INDEX('Schedule_Data_Option_A'!H:H,MATCH($A63,'Schedule_Data_Option_A'!$C:$C,0)),"")</f>
        <v/>
      </c>
      <c r="F63" s="18">
        <f>IFERROR(INDEX('Schedule_Data_Option_A'!I:I,MATCH($A63,'Schedule_Data_Option_A'!$C:$C,0)),"")</f>
        <v/>
      </c>
      <c r="G63" s="18">
        <f>IFERROR(INDEX('Schedule_Data_Option_B'!D:D,MATCH($A63,'Schedule_Data_Option_B'!$C:$C,0)),"")</f>
        <v/>
      </c>
      <c r="H63" s="18">
        <f>IFERROR(INDEX('Schedule_Data_Option_B'!E:E,MATCH($A63,'Schedule_Data_Option_B'!$C:$C,0)),"")</f>
        <v/>
      </c>
      <c r="I63" s="20">
        <f>IFERROR(INDEX('Schedule_Data_Option_B'!G:G,MATCH($A63,'Schedule_Data_Option_B'!$C:$C,0)),"")</f>
        <v/>
      </c>
      <c r="J63" s="20">
        <f>IFERROR(INDEX('Schedule_Data_Option_B'!H:H,MATCH($A63,'Schedule_Data_Option_B'!$C:$C,0)),"")</f>
        <v/>
      </c>
      <c r="K63" s="18">
        <f>IFERROR(INDEX('Schedule_Data_Option_B'!I:I,MATCH($A63,'Schedule_Data_Option_B'!$C:$C,0)),"")</f>
        <v/>
      </c>
      <c r="L63" s="45">
        <f>IF(AND(D63&lt;&gt;"",I63&lt;&gt;""),I63-D63,"")</f>
        <v/>
      </c>
      <c r="M63" s="45">
        <f>IF(AND(E63&lt;&gt;"",J63&lt;&gt;""),J63-E63,"")</f>
        <v/>
      </c>
      <c r="N63" s="45">
        <f>IF(AND(F63&lt;&gt;"",K63&lt;&gt;""),K63-F63,"")</f>
        <v/>
      </c>
    </row>
    <row r="64">
      <c r="A64" s="18" t="inlineStr">
        <is>
          <t>A1330</t>
        </is>
      </c>
      <c r="B64" s="18">
        <f>IFERROR(INDEX('Schedule_Data_Option_A'!D:D,MATCH($A64,'Schedule_Data_Option_A'!$C:$C,0)),"")</f>
        <v/>
      </c>
      <c r="C64" s="18">
        <f>IFERROR(INDEX('Schedule_Data_Option_A'!E:E,MATCH($A64,'Schedule_Data_Option_A'!$C:$C,0)),"")</f>
        <v/>
      </c>
      <c r="D64" s="20">
        <f>IFERROR(INDEX('Schedule_Data_Option_A'!G:G,MATCH($A64,'Schedule_Data_Option_A'!$C:$C,0)),"")</f>
        <v/>
      </c>
      <c r="E64" s="20">
        <f>IFERROR(INDEX('Schedule_Data_Option_A'!H:H,MATCH($A64,'Schedule_Data_Option_A'!$C:$C,0)),"")</f>
        <v/>
      </c>
      <c r="F64" s="18">
        <f>IFERROR(INDEX('Schedule_Data_Option_A'!I:I,MATCH($A64,'Schedule_Data_Option_A'!$C:$C,0)),"")</f>
        <v/>
      </c>
      <c r="G64" s="18">
        <f>IFERROR(INDEX('Schedule_Data_Option_B'!D:D,MATCH($A64,'Schedule_Data_Option_B'!$C:$C,0)),"")</f>
        <v/>
      </c>
      <c r="H64" s="18">
        <f>IFERROR(INDEX('Schedule_Data_Option_B'!E:E,MATCH($A64,'Schedule_Data_Option_B'!$C:$C,0)),"")</f>
        <v/>
      </c>
      <c r="I64" s="20">
        <f>IFERROR(INDEX('Schedule_Data_Option_B'!G:G,MATCH($A64,'Schedule_Data_Option_B'!$C:$C,0)),"")</f>
        <v/>
      </c>
      <c r="J64" s="20">
        <f>IFERROR(INDEX('Schedule_Data_Option_B'!H:H,MATCH($A64,'Schedule_Data_Option_B'!$C:$C,0)),"")</f>
        <v/>
      </c>
      <c r="K64" s="18">
        <f>IFERROR(INDEX('Schedule_Data_Option_B'!I:I,MATCH($A64,'Schedule_Data_Option_B'!$C:$C,0)),"")</f>
        <v/>
      </c>
      <c r="L64" s="45">
        <f>IF(AND(D64&lt;&gt;"",I64&lt;&gt;""),I64-D64,"")</f>
        <v/>
      </c>
      <c r="M64" s="45">
        <f>IF(AND(E64&lt;&gt;"",J64&lt;&gt;""),J64-E64,"")</f>
        <v/>
      </c>
      <c r="N64" s="45">
        <f>IF(AND(F64&lt;&gt;"",K64&lt;&gt;""),K64-F64,"")</f>
        <v/>
      </c>
    </row>
    <row r="65">
      <c r="A65" s="18" t="inlineStr">
        <is>
          <t>A1340</t>
        </is>
      </c>
      <c r="B65" s="18">
        <f>IFERROR(INDEX('Schedule_Data_Option_A'!D:D,MATCH($A65,'Schedule_Data_Option_A'!$C:$C,0)),"")</f>
        <v/>
      </c>
      <c r="C65" s="18">
        <f>IFERROR(INDEX('Schedule_Data_Option_A'!E:E,MATCH($A65,'Schedule_Data_Option_A'!$C:$C,0)),"")</f>
        <v/>
      </c>
      <c r="D65" s="20">
        <f>IFERROR(INDEX('Schedule_Data_Option_A'!G:G,MATCH($A65,'Schedule_Data_Option_A'!$C:$C,0)),"")</f>
        <v/>
      </c>
      <c r="E65" s="20">
        <f>IFERROR(INDEX('Schedule_Data_Option_A'!H:H,MATCH($A65,'Schedule_Data_Option_A'!$C:$C,0)),"")</f>
        <v/>
      </c>
      <c r="F65" s="18">
        <f>IFERROR(INDEX('Schedule_Data_Option_A'!I:I,MATCH($A65,'Schedule_Data_Option_A'!$C:$C,0)),"")</f>
        <v/>
      </c>
      <c r="G65" s="18">
        <f>IFERROR(INDEX('Schedule_Data_Option_B'!D:D,MATCH($A65,'Schedule_Data_Option_B'!$C:$C,0)),"")</f>
        <v/>
      </c>
      <c r="H65" s="18">
        <f>IFERROR(INDEX('Schedule_Data_Option_B'!E:E,MATCH($A65,'Schedule_Data_Option_B'!$C:$C,0)),"")</f>
        <v/>
      </c>
      <c r="I65" s="20">
        <f>IFERROR(INDEX('Schedule_Data_Option_B'!G:G,MATCH($A65,'Schedule_Data_Option_B'!$C:$C,0)),"")</f>
        <v/>
      </c>
      <c r="J65" s="20">
        <f>IFERROR(INDEX('Schedule_Data_Option_B'!H:H,MATCH($A65,'Schedule_Data_Option_B'!$C:$C,0)),"")</f>
        <v/>
      </c>
      <c r="K65" s="18">
        <f>IFERROR(INDEX('Schedule_Data_Option_B'!I:I,MATCH($A65,'Schedule_Data_Option_B'!$C:$C,0)),"")</f>
        <v/>
      </c>
      <c r="L65" s="45">
        <f>IF(AND(D65&lt;&gt;"",I65&lt;&gt;""),I65-D65,"")</f>
        <v/>
      </c>
      <c r="M65" s="45">
        <f>IF(AND(E65&lt;&gt;"",J65&lt;&gt;""),J65-E65,"")</f>
        <v/>
      </c>
      <c r="N65" s="45">
        <f>IF(AND(F65&lt;&gt;"",K65&lt;&gt;""),K65-F65,"")</f>
        <v/>
      </c>
    </row>
    <row r="66">
      <c r="A66" s="18" t="inlineStr">
        <is>
          <t>A1350</t>
        </is>
      </c>
      <c r="B66" s="18">
        <f>IFERROR(INDEX('Schedule_Data_Option_A'!D:D,MATCH($A66,'Schedule_Data_Option_A'!$C:$C,0)),"")</f>
        <v/>
      </c>
      <c r="C66" s="18">
        <f>IFERROR(INDEX('Schedule_Data_Option_A'!E:E,MATCH($A66,'Schedule_Data_Option_A'!$C:$C,0)),"")</f>
        <v/>
      </c>
      <c r="D66" s="20">
        <f>IFERROR(INDEX('Schedule_Data_Option_A'!G:G,MATCH($A66,'Schedule_Data_Option_A'!$C:$C,0)),"")</f>
        <v/>
      </c>
      <c r="E66" s="20">
        <f>IFERROR(INDEX('Schedule_Data_Option_A'!H:H,MATCH($A66,'Schedule_Data_Option_A'!$C:$C,0)),"")</f>
        <v/>
      </c>
      <c r="F66" s="18">
        <f>IFERROR(INDEX('Schedule_Data_Option_A'!I:I,MATCH($A66,'Schedule_Data_Option_A'!$C:$C,0)),"")</f>
        <v/>
      </c>
      <c r="G66" s="18">
        <f>IFERROR(INDEX('Schedule_Data_Option_B'!D:D,MATCH($A66,'Schedule_Data_Option_B'!$C:$C,0)),"")</f>
        <v/>
      </c>
      <c r="H66" s="18">
        <f>IFERROR(INDEX('Schedule_Data_Option_B'!E:E,MATCH($A66,'Schedule_Data_Option_B'!$C:$C,0)),"")</f>
        <v/>
      </c>
      <c r="I66" s="20">
        <f>IFERROR(INDEX('Schedule_Data_Option_B'!G:G,MATCH($A66,'Schedule_Data_Option_B'!$C:$C,0)),"")</f>
        <v/>
      </c>
      <c r="J66" s="20">
        <f>IFERROR(INDEX('Schedule_Data_Option_B'!H:H,MATCH($A66,'Schedule_Data_Option_B'!$C:$C,0)),"")</f>
        <v/>
      </c>
      <c r="K66" s="18">
        <f>IFERROR(INDEX('Schedule_Data_Option_B'!I:I,MATCH($A66,'Schedule_Data_Option_B'!$C:$C,0)),"")</f>
        <v/>
      </c>
      <c r="L66" s="45">
        <f>IF(AND(D66&lt;&gt;"",I66&lt;&gt;""),I66-D66,"")</f>
        <v/>
      </c>
      <c r="M66" s="45">
        <f>IF(AND(E66&lt;&gt;"",J66&lt;&gt;""),J66-E66,"")</f>
        <v/>
      </c>
      <c r="N66" s="45">
        <f>IF(AND(F66&lt;&gt;"",K66&lt;&gt;""),K66-F66,"")</f>
        <v/>
      </c>
    </row>
    <row r="67">
      <c r="A67" s="18" t="inlineStr">
        <is>
          <t>A1360</t>
        </is>
      </c>
      <c r="B67" s="18">
        <f>IFERROR(INDEX('Schedule_Data_Option_A'!D:D,MATCH($A67,'Schedule_Data_Option_A'!$C:$C,0)),"")</f>
        <v/>
      </c>
      <c r="C67" s="18">
        <f>IFERROR(INDEX('Schedule_Data_Option_A'!E:E,MATCH($A67,'Schedule_Data_Option_A'!$C:$C,0)),"")</f>
        <v/>
      </c>
      <c r="D67" s="20">
        <f>IFERROR(INDEX('Schedule_Data_Option_A'!G:G,MATCH($A67,'Schedule_Data_Option_A'!$C:$C,0)),"")</f>
        <v/>
      </c>
      <c r="E67" s="20">
        <f>IFERROR(INDEX('Schedule_Data_Option_A'!H:H,MATCH($A67,'Schedule_Data_Option_A'!$C:$C,0)),"")</f>
        <v/>
      </c>
      <c r="F67" s="18">
        <f>IFERROR(INDEX('Schedule_Data_Option_A'!I:I,MATCH($A67,'Schedule_Data_Option_A'!$C:$C,0)),"")</f>
        <v/>
      </c>
      <c r="G67" s="18">
        <f>IFERROR(INDEX('Schedule_Data_Option_B'!D:D,MATCH($A67,'Schedule_Data_Option_B'!$C:$C,0)),"")</f>
        <v/>
      </c>
      <c r="H67" s="18">
        <f>IFERROR(INDEX('Schedule_Data_Option_B'!E:E,MATCH($A67,'Schedule_Data_Option_B'!$C:$C,0)),"")</f>
        <v/>
      </c>
      <c r="I67" s="20">
        <f>IFERROR(INDEX('Schedule_Data_Option_B'!G:G,MATCH($A67,'Schedule_Data_Option_B'!$C:$C,0)),"")</f>
        <v/>
      </c>
      <c r="J67" s="20">
        <f>IFERROR(INDEX('Schedule_Data_Option_B'!H:H,MATCH($A67,'Schedule_Data_Option_B'!$C:$C,0)),"")</f>
        <v/>
      </c>
      <c r="K67" s="18">
        <f>IFERROR(INDEX('Schedule_Data_Option_B'!I:I,MATCH($A67,'Schedule_Data_Option_B'!$C:$C,0)),"")</f>
        <v/>
      </c>
      <c r="L67" s="45">
        <f>IF(AND(D67&lt;&gt;"",I67&lt;&gt;""),I67-D67,"")</f>
        <v/>
      </c>
      <c r="M67" s="45">
        <f>IF(AND(E67&lt;&gt;"",J67&lt;&gt;""),J67-E67,"")</f>
        <v/>
      </c>
      <c r="N67" s="45">
        <f>IF(AND(F67&lt;&gt;"",K67&lt;&gt;""),K67-F67,"")</f>
        <v/>
      </c>
    </row>
    <row r="68">
      <c r="A68" s="18" t="inlineStr">
        <is>
          <t>A1370</t>
        </is>
      </c>
      <c r="B68" s="18">
        <f>IFERROR(INDEX('Schedule_Data_Option_A'!D:D,MATCH($A68,'Schedule_Data_Option_A'!$C:$C,0)),"")</f>
        <v/>
      </c>
      <c r="C68" s="18">
        <f>IFERROR(INDEX('Schedule_Data_Option_A'!E:E,MATCH($A68,'Schedule_Data_Option_A'!$C:$C,0)),"")</f>
        <v/>
      </c>
      <c r="D68" s="20">
        <f>IFERROR(INDEX('Schedule_Data_Option_A'!G:G,MATCH($A68,'Schedule_Data_Option_A'!$C:$C,0)),"")</f>
        <v/>
      </c>
      <c r="E68" s="20">
        <f>IFERROR(INDEX('Schedule_Data_Option_A'!H:H,MATCH($A68,'Schedule_Data_Option_A'!$C:$C,0)),"")</f>
        <v/>
      </c>
      <c r="F68" s="18">
        <f>IFERROR(INDEX('Schedule_Data_Option_A'!I:I,MATCH($A68,'Schedule_Data_Option_A'!$C:$C,0)),"")</f>
        <v/>
      </c>
      <c r="G68" s="18">
        <f>IFERROR(INDEX('Schedule_Data_Option_B'!D:D,MATCH($A68,'Schedule_Data_Option_B'!$C:$C,0)),"")</f>
        <v/>
      </c>
      <c r="H68" s="18">
        <f>IFERROR(INDEX('Schedule_Data_Option_B'!E:E,MATCH($A68,'Schedule_Data_Option_B'!$C:$C,0)),"")</f>
        <v/>
      </c>
      <c r="I68" s="20">
        <f>IFERROR(INDEX('Schedule_Data_Option_B'!G:G,MATCH($A68,'Schedule_Data_Option_B'!$C:$C,0)),"")</f>
        <v/>
      </c>
      <c r="J68" s="20">
        <f>IFERROR(INDEX('Schedule_Data_Option_B'!H:H,MATCH($A68,'Schedule_Data_Option_B'!$C:$C,0)),"")</f>
        <v/>
      </c>
      <c r="K68" s="18">
        <f>IFERROR(INDEX('Schedule_Data_Option_B'!I:I,MATCH($A68,'Schedule_Data_Option_B'!$C:$C,0)),"")</f>
        <v/>
      </c>
      <c r="L68" s="45">
        <f>IF(AND(D68&lt;&gt;"",I68&lt;&gt;""),I68-D68,"")</f>
        <v/>
      </c>
      <c r="M68" s="45">
        <f>IF(AND(E68&lt;&gt;"",J68&lt;&gt;""),J68-E68,"")</f>
        <v/>
      </c>
      <c r="N68" s="45">
        <f>IF(AND(F68&lt;&gt;"",K68&lt;&gt;""),K68-F68,"")</f>
        <v/>
      </c>
    </row>
    <row r="69">
      <c r="A69" s="18" t="inlineStr">
        <is>
          <t>A1380</t>
        </is>
      </c>
      <c r="B69" s="18">
        <f>IFERROR(INDEX('Schedule_Data_Option_A'!D:D,MATCH($A69,'Schedule_Data_Option_A'!$C:$C,0)),"")</f>
        <v/>
      </c>
      <c r="C69" s="18">
        <f>IFERROR(INDEX('Schedule_Data_Option_A'!E:E,MATCH($A69,'Schedule_Data_Option_A'!$C:$C,0)),"")</f>
        <v/>
      </c>
      <c r="D69" s="20">
        <f>IFERROR(INDEX('Schedule_Data_Option_A'!G:G,MATCH($A69,'Schedule_Data_Option_A'!$C:$C,0)),"")</f>
        <v/>
      </c>
      <c r="E69" s="20">
        <f>IFERROR(INDEX('Schedule_Data_Option_A'!H:H,MATCH($A69,'Schedule_Data_Option_A'!$C:$C,0)),"")</f>
        <v/>
      </c>
      <c r="F69" s="18">
        <f>IFERROR(INDEX('Schedule_Data_Option_A'!I:I,MATCH($A69,'Schedule_Data_Option_A'!$C:$C,0)),"")</f>
        <v/>
      </c>
      <c r="G69" s="18">
        <f>IFERROR(INDEX('Schedule_Data_Option_B'!D:D,MATCH($A69,'Schedule_Data_Option_B'!$C:$C,0)),"")</f>
        <v/>
      </c>
      <c r="H69" s="18">
        <f>IFERROR(INDEX('Schedule_Data_Option_B'!E:E,MATCH($A69,'Schedule_Data_Option_B'!$C:$C,0)),"")</f>
        <v/>
      </c>
      <c r="I69" s="20">
        <f>IFERROR(INDEX('Schedule_Data_Option_B'!G:G,MATCH($A69,'Schedule_Data_Option_B'!$C:$C,0)),"")</f>
        <v/>
      </c>
      <c r="J69" s="20">
        <f>IFERROR(INDEX('Schedule_Data_Option_B'!H:H,MATCH($A69,'Schedule_Data_Option_B'!$C:$C,0)),"")</f>
        <v/>
      </c>
      <c r="K69" s="18">
        <f>IFERROR(INDEX('Schedule_Data_Option_B'!I:I,MATCH($A69,'Schedule_Data_Option_B'!$C:$C,0)),"")</f>
        <v/>
      </c>
      <c r="L69" s="45">
        <f>IF(AND(D69&lt;&gt;"",I69&lt;&gt;""),I69-D69,"")</f>
        <v/>
      </c>
      <c r="M69" s="45">
        <f>IF(AND(E69&lt;&gt;"",J69&lt;&gt;""),J69-E69,"")</f>
        <v/>
      </c>
      <c r="N69" s="45">
        <f>IF(AND(F69&lt;&gt;"",K69&lt;&gt;""),K69-F69,"")</f>
        <v/>
      </c>
    </row>
    <row r="70">
      <c r="A70" s="18" t="inlineStr">
        <is>
          <t>A1390</t>
        </is>
      </c>
      <c r="B70" s="18">
        <f>IFERROR(INDEX('Schedule_Data_Option_A'!D:D,MATCH($A70,'Schedule_Data_Option_A'!$C:$C,0)),"")</f>
        <v/>
      </c>
      <c r="C70" s="18">
        <f>IFERROR(INDEX('Schedule_Data_Option_A'!E:E,MATCH($A70,'Schedule_Data_Option_A'!$C:$C,0)),"")</f>
        <v/>
      </c>
      <c r="D70" s="20">
        <f>IFERROR(INDEX('Schedule_Data_Option_A'!G:G,MATCH($A70,'Schedule_Data_Option_A'!$C:$C,0)),"")</f>
        <v/>
      </c>
      <c r="E70" s="20">
        <f>IFERROR(INDEX('Schedule_Data_Option_A'!H:H,MATCH($A70,'Schedule_Data_Option_A'!$C:$C,0)),"")</f>
        <v/>
      </c>
      <c r="F70" s="18">
        <f>IFERROR(INDEX('Schedule_Data_Option_A'!I:I,MATCH($A70,'Schedule_Data_Option_A'!$C:$C,0)),"")</f>
        <v/>
      </c>
      <c r="G70" s="18">
        <f>IFERROR(INDEX('Schedule_Data_Option_B'!D:D,MATCH($A70,'Schedule_Data_Option_B'!$C:$C,0)),"")</f>
        <v/>
      </c>
      <c r="H70" s="18">
        <f>IFERROR(INDEX('Schedule_Data_Option_B'!E:E,MATCH($A70,'Schedule_Data_Option_B'!$C:$C,0)),"")</f>
        <v/>
      </c>
      <c r="I70" s="20">
        <f>IFERROR(INDEX('Schedule_Data_Option_B'!G:G,MATCH($A70,'Schedule_Data_Option_B'!$C:$C,0)),"")</f>
        <v/>
      </c>
      <c r="J70" s="20">
        <f>IFERROR(INDEX('Schedule_Data_Option_B'!H:H,MATCH($A70,'Schedule_Data_Option_B'!$C:$C,0)),"")</f>
        <v/>
      </c>
      <c r="K70" s="18">
        <f>IFERROR(INDEX('Schedule_Data_Option_B'!I:I,MATCH($A70,'Schedule_Data_Option_B'!$C:$C,0)),"")</f>
        <v/>
      </c>
      <c r="L70" s="45">
        <f>IF(AND(D70&lt;&gt;"",I70&lt;&gt;""),I70-D70,"")</f>
        <v/>
      </c>
      <c r="M70" s="45">
        <f>IF(AND(E70&lt;&gt;"",J70&lt;&gt;""),J70-E70,"")</f>
        <v/>
      </c>
      <c r="N70" s="45">
        <f>IF(AND(F70&lt;&gt;"",K70&lt;&gt;""),K70-F70,"")</f>
        <v/>
      </c>
    </row>
    <row r="71">
      <c r="A71" s="18" t="inlineStr">
        <is>
          <t>A1400</t>
        </is>
      </c>
      <c r="B71" s="18">
        <f>IFERROR(INDEX('Schedule_Data_Option_A'!D:D,MATCH($A71,'Schedule_Data_Option_A'!$C:$C,0)),"")</f>
        <v/>
      </c>
      <c r="C71" s="18">
        <f>IFERROR(INDEX('Schedule_Data_Option_A'!E:E,MATCH($A71,'Schedule_Data_Option_A'!$C:$C,0)),"")</f>
        <v/>
      </c>
      <c r="D71" s="20">
        <f>IFERROR(INDEX('Schedule_Data_Option_A'!G:G,MATCH($A71,'Schedule_Data_Option_A'!$C:$C,0)),"")</f>
        <v/>
      </c>
      <c r="E71" s="20">
        <f>IFERROR(INDEX('Schedule_Data_Option_A'!H:H,MATCH($A71,'Schedule_Data_Option_A'!$C:$C,0)),"")</f>
        <v/>
      </c>
      <c r="F71" s="18">
        <f>IFERROR(INDEX('Schedule_Data_Option_A'!I:I,MATCH($A71,'Schedule_Data_Option_A'!$C:$C,0)),"")</f>
        <v/>
      </c>
      <c r="G71" s="18">
        <f>IFERROR(INDEX('Schedule_Data_Option_B'!D:D,MATCH($A71,'Schedule_Data_Option_B'!$C:$C,0)),"")</f>
        <v/>
      </c>
      <c r="H71" s="18">
        <f>IFERROR(INDEX('Schedule_Data_Option_B'!E:E,MATCH($A71,'Schedule_Data_Option_B'!$C:$C,0)),"")</f>
        <v/>
      </c>
      <c r="I71" s="20">
        <f>IFERROR(INDEX('Schedule_Data_Option_B'!G:G,MATCH($A71,'Schedule_Data_Option_B'!$C:$C,0)),"")</f>
        <v/>
      </c>
      <c r="J71" s="20">
        <f>IFERROR(INDEX('Schedule_Data_Option_B'!H:H,MATCH($A71,'Schedule_Data_Option_B'!$C:$C,0)),"")</f>
        <v/>
      </c>
      <c r="K71" s="18">
        <f>IFERROR(INDEX('Schedule_Data_Option_B'!I:I,MATCH($A71,'Schedule_Data_Option_B'!$C:$C,0)),"")</f>
        <v/>
      </c>
      <c r="L71" s="45">
        <f>IF(AND(D71&lt;&gt;"",I71&lt;&gt;""),I71-D71,"")</f>
        <v/>
      </c>
      <c r="M71" s="45">
        <f>IF(AND(E71&lt;&gt;"",J71&lt;&gt;""),J71-E71,"")</f>
        <v/>
      </c>
      <c r="N71" s="45">
        <f>IF(AND(F71&lt;&gt;"",K71&lt;&gt;""),K71-F71,"")</f>
        <v/>
      </c>
    </row>
    <row r="72">
      <c r="A72" s="18" t="inlineStr">
        <is>
          <t>A1410</t>
        </is>
      </c>
      <c r="B72" s="18">
        <f>IFERROR(INDEX('Schedule_Data_Option_A'!D:D,MATCH($A72,'Schedule_Data_Option_A'!$C:$C,0)),"")</f>
        <v/>
      </c>
      <c r="C72" s="18">
        <f>IFERROR(INDEX('Schedule_Data_Option_A'!E:E,MATCH($A72,'Schedule_Data_Option_A'!$C:$C,0)),"")</f>
        <v/>
      </c>
      <c r="D72" s="20">
        <f>IFERROR(INDEX('Schedule_Data_Option_A'!G:G,MATCH($A72,'Schedule_Data_Option_A'!$C:$C,0)),"")</f>
        <v/>
      </c>
      <c r="E72" s="20">
        <f>IFERROR(INDEX('Schedule_Data_Option_A'!H:H,MATCH($A72,'Schedule_Data_Option_A'!$C:$C,0)),"")</f>
        <v/>
      </c>
      <c r="F72" s="18">
        <f>IFERROR(INDEX('Schedule_Data_Option_A'!I:I,MATCH($A72,'Schedule_Data_Option_A'!$C:$C,0)),"")</f>
        <v/>
      </c>
      <c r="G72" s="18">
        <f>IFERROR(INDEX('Schedule_Data_Option_B'!D:D,MATCH($A72,'Schedule_Data_Option_B'!$C:$C,0)),"")</f>
        <v/>
      </c>
      <c r="H72" s="18">
        <f>IFERROR(INDEX('Schedule_Data_Option_B'!E:E,MATCH($A72,'Schedule_Data_Option_B'!$C:$C,0)),"")</f>
        <v/>
      </c>
      <c r="I72" s="20">
        <f>IFERROR(INDEX('Schedule_Data_Option_B'!G:G,MATCH($A72,'Schedule_Data_Option_B'!$C:$C,0)),"")</f>
        <v/>
      </c>
      <c r="J72" s="20">
        <f>IFERROR(INDEX('Schedule_Data_Option_B'!H:H,MATCH($A72,'Schedule_Data_Option_B'!$C:$C,0)),"")</f>
        <v/>
      </c>
      <c r="K72" s="18">
        <f>IFERROR(INDEX('Schedule_Data_Option_B'!I:I,MATCH($A72,'Schedule_Data_Option_B'!$C:$C,0)),"")</f>
        <v/>
      </c>
      <c r="L72" s="45">
        <f>IF(AND(D72&lt;&gt;"",I72&lt;&gt;""),I72-D72,"")</f>
        <v/>
      </c>
      <c r="M72" s="45">
        <f>IF(AND(E72&lt;&gt;"",J72&lt;&gt;""),J72-E72,"")</f>
        <v/>
      </c>
      <c r="N72" s="45">
        <f>IF(AND(F72&lt;&gt;"",K72&lt;&gt;""),K72-F72,"")</f>
        <v/>
      </c>
    </row>
    <row r="73">
      <c r="A73" s="18" t="inlineStr">
        <is>
          <t>A1420</t>
        </is>
      </c>
      <c r="B73" s="18">
        <f>IFERROR(INDEX('Schedule_Data_Option_A'!D:D,MATCH($A73,'Schedule_Data_Option_A'!$C:$C,0)),"")</f>
        <v/>
      </c>
      <c r="C73" s="18">
        <f>IFERROR(INDEX('Schedule_Data_Option_A'!E:E,MATCH($A73,'Schedule_Data_Option_A'!$C:$C,0)),"")</f>
        <v/>
      </c>
      <c r="D73" s="20">
        <f>IFERROR(INDEX('Schedule_Data_Option_A'!G:G,MATCH($A73,'Schedule_Data_Option_A'!$C:$C,0)),"")</f>
        <v/>
      </c>
      <c r="E73" s="20">
        <f>IFERROR(INDEX('Schedule_Data_Option_A'!H:H,MATCH($A73,'Schedule_Data_Option_A'!$C:$C,0)),"")</f>
        <v/>
      </c>
      <c r="F73" s="18">
        <f>IFERROR(INDEX('Schedule_Data_Option_A'!I:I,MATCH($A73,'Schedule_Data_Option_A'!$C:$C,0)),"")</f>
        <v/>
      </c>
      <c r="G73" s="18">
        <f>IFERROR(INDEX('Schedule_Data_Option_B'!D:D,MATCH($A73,'Schedule_Data_Option_B'!$C:$C,0)),"")</f>
        <v/>
      </c>
      <c r="H73" s="18">
        <f>IFERROR(INDEX('Schedule_Data_Option_B'!E:E,MATCH($A73,'Schedule_Data_Option_B'!$C:$C,0)),"")</f>
        <v/>
      </c>
      <c r="I73" s="20">
        <f>IFERROR(INDEX('Schedule_Data_Option_B'!G:G,MATCH($A73,'Schedule_Data_Option_B'!$C:$C,0)),"")</f>
        <v/>
      </c>
      <c r="J73" s="20">
        <f>IFERROR(INDEX('Schedule_Data_Option_B'!H:H,MATCH($A73,'Schedule_Data_Option_B'!$C:$C,0)),"")</f>
        <v/>
      </c>
      <c r="K73" s="18">
        <f>IFERROR(INDEX('Schedule_Data_Option_B'!I:I,MATCH($A73,'Schedule_Data_Option_B'!$C:$C,0)),"")</f>
        <v/>
      </c>
      <c r="L73" s="45">
        <f>IF(AND(D73&lt;&gt;"",I73&lt;&gt;""),I73-D73,"")</f>
        <v/>
      </c>
      <c r="M73" s="45">
        <f>IF(AND(E73&lt;&gt;"",J73&lt;&gt;""),J73-E73,"")</f>
        <v/>
      </c>
      <c r="N73" s="45">
        <f>IF(AND(F73&lt;&gt;"",K73&lt;&gt;""),K73-F73,"")</f>
        <v/>
      </c>
    </row>
    <row r="74">
      <c r="A74" s="18" t="inlineStr">
        <is>
          <t>A1430</t>
        </is>
      </c>
      <c r="B74" s="18">
        <f>IFERROR(INDEX('Schedule_Data_Option_A'!D:D,MATCH($A74,'Schedule_Data_Option_A'!$C:$C,0)),"")</f>
        <v/>
      </c>
      <c r="C74" s="18">
        <f>IFERROR(INDEX('Schedule_Data_Option_A'!E:E,MATCH($A74,'Schedule_Data_Option_A'!$C:$C,0)),"")</f>
        <v/>
      </c>
      <c r="D74" s="20">
        <f>IFERROR(INDEX('Schedule_Data_Option_A'!G:G,MATCH($A74,'Schedule_Data_Option_A'!$C:$C,0)),"")</f>
        <v/>
      </c>
      <c r="E74" s="20">
        <f>IFERROR(INDEX('Schedule_Data_Option_A'!H:H,MATCH($A74,'Schedule_Data_Option_A'!$C:$C,0)),"")</f>
        <v/>
      </c>
      <c r="F74" s="18">
        <f>IFERROR(INDEX('Schedule_Data_Option_A'!I:I,MATCH($A74,'Schedule_Data_Option_A'!$C:$C,0)),"")</f>
        <v/>
      </c>
      <c r="G74" s="18">
        <f>IFERROR(INDEX('Schedule_Data_Option_B'!D:D,MATCH($A74,'Schedule_Data_Option_B'!$C:$C,0)),"")</f>
        <v/>
      </c>
      <c r="H74" s="18">
        <f>IFERROR(INDEX('Schedule_Data_Option_B'!E:E,MATCH($A74,'Schedule_Data_Option_B'!$C:$C,0)),"")</f>
        <v/>
      </c>
      <c r="I74" s="20">
        <f>IFERROR(INDEX('Schedule_Data_Option_B'!G:G,MATCH($A74,'Schedule_Data_Option_B'!$C:$C,0)),"")</f>
        <v/>
      </c>
      <c r="J74" s="20">
        <f>IFERROR(INDEX('Schedule_Data_Option_B'!H:H,MATCH($A74,'Schedule_Data_Option_B'!$C:$C,0)),"")</f>
        <v/>
      </c>
      <c r="K74" s="18">
        <f>IFERROR(INDEX('Schedule_Data_Option_B'!I:I,MATCH($A74,'Schedule_Data_Option_B'!$C:$C,0)),"")</f>
        <v/>
      </c>
      <c r="L74" s="45">
        <f>IF(AND(D74&lt;&gt;"",I74&lt;&gt;""),I74-D74,"")</f>
        <v/>
      </c>
      <c r="M74" s="45">
        <f>IF(AND(E74&lt;&gt;"",J74&lt;&gt;""),J74-E74,"")</f>
        <v/>
      </c>
      <c r="N74" s="45">
        <f>IF(AND(F74&lt;&gt;"",K74&lt;&gt;""),K74-F74,"")</f>
        <v/>
      </c>
    </row>
    <row r="75">
      <c r="A75" s="18" t="inlineStr">
        <is>
          <t>A1440</t>
        </is>
      </c>
      <c r="B75" s="18">
        <f>IFERROR(INDEX('Schedule_Data_Option_A'!D:D,MATCH($A75,'Schedule_Data_Option_A'!$C:$C,0)),"")</f>
        <v/>
      </c>
      <c r="C75" s="18">
        <f>IFERROR(INDEX('Schedule_Data_Option_A'!E:E,MATCH($A75,'Schedule_Data_Option_A'!$C:$C,0)),"")</f>
        <v/>
      </c>
      <c r="D75" s="20">
        <f>IFERROR(INDEX('Schedule_Data_Option_A'!G:G,MATCH($A75,'Schedule_Data_Option_A'!$C:$C,0)),"")</f>
        <v/>
      </c>
      <c r="E75" s="20">
        <f>IFERROR(INDEX('Schedule_Data_Option_A'!H:H,MATCH($A75,'Schedule_Data_Option_A'!$C:$C,0)),"")</f>
        <v/>
      </c>
      <c r="F75" s="18">
        <f>IFERROR(INDEX('Schedule_Data_Option_A'!I:I,MATCH($A75,'Schedule_Data_Option_A'!$C:$C,0)),"")</f>
        <v/>
      </c>
      <c r="G75" s="18">
        <f>IFERROR(INDEX('Schedule_Data_Option_B'!D:D,MATCH($A75,'Schedule_Data_Option_B'!$C:$C,0)),"")</f>
        <v/>
      </c>
      <c r="H75" s="18">
        <f>IFERROR(INDEX('Schedule_Data_Option_B'!E:E,MATCH($A75,'Schedule_Data_Option_B'!$C:$C,0)),"")</f>
        <v/>
      </c>
      <c r="I75" s="20">
        <f>IFERROR(INDEX('Schedule_Data_Option_B'!G:G,MATCH($A75,'Schedule_Data_Option_B'!$C:$C,0)),"")</f>
        <v/>
      </c>
      <c r="J75" s="20">
        <f>IFERROR(INDEX('Schedule_Data_Option_B'!H:H,MATCH($A75,'Schedule_Data_Option_B'!$C:$C,0)),"")</f>
        <v/>
      </c>
      <c r="K75" s="18">
        <f>IFERROR(INDEX('Schedule_Data_Option_B'!I:I,MATCH($A75,'Schedule_Data_Option_B'!$C:$C,0)),"")</f>
        <v/>
      </c>
      <c r="L75" s="45">
        <f>IF(AND(D75&lt;&gt;"",I75&lt;&gt;""),I75-D75,"")</f>
        <v/>
      </c>
      <c r="M75" s="45">
        <f>IF(AND(E75&lt;&gt;"",J75&lt;&gt;""),J75-E75,"")</f>
        <v/>
      </c>
      <c r="N75" s="45">
        <f>IF(AND(F75&lt;&gt;"",K75&lt;&gt;""),K75-F75,"")</f>
        <v/>
      </c>
    </row>
    <row r="76">
      <c r="A76" s="18" t="inlineStr">
        <is>
          <t>A1450</t>
        </is>
      </c>
      <c r="B76" s="18">
        <f>IFERROR(INDEX('Schedule_Data_Option_A'!D:D,MATCH($A76,'Schedule_Data_Option_A'!$C:$C,0)),"")</f>
        <v/>
      </c>
      <c r="C76" s="18">
        <f>IFERROR(INDEX('Schedule_Data_Option_A'!E:E,MATCH($A76,'Schedule_Data_Option_A'!$C:$C,0)),"")</f>
        <v/>
      </c>
      <c r="D76" s="20">
        <f>IFERROR(INDEX('Schedule_Data_Option_A'!G:G,MATCH($A76,'Schedule_Data_Option_A'!$C:$C,0)),"")</f>
        <v/>
      </c>
      <c r="E76" s="20">
        <f>IFERROR(INDEX('Schedule_Data_Option_A'!H:H,MATCH($A76,'Schedule_Data_Option_A'!$C:$C,0)),"")</f>
        <v/>
      </c>
      <c r="F76" s="18">
        <f>IFERROR(INDEX('Schedule_Data_Option_A'!I:I,MATCH($A76,'Schedule_Data_Option_A'!$C:$C,0)),"")</f>
        <v/>
      </c>
      <c r="G76" s="18">
        <f>IFERROR(INDEX('Schedule_Data_Option_B'!D:D,MATCH($A76,'Schedule_Data_Option_B'!$C:$C,0)),"")</f>
        <v/>
      </c>
      <c r="H76" s="18">
        <f>IFERROR(INDEX('Schedule_Data_Option_B'!E:E,MATCH($A76,'Schedule_Data_Option_B'!$C:$C,0)),"")</f>
        <v/>
      </c>
      <c r="I76" s="20">
        <f>IFERROR(INDEX('Schedule_Data_Option_B'!G:G,MATCH($A76,'Schedule_Data_Option_B'!$C:$C,0)),"")</f>
        <v/>
      </c>
      <c r="J76" s="20">
        <f>IFERROR(INDEX('Schedule_Data_Option_B'!H:H,MATCH($A76,'Schedule_Data_Option_B'!$C:$C,0)),"")</f>
        <v/>
      </c>
      <c r="K76" s="18">
        <f>IFERROR(INDEX('Schedule_Data_Option_B'!I:I,MATCH($A76,'Schedule_Data_Option_B'!$C:$C,0)),"")</f>
        <v/>
      </c>
      <c r="L76" s="45">
        <f>IF(AND(D76&lt;&gt;"",I76&lt;&gt;""),I76-D76,"")</f>
        <v/>
      </c>
      <c r="M76" s="45">
        <f>IF(AND(E76&lt;&gt;"",J76&lt;&gt;""),J76-E76,"")</f>
        <v/>
      </c>
      <c r="N76" s="45">
        <f>IF(AND(F76&lt;&gt;"",K76&lt;&gt;""),K76-F76,"")</f>
        <v/>
      </c>
    </row>
    <row r="77">
      <c r="A77" s="18" t="inlineStr">
        <is>
          <t>A1460</t>
        </is>
      </c>
      <c r="B77" s="18">
        <f>IFERROR(INDEX('Schedule_Data_Option_A'!D:D,MATCH($A77,'Schedule_Data_Option_A'!$C:$C,0)),"")</f>
        <v/>
      </c>
      <c r="C77" s="18">
        <f>IFERROR(INDEX('Schedule_Data_Option_A'!E:E,MATCH($A77,'Schedule_Data_Option_A'!$C:$C,0)),"")</f>
        <v/>
      </c>
      <c r="D77" s="20">
        <f>IFERROR(INDEX('Schedule_Data_Option_A'!G:G,MATCH($A77,'Schedule_Data_Option_A'!$C:$C,0)),"")</f>
        <v/>
      </c>
      <c r="E77" s="20">
        <f>IFERROR(INDEX('Schedule_Data_Option_A'!H:H,MATCH($A77,'Schedule_Data_Option_A'!$C:$C,0)),"")</f>
        <v/>
      </c>
      <c r="F77" s="18">
        <f>IFERROR(INDEX('Schedule_Data_Option_A'!I:I,MATCH($A77,'Schedule_Data_Option_A'!$C:$C,0)),"")</f>
        <v/>
      </c>
      <c r="G77" s="18">
        <f>IFERROR(INDEX('Schedule_Data_Option_B'!D:D,MATCH($A77,'Schedule_Data_Option_B'!$C:$C,0)),"")</f>
        <v/>
      </c>
      <c r="H77" s="18">
        <f>IFERROR(INDEX('Schedule_Data_Option_B'!E:E,MATCH($A77,'Schedule_Data_Option_B'!$C:$C,0)),"")</f>
        <v/>
      </c>
      <c r="I77" s="20">
        <f>IFERROR(INDEX('Schedule_Data_Option_B'!G:G,MATCH($A77,'Schedule_Data_Option_B'!$C:$C,0)),"")</f>
        <v/>
      </c>
      <c r="J77" s="20">
        <f>IFERROR(INDEX('Schedule_Data_Option_B'!H:H,MATCH($A77,'Schedule_Data_Option_B'!$C:$C,0)),"")</f>
        <v/>
      </c>
      <c r="K77" s="18">
        <f>IFERROR(INDEX('Schedule_Data_Option_B'!I:I,MATCH($A77,'Schedule_Data_Option_B'!$C:$C,0)),"")</f>
        <v/>
      </c>
      <c r="L77" s="45">
        <f>IF(AND(D77&lt;&gt;"",I77&lt;&gt;""),I77-D77,"")</f>
        <v/>
      </c>
      <c r="M77" s="45">
        <f>IF(AND(E77&lt;&gt;"",J77&lt;&gt;""),J77-E77,"")</f>
        <v/>
      </c>
      <c r="N77" s="45">
        <f>IF(AND(F77&lt;&gt;"",K77&lt;&gt;""),K77-F77,"")</f>
        <v/>
      </c>
    </row>
    <row r="78">
      <c r="A78" s="18" t="inlineStr">
        <is>
          <t>A1470</t>
        </is>
      </c>
      <c r="B78" s="18">
        <f>IFERROR(INDEX('Schedule_Data_Option_A'!D:D,MATCH($A78,'Schedule_Data_Option_A'!$C:$C,0)),"")</f>
        <v/>
      </c>
      <c r="C78" s="18">
        <f>IFERROR(INDEX('Schedule_Data_Option_A'!E:E,MATCH($A78,'Schedule_Data_Option_A'!$C:$C,0)),"")</f>
        <v/>
      </c>
      <c r="D78" s="20">
        <f>IFERROR(INDEX('Schedule_Data_Option_A'!G:G,MATCH($A78,'Schedule_Data_Option_A'!$C:$C,0)),"")</f>
        <v/>
      </c>
      <c r="E78" s="20">
        <f>IFERROR(INDEX('Schedule_Data_Option_A'!H:H,MATCH($A78,'Schedule_Data_Option_A'!$C:$C,0)),"")</f>
        <v/>
      </c>
      <c r="F78" s="18">
        <f>IFERROR(INDEX('Schedule_Data_Option_A'!I:I,MATCH($A78,'Schedule_Data_Option_A'!$C:$C,0)),"")</f>
        <v/>
      </c>
      <c r="G78" s="18">
        <f>IFERROR(INDEX('Schedule_Data_Option_B'!D:D,MATCH($A78,'Schedule_Data_Option_B'!$C:$C,0)),"")</f>
        <v/>
      </c>
      <c r="H78" s="18">
        <f>IFERROR(INDEX('Schedule_Data_Option_B'!E:E,MATCH($A78,'Schedule_Data_Option_B'!$C:$C,0)),"")</f>
        <v/>
      </c>
      <c r="I78" s="20">
        <f>IFERROR(INDEX('Schedule_Data_Option_B'!G:G,MATCH($A78,'Schedule_Data_Option_B'!$C:$C,0)),"")</f>
        <v/>
      </c>
      <c r="J78" s="20">
        <f>IFERROR(INDEX('Schedule_Data_Option_B'!H:H,MATCH($A78,'Schedule_Data_Option_B'!$C:$C,0)),"")</f>
        <v/>
      </c>
      <c r="K78" s="18">
        <f>IFERROR(INDEX('Schedule_Data_Option_B'!I:I,MATCH($A78,'Schedule_Data_Option_B'!$C:$C,0)),"")</f>
        <v/>
      </c>
      <c r="L78" s="45">
        <f>IF(AND(D78&lt;&gt;"",I78&lt;&gt;""),I78-D78,"")</f>
        <v/>
      </c>
      <c r="M78" s="45">
        <f>IF(AND(E78&lt;&gt;"",J78&lt;&gt;""),J78-E78,"")</f>
        <v/>
      </c>
      <c r="N78" s="45">
        <f>IF(AND(F78&lt;&gt;"",K78&lt;&gt;""),K78-F78,"")</f>
        <v/>
      </c>
    </row>
    <row r="79">
      <c r="A79" s="18" t="inlineStr">
        <is>
          <t>A1480</t>
        </is>
      </c>
      <c r="B79" s="18">
        <f>IFERROR(INDEX('Schedule_Data_Option_A'!D:D,MATCH($A79,'Schedule_Data_Option_A'!$C:$C,0)),"")</f>
        <v/>
      </c>
      <c r="C79" s="18">
        <f>IFERROR(INDEX('Schedule_Data_Option_A'!E:E,MATCH($A79,'Schedule_Data_Option_A'!$C:$C,0)),"")</f>
        <v/>
      </c>
      <c r="D79" s="20">
        <f>IFERROR(INDEX('Schedule_Data_Option_A'!G:G,MATCH($A79,'Schedule_Data_Option_A'!$C:$C,0)),"")</f>
        <v/>
      </c>
      <c r="E79" s="20">
        <f>IFERROR(INDEX('Schedule_Data_Option_A'!H:H,MATCH($A79,'Schedule_Data_Option_A'!$C:$C,0)),"")</f>
        <v/>
      </c>
      <c r="F79" s="18">
        <f>IFERROR(INDEX('Schedule_Data_Option_A'!I:I,MATCH($A79,'Schedule_Data_Option_A'!$C:$C,0)),"")</f>
        <v/>
      </c>
      <c r="G79" s="18">
        <f>IFERROR(INDEX('Schedule_Data_Option_B'!D:D,MATCH($A79,'Schedule_Data_Option_B'!$C:$C,0)),"")</f>
        <v/>
      </c>
      <c r="H79" s="18">
        <f>IFERROR(INDEX('Schedule_Data_Option_B'!E:E,MATCH($A79,'Schedule_Data_Option_B'!$C:$C,0)),"")</f>
        <v/>
      </c>
      <c r="I79" s="20">
        <f>IFERROR(INDEX('Schedule_Data_Option_B'!G:G,MATCH($A79,'Schedule_Data_Option_B'!$C:$C,0)),"")</f>
        <v/>
      </c>
      <c r="J79" s="20">
        <f>IFERROR(INDEX('Schedule_Data_Option_B'!H:H,MATCH($A79,'Schedule_Data_Option_B'!$C:$C,0)),"")</f>
        <v/>
      </c>
      <c r="K79" s="18">
        <f>IFERROR(INDEX('Schedule_Data_Option_B'!I:I,MATCH($A79,'Schedule_Data_Option_B'!$C:$C,0)),"")</f>
        <v/>
      </c>
      <c r="L79" s="45">
        <f>IF(AND(D79&lt;&gt;"",I79&lt;&gt;""),I79-D79,"")</f>
        <v/>
      </c>
      <c r="M79" s="45">
        <f>IF(AND(E79&lt;&gt;"",J79&lt;&gt;""),J79-E79,"")</f>
        <v/>
      </c>
      <c r="N79" s="45">
        <f>IF(AND(F79&lt;&gt;"",K79&lt;&gt;""),K79-F79,"")</f>
        <v/>
      </c>
    </row>
    <row r="80">
      <c r="A80" s="18" t="inlineStr">
        <is>
          <t>A1490</t>
        </is>
      </c>
      <c r="B80" s="18">
        <f>IFERROR(INDEX('Schedule_Data_Option_A'!D:D,MATCH($A80,'Schedule_Data_Option_A'!$C:$C,0)),"")</f>
        <v/>
      </c>
      <c r="C80" s="18">
        <f>IFERROR(INDEX('Schedule_Data_Option_A'!E:E,MATCH($A80,'Schedule_Data_Option_A'!$C:$C,0)),"")</f>
        <v/>
      </c>
      <c r="D80" s="20">
        <f>IFERROR(INDEX('Schedule_Data_Option_A'!G:G,MATCH($A80,'Schedule_Data_Option_A'!$C:$C,0)),"")</f>
        <v/>
      </c>
      <c r="E80" s="20">
        <f>IFERROR(INDEX('Schedule_Data_Option_A'!H:H,MATCH($A80,'Schedule_Data_Option_A'!$C:$C,0)),"")</f>
        <v/>
      </c>
      <c r="F80" s="18">
        <f>IFERROR(INDEX('Schedule_Data_Option_A'!I:I,MATCH($A80,'Schedule_Data_Option_A'!$C:$C,0)),"")</f>
        <v/>
      </c>
      <c r="G80" s="18">
        <f>IFERROR(INDEX('Schedule_Data_Option_B'!D:D,MATCH($A80,'Schedule_Data_Option_B'!$C:$C,0)),"")</f>
        <v/>
      </c>
      <c r="H80" s="18">
        <f>IFERROR(INDEX('Schedule_Data_Option_B'!E:E,MATCH($A80,'Schedule_Data_Option_B'!$C:$C,0)),"")</f>
        <v/>
      </c>
      <c r="I80" s="20">
        <f>IFERROR(INDEX('Schedule_Data_Option_B'!G:G,MATCH($A80,'Schedule_Data_Option_B'!$C:$C,0)),"")</f>
        <v/>
      </c>
      <c r="J80" s="20">
        <f>IFERROR(INDEX('Schedule_Data_Option_B'!H:H,MATCH($A80,'Schedule_Data_Option_B'!$C:$C,0)),"")</f>
        <v/>
      </c>
      <c r="K80" s="18">
        <f>IFERROR(INDEX('Schedule_Data_Option_B'!I:I,MATCH($A80,'Schedule_Data_Option_B'!$C:$C,0)),"")</f>
        <v/>
      </c>
      <c r="L80" s="45">
        <f>IF(AND(D80&lt;&gt;"",I80&lt;&gt;""),I80-D80,"")</f>
        <v/>
      </c>
      <c r="M80" s="45">
        <f>IF(AND(E80&lt;&gt;"",J80&lt;&gt;""),J80-E80,"")</f>
        <v/>
      </c>
      <c r="N80" s="45">
        <f>IF(AND(F80&lt;&gt;"",K80&lt;&gt;""),K80-F80,"")</f>
        <v/>
      </c>
    </row>
    <row r="81">
      <c r="A81" s="18" t="inlineStr">
        <is>
          <t>A1500</t>
        </is>
      </c>
      <c r="B81" s="18">
        <f>IFERROR(INDEX('Schedule_Data_Option_A'!D:D,MATCH($A81,'Schedule_Data_Option_A'!$C:$C,0)),"")</f>
        <v/>
      </c>
      <c r="C81" s="18">
        <f>IFERROR(INDEX('Schedule_Data_Option_A'!E:E,MATCH($A81,'Schedule_Data_Option_A'!$C:$C,0)),"")</f>
        <v/>
      </c>
      <c r="D81" s="20">
        <f>IFERROR(INDEX('Schedule_Data_Option_A'!G:G,MATCH($A81,'Schedule_Data_Option_A'!$C:$C,0)),"")</f>
        <v/>
      </c>
      <c r="E81" s="20">
        <f>IFERROR(INDEX('Schedule_Data_Option_A'!H:H,MATCH($A81,'Schedule_Data_Option_A'!$C:$C,0)),"")</f>
        <v/>
      </c>
      <c r="F81" s="18">
        <f>IFERROR(INDEX('Schedule_Data_Option_A'!I:I,MATCH($A81,'Schedule_Data_Option_A'!$C:$C,0)),"")</f>
        <v/>
      </c>
      <c r="G81" s="18">
        <f>IFERROR(INDEX('Schedule_Data_Option_B'!D:D,MATCH($A81,'Schedule_Data_Option_B'!$C:$C,0)),"")</f>
        <v/>
      </c>
      <c r="H81" s="18">
        <f>IFERROR(INDEX('Schedule_Data_Option_B'!E:E,MATCH($A81,'Schedule_Data_Option_B'!$C:$C,0)),"")</f>
        <v/>
      </c>
      <c r="I81" s="20">
        <f>IFERROR(INDEX('Schedule_Data_Option_B'!G:G,MATCH($A81,'Schedule_Data_Option_B'!$C:$C,0)),"")</f>
        <v/>
      </c>
      <c r="J81" s="20">
        <f>IFERROR(INDEX('Schedule_Data_Option_B'!H:H,MATCH($A81,'Schedule_Data_Option_B'!$C:$C,0)),"")</f>
        <v/>
      </c>
      <c r="K81" s="18">
        <f>IFERROR(INDEX('Schedule_Data_Option_B'!I:I,MATCH($A81,'Schedule_Data_Option_B'!$C:$C,0)),"")</f>
        <v/>
      </c>
      <c r="L81" s="45">
        <f>IF(AND(D81&lt;&gt;"",I81&lt;&gt;""),I81-D81,"")</f>
        <v/>
      </c>
      <c r="M81" s="45">
        <f>IF(AND(E81&lt;&gt;"",J81&lt;&gt;""),J81-E81,"")</f>
        <v/>
      </c>
      <c r="N81" s="45">
        <f>IF(AND(F81&lt;&gt;"",K81&lt;&gt;""),K81-F81,"")</f>
        <v/>
      </c>
    </row>
    <row r="82">
      <c r="A82" s="18" t="inlineStr">
        <is>
          <t>A1510</t>
        </is>
      </c>
      <c r="B82" s="18">
        <f>IFERROR(INDEX('Schedule_Data_Option_A'!D:D,MATCH($A82,'Schedule_Data_Option_A'!$C:$C,0)),"")</f>
        <v/>
      </c>
      <c r="C82" s="18">
        <f>IFERROR(INDEX('Schedule_Data_Option_A'!E:E,MATCH($A82,'Schedule_Data_Option_A'!$C:$C,0)),"")</f>
        <v/>
      </c>
      <c r="D82" s="20">
        <f>IFERROR(INDEX('Schedule_Data_Option_A'!G:G,MATCH($A82,'Schedule_Data_Option_A'!$C:$C,0)),"")</f>
        <v/>
      </c>
      <c r="E82" s="20">
        <f>IFERROR(INDEX('Schedule_Data_Option_A'!H:H,MATCH($A82,'Schedule_Data_Option_A'!$C:$C,0)),"")</f>
        <v/>
      </c>
      <c r="F82" s="18">
        <f>IFERROR(INDEX('Schedule_Data_Option_A'!I:I,MATCH($A82,'Schedule_Data_Option_A'!$C:$C,0)),"")</f>
        <v/>
      </c>
      <c r="G82" s="18">
        <f>IFERROR(INDEX('Schedule_Data_Option_B'!D:D,MATCH($A82,'Schedule_Data_Option_B'!$C:$C,0)),"")</f>
        <v/>
      </c>
      <c r="H82" s="18">
        <f>IFERROR(INDEX('Schedule_Data_Option_B'!E:E,MATCH($A82,'Schedule_Data_Option_B'!$C:$C,0)),"")</f>
        <v/>
      </c>
      <c r="I82" s="20">
        <f>IFERROR(INDEX('Schedule_Data_Option_B'!G:G,MATCH($A82,'Schedule_Data_Option_B'!$C:$C,0)),"")</f>
        <v/>
      </c>
      <c r="J82" s="20">
        <f>IFERROR(INDEX('Schedule_Data_Option_B'!H:H,MATCH($A82,'Schedule_Data_Option_B'!$C:$C,0)),"")</f>
        <v/>
      </c>
      <c r="K82" s="18">
        <f>IFERROR(INDEX('Schedule_Data_Option_B'!I:I,MATCH($A82,'Schedule_Data_Option_B'!$C:$C,0)),"")</f>
        <v/>
      </c>
      <c r="L82" s="45">
        <f>IF(AND(D82&lt;&gt;"",I82&lt;&gt;""),I82-D82,"")</f>
        <v/>
      </c>
      <c r="M82" s="45">
        <f>IF(AND(E82&lt;&gt;"",J82&lt;&gt;""),J82-E82,"")</f>
        <v/>
      </c>
      <c r="N82" s="45">
        <f>IF(AND(F82&lt;&gt;"",K82&lt;&gt;""),K82-F82,"")</f>
        <v/>
      </c>
    </row>
    <row r="83">
      <c r="A83" s="18" t="inlineStr">
        <is>
          <t>A1520</t>
        </is>
      </c>
      <c r="B83" s="18">
        <f>IFERROR(INDEX('Schedule_Data_Option_A'!D:D,MATCH($A83,'Schedule_Data_Option_A'!$C:$C,0)),"")</f>
        <v/>
      </c>
      <c r="C83" s="18">
        <f>IFERROR(INDEX('Schedule_Data_Option_A'!E:E,MATCH($A83,'Schedule_Data_Option_A'!$C:$C,0)),"")</f>
        <v/>
      </c>
      <c r="D83" s="20">
        <f>IFERROR(INDEX('Schedule_Data_Option_A'!G:G,MATCH($A83,'Schedule_Data_Option_A'!$C:$C,0)),"")</f>
        <v/>
      </c>
      <c r="E83" s="20">
        <f>IFERROR(INDEX('Schedule_Data_Option_A'!H:H,MATCH($A83,'Schedule_Data_Option_A'!$C:$C,0)),"")</f>
        <v/>
      </c>
      <c r="F83" s="18">
        <f>IFERROR(INDEX('Schedule_Data_Option_A'!I:I,MATCH($A83,'Schedule_Data_Option_A'!$C:$C,0)),"")</f>
        <v/>
      </c>
      <c r="G83" s="18">
        <f>IFERROR(INDEX('Schedule_Data_Option_B'!D:D,MATCH($A83,'Schedule_Data_Option_B'!$C:$C,0)),"")</f>
        <v/>
      </c>
      <c r="H83" s="18">
        <f>IFERROR(INDEX('Schedule_Data_Option_B'!E:E,MATCH($A83,'Schedule_Data_Option_B'!$C:$C,0)),"")</f>
        <v/>
      </c>
      <c r="I83" s="20">
        <f>IFERROR(INDEX('Schedule_Data_Option_B'!G:G,MATCH($A83,'Schedule_Data_Option_B'!$C:$C,0)),"")</f>
        <v/>
      </c>
      <c r="J83" s="20">
        <f>IFERROR(INDEX('Schedule_Data_Option_B'!H:H,MATCH($A83,'Schedule_Data_Option_B'!$C:$C,0)),"")</f>
        <v/>
      </c>
      <c r="K83" s="18">
        <f>IFERROR(INDEX('Schedule_Data_Option_B'!I:I,MATCH($A83,'Schedule_Data_Option_B'!$C:$C,0)),"")</f>
        <v/>
      </c>
      <c r="L83" s="45">
        <f>IF(AND(D83&lt;&gt;"",I83&lt;&gt;""),I83-D83,"")</f>
        <v/>
      </c>
      <c r="M83" s="45">
        <f>IF(AND(E83&lt;&gt;"",J83&lt;&gt;""),J83-E83,"")</f>
        <v/>
      </c>
      <c r="N83" s="45">
        <f>IF(AND(F83&lt;&gt;"",K83&lt;&gt;""),K83-F83,"")</f>
        <v/>
      </c>
    </row>
    <row r="84">
      <c r="A84" s="18" t="inlineStr">
        <is>
          <t>A1530</t>
        </is>
      </c>
      <c r="B84" s="18">
        <f>IFERROR(INDEX('Schedule_Data_Option_A'!D:D,MATCH($A84,'Schedule_Data_Option_A'!$C:$C,0)),"")</f>
        <v/>
      </c>
      <c r="C84" s="18">
        <f>IFERROR(INDEX('Schedule_Data_Option_A'!E:E,MATCH($A84,'Schedule_Data_Option_A'!$C:$C,0)),"")</f>
        <v/>
      </c>
      <c r="D84" s="20">
        <f>IFERROR(INDEX('Schedule_Data_Option_A'!G:G,MATCH($A84,'Schedule_Data_Option_A'!$C:$C,0)),"")</f>
        <v/>
      </c>
      <c r="E84" s="20">
        <f>IFERROR(INDEX('Schedule_Data_Option_A'!H:H,MATCH($A84,'Schedule_Data_Option_A'!$C:$C,0)),"")</f>
        <v/>
      </c>
      <c r="F84" s="18">
        <f>IFERROR(INDEX('Schedule_Data_Option_A'!I:I,MATCH($A84,'Schedule_Data_Option_A'!$C:$C,0)),"")</f>
        <v/>
      </c>
      <c r="G84" s="18">
        <f>IFERROR(INDEX('Schedule_Data_Option_B'!D:D,MATCH($A84,'Schedule_Data_Option_B'!$C:$C,0)),"")</f>
        <v/>
      </c>
      <c r="H84" s="18">
        <f>IFERROR(INDEX('Schedule_Data_Option_B'!E:E,MATCH($A84,'Schedule_Data_Option_B'!$C:$C,0)),"")</f>
        <v/>
      </c>
      <c r="I84" s="20">
        <f>IFERROR(INDEX('Schedule_Data_Option_B'!G:G,MATCH($A84,'Schedule_Data_Option_B'!$C:$C,0)),"")</f>
        <v/>
      </c>
      <c r="J84" s="20">
        <f>IFERROR(INDEX('Schedule_Data_Option_B'!H:H,MATCH($A84,'Schedule_Data_Option_B'!$C:$C,0)),"")</f>
        <v/>
      </c>
      <c r="K84" s="18">
        <f>IFERROR(INDEX('Schedule_Data_Option_B'!I:I,MATCH($A84,'Schedule_Data_Option_B'!$C:$C,0)),"")</f>
        <v/>
      </c>
      <c r="L84" s="45">
        <f>IF(AND(D84&lt;&gt;"",I84&lt;&gt;""),I84-D84,"")</f>
        <v/>
      </c>
      <c r="M84" s="45">
        <f>IF(AND(E84&lt;&gt;"",J84&lt;&gt;""),J84-E84,"")</f>
        <v/>
      </c>
      <c r="N84" s="45">
        <f>IF(AND(F84&lt;&gt;"",K84&lt;&gt;""),K84-F84,"")</f>
        <v/>
      </c>
    </row>
    <row r="85">
      <c r="A85" s="18" t="inlineStr">
        <is>
          <t>A1540</t>
        </is>
      </c>
      <c r="B85" s="18">
        <f>IFERROR(INDEX('Schedule_Data_Option_A'!D:D,MATCH($A85,'Schedule_Data_Option_A'!$C:$C,0)),"")</f>
        <v/>
      </c>
      <c r="C85" s="18">
        <f>IFERROR(INDEX('Schedule_Data_Option_A'!E:E,MATCH($A85,'Schedule_Data_Option_A'!$C:$C,0)),"")</f>
        <v/>
      </c>
      <c r="D85" s="20">
        <f>IFERROR(INDEX('Schedule_Data_Option_A'!G:G,MATCH($A85,'Schedule_Data_Option_A'!$C:$C,0)),"")</f>
        <v/>
      </c>
      <c r="E85" s="20">
        <f>IFERROR(INDEX('Schedule_Data_Option_A'!H:H,MATCH($A85,'Schedule_Data_Option_A'!$C:$C,0)),"")</f>
        <v/>
      </c>
      <c r="F85" s="18">
        <f>IFERROR(INDEX('Schedule_Data_Option_A'!I:I,MATCH($A85,'Schedule_Data_Option_A'!$C:$C,0)),"")</f>
        <v/>
      </c>
      <c r="G85" s="18">
        <f>IFERROR(INDEX('Schedule_Data_Option_B'!D:D,MATCH($A85,'Schedule_Data_Option_B'!$C:$C,0)),"")</f>
        <v/>
      </c>
      <c r="H85" s="18">
        <f>IFERROR(INDEX('Schedule_Data_Option_B'!E:E,MATCH($A85,'Schedule_Data_Option_B'!$C:$C,0)),"")</f>
        <v/>
      </c>
      <c r="I85" s="20">
        <f>IFERROR(INDEX('Schedule_Data_Option_B'!G:G,MATCH($A85,'Schedule_Data_Option_B'!$C:$C,0)),"")</f>
        <v/>
      </c>
      <c r="J85" s="20">
        <f>IFERROR(INDEX('Schedule_Data_Option_B'!H:H,MATCH($A85,'Schedule_Data_Option_B'!$C:$C,0)),"")</f>
        <v/>
      </c>
      <c r="K85" s="18">
        <f>IFERROR(INDEX('Schedule_Data_Option_B'!I:I,MATCH($A85,'Schedule_Data_Option_B'!$C:$C,0)),"")</f>
        <v/>
      </c>
      <c r="L85" s="45">
        <f>IF(AND(D85&lt;&gt;"",I85&lt;&gt;""),I85-D85,"")</f>
        <v/>
      </c>
      <c r="M85" s="45">
        <f>IF(AND(E85&lt;&gt;"",J85&lt;&gt;""),J85-E85,"")</f>
        <v/>
      </c>
      <c r="N85" s="45">
        <f>IF(AND(F85&lt;&gt;"",K85&lt;&gt;""),K85-F85,"")</f>
        <v/>
      </c>
    </row>
    <row r="86">
      <c r="A86" s="18" t="inlineStr">
        <is>
          <t>A1550</t>
        </is>
      </c>
      <c r="B86" s="18">
        <f>IFERROR(INDEX('Schedule_Data_Option_A'!D:D,MATCH($A86,'Schedule_Data_Option_A'!$C:$C,0)),"")</f>
        <v/>
      </c>
      <c r="C86" s="18">
        <f>IFERROR(INDEX('Schedule_Data_Option_A'!E:E,MATCH($A86,'Schedule_Data_Option_A'!$C:$C,0)),"")</f>
        <v/>
      </c>
      <c r="D86" s="20">
        <f>IFERROR(INDEX('Schedule_Data_Option_A'!G:G,MATCH($A86,'Schedule_Data_Option_A'!$C:$C,0)),"")</f>
        <v/>
      </c>
      <c r="E86" s="20">
        <f>IFERROR(INDEX('Schedule_Data_Option_A'!H:H,MATCH($A86,'Schedule_Data_Option_A'!$C:$C,0)),"")</f>
        <v/>
      </c>
      <c r="F86" s="18">
        <f>IFERROR(INDEX('Schedule_Data_Option_A'!I:I,MATCH($A86,'Schedule_Data_Option_A'!$C:$C,0)),"")</f>
        <v/>
      </c>
      <c r="G86" s="18">
        <f>IFERROR(INDEX('Schedule_Data_Option_B'!D:D,MATCH($A86,'Schedule_Data_Option_B'!$C:$C,0)),"")</f>
        <v/>
      </c>
      <c r="H86" s="18">
        <f>IFERROR(INDEX('Schedule_Data_Option_B'!E:E,MATCH($A86,'Schedule_Data_Option_B'!$C:$C,0)),"")</f>
        <v/>
      </c>
      <c r="I86" s="20">
        <f>IFERROR(INDEX('Schedule_Data_Option_B'!G:G,MATCH($A86,'Schedule_Data_Option_B'!$C:$C,0)),"")</f>
        <v/>
      </c>
      <c r="J86" s="20">
        <f>IFERROR(INDEX('Schedule_Data_Option_B'!H:H,MATCH($A86,'Schedule_Data_Option_B'!$C:$C,0)),"")</f>
        <v/>
      </c>
      <c r="K86" s="18">
        <f>IFERROR(INDEX('Schedule_Data_Option_B'!I:I,MATCH($A86,'Schedule_Data_Option_B'!$C:$C,0)),"")</f>
        <v/>
      </c>
      <c r="L86" s="45">
        <f>IF(AND(D86&lt;&gt;"",I86&lt;&gt;""),I86-D86,"")</f>
        <v/>
      </c>
      <c r="M86" s="45">
        <f>IF(AND(E86&lt;&gt;"",J86&lt;&gt;""),J86-E86,"")</f>
        <v/>
      </c>
      <c r="N86" s="45">
        <f>IF(AND(F86&lt;&gt;"",K86&lt;&gt;""),K86-F86,"")</f>
        <v/>
      </c>
    </row>
    <row r="87">
      <c r="A87" s="18" t="inlineStr">
        <is>
          <t>A1560</t>
        </is>
      </c>
      <c r="B87" s="18">
        <f>IFERROR(INDEX('Schedule_Data_Option_A'!D:D,MATCH($A87,'Schedule_Data_Option_A'!$C:$C,0)),"")</f>
        <v/>
      </c>
      <c r="C87" s="18">
        <f>IFERROR(INDEX('Schedule_Data_Option_A'!E:E,MATCH($A87,'Schedule_Data_Option_A'!$C:$C,0)),"")</f>
        <v/>
      </c>
      <c r="D87" s="20">
        <f>IFERROR(INDEX('Schedule_Data_Option_A'!G:G,MATCH($A87,'Schedule_Data_Option_A'!$C:$C,0)),"")</f>
        <v/>
      </c>
      <c r="E87" s="20">
        <f>IFERROR(INDEX('Schedule_Data_Option_A'!H:H,MATCH($A87,'Schedule_Data_Option_A'!$C:$C,0)),"")</f>
        <v/>
      </c>
      <c r="F87" s="18">
        <f>IFERROR(INDEX('Schedule_Data_Option_A'!I:I,MATCH($A87,'Schedule_Data_Option_A'!$C:$C,0)),"")</f>
        <v/>
      </c>
      <c r="G87" s="18">
        <f>IFERROR(INDEX('Schedule_Data_Option_B'!D:D,MATCH($A87,'Schedule_Data_Option_B'!$C:$C,0)),"")</f>
        <v/>
      </c>
      <c r="H87" s="18">
        <f>IFERROR(INDEX('Schedule_Data_Option_B'!E:E,MATCH($A87,'Schedule_Data_Option_B'!$C:$C,0)),"")</f>
        <v/>
      </c>
      <c r="I87" s="20">
        <f>IFERROR(INDEX('Schedule_Data_Option_B'!G:G,MATCH($A87,'Schedule_Data_Option_B'!$C:$C,0)),"")</f>
        <v/>
      </c>
      <c r="J87" s="20">
        <f>IFERROR(INDEX('Schedule_Data_Option_B'!H:H,MATCH($A87,'Schedule_Data_Option_B'!$C:$C,0)),"")</f>
        <v/>
      </c>
      <c r="K87" s="18">
        <f>IFERROR(INDEX('Schedule_Data_Option_B'!I:I,MATCH($A87,'Schedule_Data_Option_B'!$C:$C,0)),"")</f>
        <v/>
      </c>
      <c r="L87" s="45">
        <f>IF(AND(D87&lt;&gt;"",I87&lt;&gt;""),I87-D87,"")</f>
        <v/>
      </c>
      <c r="M87" s="45">
        <f>IF(AND(E87&lt;&gt;"",J87&lt;&gt;""),J87-E87,"")</f>
        <v/>
      </c>
      <c r="N87" s="45">
        <f>IF(AND(F87&lt;&gt;"",K87&lt;&gt;""),K87-F87,"")</f>
        <v/>
      </c>
    </row>
    <row r="88">
      <c r="A88" s="18" t="inlineStr">
        <is>
          <t>A1570</t>
        </is>
      </c>
      <c r="B88" s="18">
        <f>IFERROR(INDEX('Schedule_Data_Option_A'!D:D,MATCH($A88,'Schedule_Data_Option_A'!$C:$C,0)),"")</f>
        <v/>
      </c>
      <c r="C88" s="18">
        <f>IFERROR(INDEX('Schedule_Data_Option_A'!E:E,MATCH($A88,'Schedule_Data_Option_A'!$C:$C,0)),"")</f>
        <v/>
      </c>
      <c r="D88" s="20">
        <f>IFERROR(INDEX('Schedule_Data_Option_A'!G:G,MATCH($A88,'Schedule_Data_Option_A'!$C:$C,0)),"")</f>
        <v/>
      </c>
      <c r="E88" s="20">
        <f>IFERROR(INDEX('Schedule_Data_Option_A'!H:H,MATCH($A88,'Schedule_Data_Option_A'!$C:$C,0)),"")</f>
        <v/>
      </c>
      <c r="F88" s="18">
        <f>IFERROR(INDEX('Schedule_Data_Option_A'!I:I,MATCH($A88,'Schedule_Data_Option_A'!$C:$C,0)),"")</f>
        <v/>
      </c>
      <c r="G88" s="18">
        <f>IFERROR(INDEX('Schedule_Data_Option_B'!D:D,MATCH($A88,'Schedule_Data_Option_B'!$C:$C,0)),"")</f>
        <v/>
      </c>
      <c r="H88" s="18">
        <f>IFERROR(INDEX('Schedule_Data_Option_B'!E:E,MATCH($A88,'Schedule_Data_Option_B'!$C:$C,0)),"")</f>
        <v/>
      </c>
      <c r="I88" s="20">
        <f>IFERROR(INDEX('Schedule_Data_Option_B'!G:G,MATCH($A88,'Schedule_Data_Option_B'!$C:$C,0)),"")</f>
        <v/>
      </c>
      <c r="J88" s="20">
        <f>IFERROR(INDEX('Schedule_Data_Option_B'!H:H,MATCH($A88,'Schedule_Data_Option_B'!$C:$C,0)),"")</f>
        <v/>
      </c>
      <c r="K88" s="18">
        <f>IFERROR(INDEX('Schedule_Data_Option_B'!I:I,MATCH($A88,'Schedule_Data_Option_B'!$C:$C,0)),"")</f>
        <v/>
      </c>
      <c r="L88" s="45">
        <f>IF(AND(D88&lt;&gt;"",I88&lt;&gt;""),I88-D88,"")</f>
        <v/>
      </c>
      <c r="M88" s="45">
        <f>IF(AND(E88&lt;&gt;"",J88&lt;&gt;""),J88-E88,"")</f>
        <v/>
      </c>
      <c r="N88" s="45">
        <f>IF(AND(F88&lt;&gt;"",K88&lt;&gt;""),K88-F88,"")</f>
        <v/>
      </c>
    </row>
    <row r="89">
      <c r="A89" s="18" t="inlineStr">
        <is>
          <t>A1580</t>
        </is>
      </c>
      <c r="B89" s="18">
        <f>IFERROR(INDEX('Schedule_Data_Option_A'!D:D,MATCH($A89,'Schedule_Data_Option_A'!$C:$C,0)),"")</f>
        <v/>
      </c>
      <c r="C89" s="18">
        <f>IFERROR(INDEX('Schedule_Data_Option_A'!E:E,MATCH($A89,'Schedule_Data_Option_A'!$C:$C,0)),"")</f>
        <v/>
      </c>
      <c r="D89" s="20">
        <f>IFERROR(INDEX('Schedule_Data_Option_A'!G:G,MATCH($A89,'Schedule_Data_Option_A'!$C:$C,0)),"")</f>
        <v/>
      </c>
      <c r="E89" s="20">
        <f>IFERROR(INDEX('Schedule_Data_Option_A'!H:H,MATCH($A89,'Schedule_Data_Option_A'!$C:$C,0)),"")</f>
        <v/>
      </c>
      <c r="F89" s="18">
        <f>IFERROR(INDEX('Schedule_Data_Option_A'!I:I,MATCH($A89,'Schedule_Data_Option_A'!$C:$C,0)),"")</f>
        <v/>
      </c>
      <c r="G89" s="18">
        <f>IFERROR(INDEX('Schedule_Data_Option_B'!D:D,MATCH($A89,'Schedule_Data_Option_B'!$C:$C,0)),"")</f>
        <v/>
      </c>
      <c r="H89" s="18">
        <f>IFERROR(INDEX('Schedule_Data_Option_B'!E:E,MATCH($A89,'Schedule_Data_Option_B'!$C:$C,0)),"")</f>
        <v/>
      </c>
      <c r="I89" s="20">
        <f>IFERROR(INDEX('Schedule_Data_Option_B'!G:G,MATCH($A89,'Schedule_Data_Option_B'!$C:$C,0)),"")</f>
        <v/>
      </c>
      <c r="J89" s="20">
        <f>IFERROR(INDEX('Schedule_Data_Option_B'!H:H,MATCH($A89,'Schedule_Data_Option_B'!$C:$C,0)),"")</f>
        <v/>
      </c>
      <c r="K89" s="18">
        <f>IFERROR(INDEX('Schedule_Data_Option_B'!I:I,MATCH($A89,'Schedule_Data_Option_B'!$C:$C,0)),"")</f>
        <v/>
      </c>
      <c r="L89" s="45">
        <f>IF(AND(D89&lt;&gt;"",I89&lt;&gt;""),I89-D89,"")</f>
        <v/>
      </c>
      <c r="M89" s="45">
        <f>IF(AND(E89&lt;&gt;"",J89&lt;&gt;""),J89-E89,"")</f>
        <v/>
      </c>
      <c r="N89" s="45">
        <f>IF(AND(F89&lt;&gt;"",K89&lt;&gt;""),K89-F89,"")</f>
        <v/>
      </c>
    </row>
    <row r="90">
      <c r="A90" s="18" t="inlineStr">
        <is>
          <t>A1590</t>
        </is>
      </c>
      <c r="B90" s="18">
        <f>IFERROR(INDEX('Schedule_Data_Option_A'!D:D,MATCH($A90,'Schedule_Data_Option_A'!$C:$C,0)),"")</f>
        <v/>
      </c>
      <c r="C90" s="18">
        <f>IFERROR(INDEX('Schedule_Data_Option_A'!E:E,MATCH($A90,'Schedule_Data_Option_A'!$C:$C,0)),"")</f>
        <v/>
      </c>
      <c r="D90" s="20">
        <f>IFERROR(INDEX('Schedule_Data_Option_A'!G:G,MATCH($A90,'Schedule_Data_Option_A'!$C:$C,0)),"")</f>
        <v/>
      </c>
      <c r="E90" s="20">
        <f>IFERROR(INDEX('Schedule_Data_Option_A'!H:H,MATCH($A90,'Schedule_Data_Option_A'!$C:$C,0)),"")</f>
        <v/>
      </c>
      <c r="F90" s="18">
        <f>IFERROR(INDEX('Schedule_Data_Option_A'!I:I,MATCH($A90,'Schedule_Data_Option_A'!$C:$C,0)),"")</f>
        <v/>
      </c>
      <c r="G90" s="18">
        <f>IFERROR(INDEX('Schedule_Data_Option_B'!D:D,MATCH($A90,'Schedule_Data_Option_B'!$C:$C,0)),"")</f>
        <v/>
      </c>
      <c r="H90" s="18">
        <f>IFERROR(INDEX('Schedule_Data_Option_B'!E:E,MATCH($A90,'Schedule_Data_Option_B'!$C:$C,0)),"")</f>
        <v/>
      </c>
      <c r="I90" s="20">
        <f>IFERROR(INDEX('Schedule_Data_Option_B'!G:G,MATCH($A90,'Schedule_Data_Option_B'!$C:$C,0)),"")</f>
        <v/>
      </c>
      <c r="J90" s="20">
        <f>IFERROR(INDEX('Schedule_Data_Option_B'!H:H,MATCH($A90,'Schedule_Data_Option_B'!$C:$C,0)),"")</f>
        <v/>
      </c>
      <c r="K90" s="18">
        <f>IFERROR(INDEX('Schedule_Data_Option_B'!I:I,MATCH($A90,'Schedule_Data_Option_B'!$C:$C,0)),"")</f>
        <v/>
      </c>
      <c r="L90" s="45">
        <f>IF(AND(D90&lt;&gt;"",I90&lt;&gt;""),I90-D90,"")</f>
        <v/>
      </c>
      <c r="M90" s="45">
        <f>IF(AND(E90&lt;&gt;"",J90&lt;&gt;""),J90-E90,"")</f>
        <v/>
      </c>
      <c r="N90" s="45">
        <f>IF(AND(F90&lt;&gt;"",K90&lt;&gt;""),K90-F90,"")</f>
        <v/>
      </c>
    </row>
    <row r="91">
      <c r="A91" s="18" t="inlineStr">
        <is>
          <t>A1600</t>
        </is>
      </c>
      <c r="B91" s="18">
        <f>IFERROR(INDEX('Schedule_Data_Option_A'!D:D,MATCH($A91,'Schedule_Data_Option_A'!$C:$C,0)),"")</f>
        <v/>
      </c>
      <c r="C91" s="18">
        <f>IFERROR(INDEX('Schedule_Data_Option_A'!E:E,MATCH($A91,'Schedule_Data_Option_A'!$C:$C,0)),"")</f>
        <v/>
      </c>
      <c r="D91" s="20">
        <f>IFERROR(INDEX('Schedule_Data_Option_A'!G:G,MATCH($A91,'Schedule_Data_Option_A'!$C:$C,0)),"")</f>
        <v/>
      </c>
      <c r="E91" s="20">
        <f>IFERROR(INDEX('Schedule_Data_Option_A'!H:H,MATCH($A91,'Schedule_Data_Option_A'!$C:$C,0)),"")</f>
        <v/>
      </c>
      <c r="F91" s="18">
        <f>IFERROR(INDEX('Schedule_Data_Option_A'!I:I,MATCH($A91,'Schedule_Data_Option_A'!$C:$C,0)),"")</f>
        <v/>
      </c>
      <c r="G91" s="18">
        <f>IFERROR(INDEX('Schedule_Data_Option_B'!D:D,MATCH($A91,'Schedule_Data_Option_B'!$C:$C,0)),"")</f>
        <v/>
      </c>
      <c r="H91" s="18">
        <f>IFERROR(INDEX('Schedule_Data_Option_B'!E:E,MATCH($A91,'Schedule_Data_Option_B'!$C:$C,0)),"")</f>
        <v/>
      </c>
      <c r="I91" s="20">
        <f>IFERROR(INDEX('Schedule_Data_Option_B'!G:G,MATCH($A91,'Schedule_Data_Option_B'!$C:$C,0)),"")</f>
        <v/>
      </c>
      <c r="J91" s="20">
        <f>IFERROR(INDEX('Schedule_Data_Option_B'!H:H,MATCH($A91,'Schedule_Data_Option_B'!$C:$C,0)),"")</f>
        <v/>
      </c>
      <c r="K91" s="18">
        <f>IFERROR(INDEX('Schedule_Data_Option_B'!I:I,MATCH($A91,'Schedule_Data_Option_B'!$C:$C,0)),"")</f>
        <v/>
      </c>
      <c r="L91" s="45">
        <f>IF(AND(D91&lt;&gt;"",I91&lt;&gt;""),I91-D91,"")</f>
        <v/>
      </c>
      <c r="M91" s="45">
        <f>IF(AND(E91&lt;&gt;"",J91&lt;&gt;""),J91-E91,"")</f>
        <v/>
      </c>
      <c r="N91" s="45">
        <f>IF(AND(F91&lt;&gt;"",K91&lt;&gt;""),K91-F91,"")</f>
        <v/>
      </c>
    </row>
    <row r="92">
      <c r="A92" s="18" t="inlineStr">
        <is>
          <t>A1610</t>
        </is>
      </c>
      <c r="B92" s="18">
        <f>IFERROR(INDEX('Schedule_Data_Option_A'!D:D,MATCH($A92,'Schedule_Data_Option_A'!$C:$C,0)),"")</f>
        <v/>
      </c>
      <c r="C92" s="18">
        <f>IFERROR(INDEX('Schedule_Data_Option_A'!E:E,MATCH($A92,'Schedule_Data_Option_A'!$C:$C,0)),"")</f>
        <v/>
      </c>
      <c r="D92" s="20">
        <f>IFERROR(INDEX('Schedule_Data_Option_A'!G:G,MATCH($A92,'Schedule_Data_Option_A'!$C:$C,0)),"")</f>
        <v/>
      </c>
      <c r="E92" s="20">
        <f>IFERROR(INDEX('Schedule_Data_Option_A'!H:H,MATCH($A92,'Schedule_Data_Option_A'!$C:$C,0)),"")</f>
        <v/>
      </c>
      <c r="F92" s="18">
        <f>IFERROR(INDEX('Schedule_Data_Option_A'!I:I,MATCH($A92,'Schedule_Data_Option_A'!$C:$C,0)),"")</f>
        <v/>
      </c>
      <c r="G92" s="18">
        <f>IFERROR(INDEX('Schedule_Data_Option_B'!D:D,MATCH($A92,'Schedule_Data_Option_B'!$C:$C,0)),"")</f>
        <v/>
      </c>
      <c r="H92" s="18">
        <f>IFERROR(INDEX('Schedule_Data_Option_B'!E:E,MATCH($A92,'Schedule_Data_Option_B'!$C:$C,0)),"")</f>
        <v/>
      </c>
      <c r="I92" s="20">
        <f>IFERROR(INDEX('Schedule_Data_Option_B'!G:G,MATCH($A92,'Schedule_Data_Option_B'!$C:$C,0)),"")</f>
        <v/>
      </c>
      <c r="J92" s="20">
        <f>IFERROR(INDEX('Schedule_Data_Option_B'!H:H,MATCH($A92,'Schedule_Data_Option_B'!$C:$C,0)),"")</f>
        <v/>
      </c>
      <c r="K92" s="18">
        <f>IFERROR(INDEX('Schedule_Data_Option_B'!I:I,MATCH($A92,'Schedule_Data_Option_B'!$C:$C,0)),"")</f>
        <v/>
      </c>
      <c r="L92" s="45">
        <f>IF(AND(D92&lt;&gt;"",I92&lt;&gt;""),I92-D92,"")</f>
        <v/>
      </c>
      <c r="M92" s="45">
        <f>IF(AND(E92&lt;&gt;"",J92&lt;&gt;""),J92-E92,"")</f>
        <v/>
      </c>
      <c r="N92" s="45">
        <f>IF(AND(F92&lt;&gt;"",K92&lt;&gt;""),K92-F92,"")</f>
        <v/>
      </c>
    </row>
    <row r="93">
      <c r="A93" s="18" t="inlineStr">
        <is>
          <t>A1620</t>
        </is>
      </c>
      <c r="B93" s="18">
        <f>IFERROR(INDEX('Schedule_Data_Option_A'!D:D,MATCH($A93,'Schedule_Data_Option_A'!$C:$C,0)),"")</f>
        <v/>
      </c>
      <c r="C93" s="18">
        <f>IFERROR(INDEX('Schedule_Data_Option_A'!E:E,MATCH($A93,'Schedule_Data_Option_A'!$C:$C,0)),"")</f>
        <v/>
      </c>
      <c r="D93" s="20">
        <f>IFERROR(INDEX('Schedule_Data_Option_A'!G:G,MATCH($A93,'Schedule_Data_Option_A'!$C:$C,0)),"")</f>
        <v/>
      </c>
      <c r="E93" s="20">
        <f>IFERROR(INDEX('Schedule_Data_Option_A'!H:H,MATCH($A93,'Schedule_Data_Option_A'!$C:$C,0)),"")</f>
        <v/>
      </c>
      <c r="F93" s="18">
        <f>IFERROR(INDEX('Schedule_Data_Option_A'!I:I,MATCH($A93,'Schedule_Data_Option_A'!$C:$C,0)),"")</f>
        <v/>
      </c>
      <c r="G93" s="18">
        <f>IFERROR(INDEX('Schedule_Data_Option_B'!D:D,MATCH($A93,'Schedule_Data_Option_B'!$C:$C,0)),"")</f>
        <v/>
      </c>
      <c r="H93" s="18">
        <f>IFERROR(INDEX('Schedule_Data_Option_B'!E:E,MATCH($A93,'Schedule_Data_Option_B'!$C:$C,0)),"")</f>
        <v/>
      </c>
      <c r="I93" s="20">
        <f>IFERROR(INDEX('Schedule_Data_Option_B'!G:G,MATCH($A93,'Schedule_Data_Option_B'!$C:$C,0)),"")</f>
        <v/>
      </c>
      <c r="J93" s="20">
        <f>IFERROR(INDEX('Schedule_Data_Option_B'!H:H,MATCH($A93,'Schedule_Data_Option_B'!$C:$C,0)),"")</f>
        <v/>
      </c>
      <c r="K93" s="18">
        <f>IFERROR(INDEX('Schedule_Data_Option_B'!I:I,MATCH($A93,'Schedule_Data_Option_B'!$C:$C,0)),"")</f>
        <v/>
      </c>
      <c r="L93" s="45">
        <f>IF(AND(D93&lt;&gt;"",I93&lt;&gt;""),I93-D93,"")</f>
        <v/>
      </c>
      <c r="M93" s="45">
        <f>IF(AND(E93&lt;&gt;"",J93&lt;&gt;""),J93-E93,"")</f>
        <v/>
      </c>
      <c r="N93" s="45">
        <f>IF(AND(F93&lt;&gt;"",K93&lt;&gt;""),K93-F93,"")</f>
        <v/>
      </c>
    </row>
    <row r="94">
      <c r="A94" s="18" t="inlineStr">
        <is>
          <t>A1630</t>
        </is>
      </c>
      <c r="B94" s="18">
        <f>IFERROR(INDEX('Schedule_Data_Option_A'!D:D,MATCH($A94,'Schedule_Data_Option_A'!$C:$C,0)),"")</f>
        <v/>
      </c>
      <c r="C94" s="18">
        <f>IFERROR(INDEX('Schedule_Data_Option_A'!E:E,MATCH($A94,'Schedule_Data_Option_A'!$C:$C,0)),"")</f>
        <v/>
      </c>
      <c r="D94" s="20">
        <f>IFERROR(INDEX('Schedule_Data_Option_A'!G:G,MATCH($A94,'Schedule_Data_Option_A'!$C:$C,0)),"")</f>
        <v/>
      </c>
      <c r="E94" s="20">
        <f>IFERROR(INDEX('Schedule_Data_Option_A'!H:H,MATCH($A94,'Schedule_Data_Option_A'!$C:$C,0)),"")</f>
        <v/>
      </c>
      <c r="F94" s="18">
        <f>IFERROR(INDEX('Schedule_Data_Option_A'!I:I,MATCH($A94,'Schedule_Data_Option_A'!$C:$C,0)),"")</f>
        <v/>
      </c>
      <c r="G94" s="18">
        <f>IFERROR(INDEX('Schedule_Data_Option_B'!D:D,MATCH($A94,'Schedule_Data_Option_B'!$C:$C,0)),"")</f>
        <v/>
      </c>
      <c r="H94" s="18">
        <f>IFERROR(INDEX('Schedule_Data_Option_B'!E:E,MATCH($A94,'Schedule_Data_Option_B'!$C:$C,0)),"")</f>
        <v/>
      </c>
      <c r="I94" s="20">
        <f>IFERROR(INDEX('Schedule_Data_Option_B'!G:G,MATCH($A94,'Schedule_Data_Option_B'!$C:$C,0)),"")</f>
        <v/>
      </c>
      <c r="J94" s="20">
        <f>IFERROR(INDEX('Schedule_Data_Option_B'!H:H,MATCH($A94,'Schedule_Data_Option_B'!$C:$C,0)),"")</f>
        <v/>
      </c>
      <c r="K94" s="18">
        <f>IFERROR(INDEX('Schedule_Data_Option_B'!I:I,MATCH($A94,'Schedule_Data_Option_B'!$C:$C,0)),"")</f>
        <v/>
      </c>
      <c r="L94" s="45">
        <f>IF(AND(D94&lt;&gt;"",I94&lt;&gt;""),I94-D94,"")</f>
        <v/>
      </c>
      <c r="M94" s="45">
        <f>IF(AND(E94&lt;&gt;"",J94&lt;&gt;""),J94-E94,"")</f>
        <v/>
      </c>
      <c r="N94" s="45">
        <f>IF(AND(F94&lt;&gt;"",K94&lt;&gt;""),K94-F94,"")</f>
        <v/>
      </c>
    </row>
    <row r="95">
      <c r="A95" s="18" t="inlineStr">
        <is>
          <t>A1640</t>
        </is>
      </c>
      <c r="B95" s="18">
        <f>IFERROR(INDEX('Schedule_Data_Option_A'!D:D,MATCH($A95,'Schedule_Data_Option_A'!$C:$C,0)),"")</f>
        <v/>
      </c>
      <c r="C95" s="18">
        <f>IFERROR(INDEX('Schedule_Data_Option_A'!E:E,MATCH($A95,'Schedule_Data_Option_A'!$C:$C,0)),"")</f>
        <v/>
      </c>
      <c r="D95" s="20">
        <f>IFERROR(INDEX('Schedule_Data_Option_A'!G:G,MATCH($A95,'Schedule_Data_Option_A'!$C:$C,0)),"")</f>
        <v/>
      </c>
      <c r="E95" s="20">
        <f>IFERROR(INDEX('Schedule_Data_Option_A'!H:H,MATCH($A95,'Schedule_Data_Option_A'!$C:$C,0)),"")</f>
        <v/>
      </c>
      <c r="F95" s="18">
        <f>IFERROR(INDEX('Schedule_Data_Option_A'!I:I,MATCH($A95,'Schedule_Data_Option_A'!$C:$C,0)),"")</f>
        <v/>
      </c>
      <c r="G95" s="18">
        <f>IFERROR(INDEX('Schedule_Data_Option_B'!D:D,MATCH($A95,'Schedule_Data_Option_B'!$C:$C,0)),"")</f>
        <v/>
      </c>
      <c r="H95" s="18">
        <f>IFERROR(INDEX('Schedule_Data_Option_B'!E:E,MATCH($A95,'Schedule_Data_Option_B'!$C:$C,0)),"")</f>
        <v/>
      </c>
      <c r="I95" s="20">
        <f>IFERROR(INDEX('Schedule_Data_Option_B'!G:G,MATCH($A95,'Schedule_Data_Option_B'!$C:$C,0)),"")</f>
        <v/>
      </c>
      <c r="J95" s="20">
        <f>IFERROR(INDEX('Schedule_Data_Option_B'!H:H,MATCH($A95,'Schedule_Data_Option_B'!$C:$C,0)),"")</f>
        <v/>
      </c>
      <c r="K95" s="18">
        <f>IFERROR(INDEX('Schedule_Data_Option_B'!I:I,MATCH($A95,'Schedule_Data_Option_B'!$C:$C,0)),"")</f>
        <v/>
      </c>
      <c r="L95" s="45">
        <f>IF(AND(D95&lt;&gt;"",I95&lt;&gt;""),I95-D95,"")</f>
        <v/>
      </c>
      <c r="M95" s="45">
        <f>IF(AND(E95&lt;&gt;"",J95&lt;&gt;""),J95-E95,"")</f>
        <v/>
      </c>
      <c r="N95" s="45">
        <f>IF(AND(F95&lt;&gt;"",K95&lt;&gt;""),K95-F95,"")</f>
        <v/>
      </c>
    </row>
    <row r="96">
      <c r="A96" s="18" t="inlineStr">
        <is>
          <t>A1650</t>
        </is>
      </c>
      <c r="B96" s="18">
        <f>IFERROR(INDEX('Schedule_Data_Option_A'!D:D,MATCH($A96,'Schedule_Data_Option_A'!$C:$C,0)),"")</f>
        <v/>
      </c>
      <c r="C96" s="18">
        <f>IFERROR(INDEX('Schedule_Data_Option_A'!E:E,MATCH($A96,'Schedule_Data_Option_A'!$C:$C,0)),"")</f>
        <v/>
      </c>
      <c r="D96" s="20">
        <f>IFERROR(INDEX('Schedule_Data_Option_A'!G:G,MATCH($A96,'Schedule_Data_Option_A'!$C:$C,0)),"")</f>
        <v/>
      </c>
      <c r="E96" s="20">
        <f>IFERROR(INDEX('Schedule_Data_Option_A'!H:H,MATCH($A96,'Schedule_Data_Option_A'!$C:$C,0)),"")</f>
        <v/>
      </c>
      <c r="F96" s="18">
        <f>IFERROR(INDEX('Schedule_Data_Option_A'!I:I,MATCH($A96,'Schedule_Data_Option_A'!$C:$C,0)),"")</f>
        <v/>
      </c>
      <c r="G96" s="18">
        <f>IFERROR(INDEX('Schedule_Data_Option_B'!D:D,MATCH($A96,'Schedule_Data_Option_B'!$C:$C,0)),"")</f>
        <v/>
      </c>
      <c r="H96" s="18">
        <f>IFERROR(INDEX('Schedule_Data_Option_B'!E:E,MATCH($A96,'Schedule_Data_Option_B'!$C:$C,0)),"")</f>
        <v/>
      </c>
      <c r="I96" s="20">
        <f>IFERROR(INDEX('Schedule_Data_Option_B'!G:G,MATCH($A96,'Schedule_Data_Option_B'!$C:$C,0)),"")</f>
        <v/>
      </c>
      <c r="J96" s="20">
        <f>IFERROR(INDEX('Schedule_Data_Option_B'!H:H,MATCH($A96,'Schedule_Data_Option_B'!$C:$C,0)),"")</f>
        <v/>
      </c>
      <c r="K96" s="18">
        <f>IFERROR(INDEX('Schedule_Data_Option_B'!I:I,MATCH($A96,'Schedule_Data_Option_B'!$C:$C,0)),"")</f>
        <v/>
      </c>
      <c r="L96" s="45">
        <f>IF(AND(D96&lt;&gt;"",I96&lt;&gt;""),I96-D96,"")</f>
        <v/>
      </c>
      <c r="M96" s="45">
        <f>IF(AND(E96&lt;&gt;"",J96&lt;&gt;""),J96-E96,"")</f>
        <v/>
      </c>
      <c r="N96" s="45">
        <f>IF(AND(F96&lt;&gt;"",K96&lt;&gt;""),K96-F96,"")</f>
        <v/>
      </c>
    </row>
    <row r="97">
      <c r="A97" s="18" t="inlineStr">
        <is>
          <t>A1660</t>
        </is>
      </c>
      <c r="B97" s="18">
        <f>IFERROR(INDEX('Schedule_Data_Option_A'!D:D,MATCH($A97,'Schedule_Data_Option_A'!$C:$C,0)),"")</f>
        <v/>
      </c>
      <c r="C97" s="18">
        <f>IFERROR(INDEX('Schedule_Data_Option_A'!E:E,MATCH($A97,'Schedule_Data_Option_A'!$C:$C,0)),"")</f>
        <v/>
      </c>
      <c r="D97" s="20">
        <f>IFERROR(INDEX('Schedule_Data_Option_A'!G:G,MATCH($A97,'Schedule_Data_Option_A'!$C:$C,0)),"")</f>
        <v/>
      </c>
      <c r="E97" s="20">
        <f>IFERROR(INDEX('Schedule_Data_Option_A'!H:H,MATCH($A97,'Schedule_Data_Option_A'!$C:$C,0)),"")</f>
        <v/>
      </c>
      <c r="F97" s="18">
        <f>IFERROR(INDEX('Schedule_Data_Option_A'!I:I,MATCH($A97,'Schedule_Data_Option_A'!$C:$C,0)),"")</f>
        <v/>
      </c>
      <c r="G97" s="18">
        <f>IFERROR(INDEX('Schedule_Data_Option_B'!D:D,MATCH($A97,'Schedule_Data_Option_B'!$C:$C,0)),"")</f>
        <v/>
      </c>
      <c r="H97" s="18">
        <f>IFERROR(INDEX('Schedule_Data_Option_B'!E:E,MATCH($A97,'Schedule_Data_Option_B'!$C:$C,0)),"")</f>
        <v/>
      </c>
      <c r="I97" s="20">
        <f>IFERROR(INDEX('Schedule_Data_Option_B'!G:G,MATCH($A97,'Schedule_Data_Option_B'!$C:$C,0)),"")</f>
        <v/>
      </c>
      <c r="J97" s="20">
        <f>IFERROR(INDEX('Schedule_Data_Option_B'!H:H,MATCH($A97,'Schedule_Data_Option_B'!$C:$C,0)),"")</f>
        <v/>
      </c>
      <c r="K97" s="18">
        <f>IFERROR(INDEX('Schedule_Data_Option_B'!I:I,MATCH($A97,'Schedule_Data_Option_B'!$C:$C,0)),"")</f>
        <v/>
      </c>
      <c r="L97" s="45">
        <f>IF(AND(D97&lt;&gt;"",I97&lt;&gt;""),I97-D97,"")</f>
        <v/>
      </c>
      <c r="M97" s="45">
        <f>IF(AND(E97&lt;&gt;"",J97&lt;&gt;""),J97-E97,"")</f>
        <v/>
      </c>
      <c r="N97" s="45">
        <f>IF(AND(F97&lt;&gt;"",K97&lt;&gt;""),K97-F97,"")</f>
        <v/>
      </c>
    </row>
    <row r="98">
      <c r="A98" s="18" t="inlineStr">
        <is>
          <t>A1670</t>
        </is>
      </c>
      <c r="B98" s="18">
        <f>IFERROR(INDEX('Schedule_Data_Option_A'!D:D,MATCH($A98,'Schedule_Data_Option_A'!$C:$C,0)),"")</f>
        <v/>
      </c>
      <c r="C98" s="18">
        <f>IFERROR(INDEX('Schedule_Data_Option_A'!E:E,MATCH($A98,'Schedule_Data_Option_A'!$C:$C,0)),"")</f>
        <v/>
      </c>
      <c r="D98" s="20">
        <f>IFERROR(INDEX('Schedule_Data_Option_A'!G:G,MATCH($A98,'Schedule_Data_Option_A'!$C:$C,0)),"")</f>
        <v/>
      </c>
      <c r="E98" s="20">
        <f>IFERROR(INDEX('Schedule_Data_Option_A'!H:H,MATCH($A98,'Schedule_Data_Option_A'!$C:$C,0)),"")</f>
        <v/>
      </c>
      <c r="F98" s="18">
        <f>IFERROR(INDEX('Schedule_Data_Option_A'!I:I,MATCH($A98,'Schedule_Data_Option_A'!$C:$C,0)),"")</f>
        <v/>
      </c>
      <c r="G98" s="18">
        <f>IFERROR(INDEX('Schedule_Data_Option_B'!D:D,MATCH($A98,'Schedule_Data_Option_B'!$C:$C,0)),"")</f>
        <v/>
      </c>
      <c r="H98" s="18">
        <f>IFERROR(INDEX('Schedule_Data_Option_B'!E:E,MATCH($A98,'Schedule_Data_Option_B'!$C:$C,0)),"")</f>
        <v/>
      </c>
      <c r="I98" s="20">
        <f>IFERROR(INDEX('Schedule_Data_Option_B'!G:G,MATCH($A98,'Schedule_Data_Option_B'!$C:$C,0)),"")</f>
        <v/>
      </c>
      <c r="J98" s="20">
        <f>IFERROR(INDEX('Schedule_Data_Option_B'!H:H,MATCH($A98,'Schedule_Data_Option_B'!$C:$C,0)),"")</f>
        <v/>
      </c>
      <c r="K98" s="18">
        <f>IFERROR(INDEX('Schedule_Data_Option_B'!I:I,MATCH($A98,'Schedule_Data_Option_B'!$C:$C,0)),"")</f>
        <v/>
      </c>
      <c r="L98" s="45">
        <f>IF(AND(D98&lt;&gt;"",I98&lt;&gt;""),I98-D98,"")</f>
        <v/>
      </c>
      <c r="M98" s="45">
        <f>IF(AND(E98&lt;&gt;"",J98&lt;&gt;""),J98-E98,"")</f>
        <v/>
      </c>
      <c r="N98" s="45">
        <f>IF(AND(F98&lt;&gt;"",K98&lt;&gt;""),K98-F98,"")</f>
        <v/>
      </c>
    </row>
    <row r="99">
      <c r="A99" s="18" t="inlineStr">
        <is>
          <t>A1680</t>
        </is>
      </c>
      <c r="B99" s="18">
        <f>IFERROR(INDEX('Schedule_Data_Option_A'!D:D,MATCH($A99,'Schedule_Data_Option_A'!$C:$C,0)),"")</f>
        <v/>
      </c>
      <c r="C99" s="18">
        <f>IFERROR(INDEX('Schedule_Data_Option_A'!E:E,MATCH($A99,'Schedule_Data_Option_A'!$C:$C,0)),"")</f>
        <v/>
      </c>
      <c r="D99" s="20">
        <f>IFERROR(INDEX('Schedule_Data_Option_A'!G:G,MATCH($A99,'Schedule_Data_Option_A'!$C:$C,0)),"")</f>
        <v/>
      </c>
      <c r="E99" s="20">
        <f>IFERROR(INDEX('Schedule_Data_Option_A'!H:H,MATCH($A99,'Schedule_Data_Option_A'!$C:$C,0)),"")</f>
        <v/>
      </c>
      <c r="F99" s="18">
        <f>IFERROR(INDEX('Schedule_Data_Option_A'!I:I,MATCH($A99,'Schedule_Data_Option_A'!$C:$C,0)),"")</f>
        <v/>
      </c>
      <c r="G99" s="18">
        <f>IFERROR(INDEX('Schedule_Data_Option_B'!D:D,MATCH($A99,'Schedule_Data_Option_B'!$C:$C,0)),"")</f>
        <v/>
      </c>
      <c r="H99" s="18">
        <f>IFERROR(INDEX('Schedule_Data_Option_B'!E:E,MATCH($A99,'Schedule_Data_Option_B'!$C:$C,0)),"")</f>
        <v/>
      </c>
      <c r="I99" s="20">
        <f>IFERROR(INDEX('Schedule_Data_Option_B'!G:G,MATCH($A99,'Schedule_Data_Option_B'!$C:$C,0)),"")</f>
        <v/>
      </c>
      <c r="J99" s="20">
        <f>IFERROR(INDEX('Schedule_Data_Option_B'!H:H,MATCH($A99,'Schedule_Data_Option_B'!$C:$C,0)),"")</f>
        <v/>
      </c>
      <c r="K99" s="18">
        <f>IFERROR(INDEX('Schedule_Data_Option_B'!I:I,MATCH($A99,'Schedule_Data_Option_B'!$C:$C,0)),"")</f>
        <v/>
      </c>
      <c r="L99" s="45">
        <f>IF(AND(D99&lt;&gt;"",I99&lt;&gt;""),I99-D99,"")</f>
        <v/>
      </c>
      <c r="M99" s="45">
        <f>IF(AND(E99&lt;&gt;"",J99&lt;&gt;""),J99-E99,"")</f>
        <v/>
      </c>
      <c r="N99" s="45">
        <f>IF(AND(F99&lt;&gt;"",K99&lt;&gt;""),K99-F99,"")</f>
        <v/>
      </c>
    </row>
    <row r="100">
      <c r="A100" s="18" t="inlineStr">
        <is>
          <t>A1690</t>
        </is>
      </c>
      <c r="B100" s="18">
        <f>IFERROR(INDEX('Schedule_Data_Option_A'!D:D,MATCH($A100,'Schedule_Data_Option_A'!$C:$C,0)),"")</f>
        <v/>
      </c>
      <c r="C100" s="18">
        <f>IFERROR(INDEX('Schedule_Data_Option_A'!E:E,MATCH($A100,'Schedule_Data_Option_A'!$C:$C,0)),"")</f>
        <v/>
      </c>
      <c r="D100" s="20">
        <f>IFERROR(INDEX('Schedule_Data_Option_A'!G:G,MATCH($A100,'Schedule_Data_Option_A'!$C:$C,0)),"")</f>
        <v/>
      </c>
      <c r="E100" s="20">
        <f>IFERROR(INDEX('Schedule_Data_Option_A'!H:H,MATCH($A100,'Schedule_Data_Option_A'!$C:$C,0)),"")</f>
        <v/>
      </c>
      <c r="F100" s="18">
        <f>IFERROR(INDEX('Schedule_Data_Option_A'!I:I,MATCH($A100,'Schedule_Data_Option_A'!$C:$C,0)),"")</f>
        <v/>
      </c>
      <c r="G100" s="18">
        <f>IFERROR(INDEX('Schedule_Data_Option_B'!D:D,MATCH($A100,'Schedule_Data_Option_B'!$C:$C,0)),"")</f>
        <v/>
      </c>
      <c r="H100" s="18">
        <f>IFERROR(INDEX('Schedule_Data_Option_B'!E:E,MATCH($A100,'Schedule_Data_Option_B'!$C:$C,0)),"")</f>
        <v/>
      </c>
      <c r="I100" s="20">
        <f>IFERROR(INDEX('Schedule_Data_Option_B'!G:G,MATCH($A100,'Schedule_Data_Option_B'!$C:$C,0)),"")</f>
        <v/>
      </c>
      <c r="J100" s="20">
        <f>IFERROR(INDEX('Schedule_Data_Option_B'!H:H,MATCH($A100,'Schedule_Data_Option_B'!$C:$C,0)),"")</f>
        <v/>
      </c>
      <c r="K100" s="18">
        <f>IFERROR(INDEX('Schedule_Data_Option_B'!I:I,MATCH($A100,'Schedule_Data_Option_B'!$C:$C,0)),"")</f>
        <v/>
      </c>
      <c r="L100" s="45">
        <f>IF(AND(D100&lt;&gt;"",I100&lt;&gt;""),I100-D100,"")</f>
        <v/>
      </c>
      <c r="M100" s="45">
        <f>IF(AND(E100&lt;&gt;"",J100&lt;&gt;""),J100-E100,"")</f>
        <v/>
      </c>
      <c r="N100" s="45">
        <f>IF(AND(F100&lt;&gt;"",K100&lt;&gt;""),K100-F100,"")</f>
        <v/>
      </c>
    </row>
    <row r="101">
      <c r="A101" s="18" t="inlineStr">
        <is>
          <t>A1700</t>
        </is>
      </c>
      <c r="B101" s="18">
        <f>IFERROR(INDEX('Schedule_Data_Option_A'!D:D,MATCH($A101,'Schedule_Data_Option_A'!$C:$C,0)),"")</f>
        <v/>
      </c>
      <c r="C101" s="18">
        <f>IFERROR(INDEX('Schedule_Data_Option_A'!E:E,MATCH($A101,'Schedule_Data_Option_A'!$C:$C,0)),"")</f>
        <v/>
      </c>
      <c r="D101" s="20">
        <f>IFERROR(INDEX('Schedule_Data_Option_A'!G:G,MATCH($A101,'Schedule_Data_Option_A'!$C:$C,0)),"")</f>
        <v/>
      </c>
      <c r="E101" s="20">
        <f>IFERROR(INDEX('Schedule_Data_Option_A'!H:H,MATCH($A101,'Schedule_Data_Option_A'!$C:$C,0)),"")</f>
        <v/>
      </c>
      <c r="F101" s="18">
        <f>IFERROR(INDEX('Schedule_Data_Option_A'!I:I,MATCH($A101,'Schedule_Data_Option_A'!$C:$C,0)),"")</f>
        <v/>
      </c>
      <c r="G101" s="18">
        <f>IFERROR(INDEX('Schedule_Data_Option_B'!D:D,MATCH($A101,'Schedule_Data_Option_B'!$C:$C,0)),"")</f>
        <v/>
      </c>
      <c r="H101" s="18">
        <f>IFERROR(INDEX('Schedule_Data_Option_B'!E:E,MATCH($A101,'Schedule_Data_Option_B'!$C:$C,0)),"")</f>
        <v/>
      </c>
      <c r="I101" s="20">
        <f>IFERROR(INDEX('Schedule_Data_Option_B'!G:G,MATCH($A101,'Schedule_Data_Option_B'!$C:$C,0)),"")</f>
        <v/>
      </c>
      <c r="J101" s="20">
        <f>IFERROR(INDEX('Schedule_Data_Option_B'!H:H,MATCH($A101,'Schedule_Data_Option_B'!$C:$C,0)),"")</f>
        <v/>
      </c>
      <c r="K101" s="18">
        <f>IFERROR(INDEX('Schedule_Data_Option_B'!I:I,MATCH($A101,'Schedule_Data_Option_B'!$C:$C,0)),"")</f>
        <v/>
      </c>
      <c r="L101" s="45">
        <f>IF(AND(D101&lt;&gt;"",I101&lt;&gt;""),I101-D101,"")</f>
        <v/>
      </c>
      <c r="M101" s="45">
        <f>IF(AND(E101&lt;&gt;"",J101&lt;&gt;""),J101-E101,"")</f>
        <v/>
      </c>
      <c r="N101" s="45">
        <f>IF(AND(F101&lt;&gt;"",K101&lt;&gt;""),K101-F101,"")</f>
        <v/>
      </c>
    </row>
    <row r="102">
      <c r="A102" s="18" t="inlineStr">
        <is>
          <t>A1710</t>
        </is>
      </c>
      <c r="B102" s="18">
        <f>IFERROR(INDEX('Schedule_Data_Option_A'!D:D,MATCH($A102,'Schedule_Data_Option_A'!$C:$C,0)),"")</f>
        <v/>
      </c>
      <c r="C102" s="18">
        <f>IFERROR(INDEX('Schedule_Data_Option_A'!E:E,MATCH($A102,'Schedule_Data_Option_A'!$C:$C,0)),"")</f>
        <v/>
      </c>
      <c r="D102" s="20">
        <f>IFERROR(INDEX('Schedule_Data_Option_A'!G:G,MATCH($A102,'Schedule_Data_Option_A'!$C:$C,0)),"")</f>
        <v/>
      </c>
      <c r="E102" s="20">
        <f>IFERROR(INDEX('Schedule_Data_Option_A'!H:H,MATCH($A102,'Schedule_Data_Option_A'!$C:$C,0)),"")</f>
        <v/>
      </c>
      <c r="F102" s="18">
        <f>IFERROR(INDEX('Schedule_Data_Option_A'!I:I,MATCH($A102,'Schedule_Data_Option_A'!$C:$C,0)),"")</f>
        <v/>
      </c>
      <c r="G102" s="18">
        <f>IFERROR(INDEX('Schedule_Data_Option_B'!D:D,MATCH($A102,'Schedule_Data_Option_B'!$C:$C,0)),"")</f>
        <v/>
      </c>
      <c r="H102" s="18">
        <f>IFERROR(INDEX('Schedule_Data_Option_B'!E:E,MATCH($A102,'Schedule_Data_Option_B'!$C:$C,0)),"")</f>
        <v/>
      </c>
      <c r="I102" s="20">
        <f>IFERROR(INDEX('Schedule_Data_Option_B'!G:G,MATCH($A102,'Schedule_Data_Option_B'!$C:$C,0)),"")</f>
        <v/>
      </c>
      <c r="J102" s="20">
        <f>IFERROR(INDEX('Schedule_Data_Option_B'!H:H,MATCH($A102,'Schedule_Data_Option_B'!$C:$C,0)),"")</f>
        <v/>
      </c>
      <c r="K102" s="18">
        <f>IFERROR(INDEX('Schedule_Data_Option_B'!I:I,MATCH($A102,'Schedule_Data_Option_B'!$C:$C,0)),"")</f>
        <v/>
      </c>
      <c r="L102" s="45">
        <f>IF(AND(D102&lt;&gt;"",I102&lt;&gt;""),I102-D102,"")</f>
        <v/>
      </c>
      <c r="M102" s="45">
        <f>IF(AND(E102&lt;&gt;"",J102&lt;&gt;""),J102-E102,"")</f>
        <v/>
      </c>
      <c r="N102" s="45">
        <f>IF(AND(F102&lt;&gt;"",K102&lt;&gt;""),K102-F102,"")</f>
        <v/>
      </c>
    </row>
    <row r="103">
      <c r="A103" s="18" t="inlineStr">
        <is>
          <t>A1720</t>
        </is>
      </c>
      <c r="B103" s="18">
        <f>IFERROR(INDEX('Schedule_Data_Option_A'!D:D,MATCH($A103,'Schedule_Data_Option_A'!$C:$C,0)),"")</f>
        <v/>
      </c>
      <c r="C103" s="18">
        <f>IFERROR(INDEX('Schedule_Data_Option_A'!E:E,MATCH($A103,'Schedule_Data_Option_A'!$C:$C,0)),"")</f>
        <v/>
      </c>
      <c r="D103" s="20">
        <f>IFERROR(INDEX('Schedule_Data_Option_A'!G:G,MATCH($A103,'Schedule_Data_Option_A'!$C:$C,0)),"")</f>
        <v/>
      </c>
      <c r="E103" s="20">
        <f>IFERROR(INDEX('Schedule_Data_Option_A'!H:H,MATCH($A103,'Schedule_Data_Option_A'!$C:$C,0)),"")</f>
        <v/>
      </c>
      <c r="F103" s="18">
        <f>IFERROR(INDEX('Schedule_Data_Option_A'!I:I,MATCH($A103,'Schedule_Data_Option_A'!$C:$C,0)),"")</f>
        <v/>
      </c>
      <c r="G103" s="18">
        <f>IFERROR(INDEX('Schedule_Data_Option_B'!D:D,MATCH($A103,'Schedule_Data_Option_B'!$C:$C,0)),"")</f>
        <v/>
      </c>
      <c r="H103" s="18">
        <f>IFERROR(INDEX('Schedule_Data_Option_B'!E:E,MATCH($A103,'Schedule_Data_Option_B'!$C:$C,0)),"")</f>
        <v/>
      </c>
      <c r="I103" s="20">
        <f>IFERROR(INDEX('Schedule_Data_Option_B'!G:G,MATCH($A103,'Schedule_Data_Option_B'!$C:$C,0)),"")</f>
        <v/>
      </c>
      <c r="J103" s="20">
        <f>IFERROR(INDEX('Schedule_Data_Option_B'!H:H,MATCH($A103,'Schedule_Data_Option_B'!$C:$C,0)),"")</f>
        <v/>
      </c>
      <c r="K103" s="18">
        <f>IFERROR(INDEX('Schedule_Data_Option_B'!I:I,MATCH($A103,'Schedule_Data_Option_B'!$C:$C,0)),"")</f>
        <v/>
      </c>
      <c r="L103" s="45">
        <f>IF(AND(D103&lt;&gt;"",I103&lt;&gt;""),I103-D103,"")</f>
        <v/>
      </c>
      <c r="M103" s="45">
        <f>IF(AND(E103&lt;&gt;"",J103&lt;&gt;""),J103-E103,"")</f>
        <v/>
      </c>
      <c r="N103" s="45">
        <f>IF(AND(F103&lt;&gt;"",K103&lt;&gt;""),K103-F103,"")</f>
        <v/>
      </c>
    </row>
    <row r="104">
      <c r="A104" s="18" t="inlineStr">
        <is>
          <t>A1730</t>
        </is>
      </c>
      <c r="B104" s="18">
        <f>IFERROR(INDEX('Schedule_Data_Option_A'!D:D,MATCH($A104,'Schedule_Data_Option_A'!$C:$C,0)),"")</f>
        <v/>
      </c>
      <c r="C104" s="18">
        <f>IFERROR(INDEX('Schedule_Data_Option_A'!E:E,MATCH($A104,'Schedule_Data_Option_A'!$C:$C,0)),"")</f>
        <v/>
      </c>
      <c r="D104" s="20">
        <f>IFERROR(INDEX('Schedule_Data_Option_A'!G:G,MATCH($A104,'Schedule_Data_Option_A'!$C:$C,0)),"")</f>
        <v/>
      </c>
      <c r="E104" s="20">
        <f>IFERROR(INDEX('Schedule_Data_Option_A'!H:H,MATCH($A104,'Schedule_Data_Option_A'!$C:$C,0)),"")</f>
        <v/>
      </c>
      <c r="F104" s="18">
        <f>IFERROR(INDEX('Schedule_Data_Option_A'!I:I,MATCH($A104,'Schedule_Data_Option_A'!$C:$C,0)),"")</f>
        <v/>
      </c>
      <c r="G104" s="18">
        <f>IFERROR(INDEX('Schedule_Data_Option_B'!D:D,MATCH($A104,'Schedule_Data_Option_B'!$C:$C,0)),"")</f>
        <v/>
      </c>
      <c r="H104" s="18">
        <f>IFERROR(INDEX('Schedule_Data_Option_B'!E:E,MATCH($A104,'Schedule_Data_Option_B'!$C:$C,0)),"")</f>
        <v/>
      </c>
      <c r="I104" s="20">
        <f>IFERROR(INDEX('Schedule_Data_Option_B'!G:G,MATCH($A104,'Schedule_Data_Option_B'!$C:$C,0)),"")</f>
        <v/>
      </c>
      <c r="J104" s="20">
        <f>IFERROR(INDEX('Schedule_Data_Option_B'!H:H,MATCH($A104,'Schedule_Data_Option_B'!$C:$C,0)),"")</f>
        <v/>
      </c>
      <c r="K104" s="18">
        <f>IFERROR(INDEX('Schedule_Data_Option_B'!I:I,MATCH($A104,'Schedule_Data_Option_B'!$C:$C,0)),"")</f>
        <v/>
      </c>
      <c r="L104" s="45">
        <f>IF(AND(D104&lt;&gt;"",I104&lt;&gt;""),I104-D104,"")</f>
        <v/>
      </c>
      <c r="M104" s="45">
        <f>IF(AND(E104&lt;&gt;"",J104&lt;&gt;""),J104-E104,"")</f>
        <v/>
      </c>
      <c r="N104" s="45">
        <f>IF(AND(F104&lt;&gt;"",K104&lt;&gt;""),K104-F104,"")</f>
        <v/>
      </c>
    </row>
    <row r="105">
      <c r="A105" s="18" t="inlineStr">
        <is>
          <t>A1740</t>
        </is>
      </c>
      <c r="B105" s="18">
        <f>IFERROR(INDEX('Schedule_Data_Option_A'!D:D,MATCH($A105,'Schedule_Data_Option_A'!$C:$C,0)),"")</f>
        <v/>
      </c>
      <c r="C105" s="18">
        <f>IFERROR(INDEX('Schedule_Data_Option_A'!E:E,MATCH($A105,'Schedule_Data_Option_A'!$C:$C,0)),"")</f>
        <v/>
      </c>
      <c r="D105" s="20">
        <f>IFERROR(INDEX('Schedule_Data_Option_A'!G:G,MATCH($A105,'Schedule_Data_Option_A'!$C:$C,0)),"")</f>
        <v/>
      </c>
      <c r="E105" s="20">
        <f>IFERROR(INDEX('Schedule_Data_Option_A'!H:H,MATCH($A105,'Schedule_Data_Option_A'!$C:$C,0)),"")</f>
        <v/>
      </c>
      <c r="F105" s="18">
        <f>IFERROR(INDEX('Schedule_Data_Option_A'!I:I,MATCH($A105,'Schedule_Data_Option_A'!$C:$C,0)),"")</f>
        <v/>
      </c>
      <c r="G105" s="18">
        <f>IFERROR(INDEX('Schedule_Data_Option_B'!D:D,MATCH($A105,'Schedule_Data_Option_B'!$C:$C,0)),"")</f>
        <v/>
      </c>
      <c r="H105" s="18">
        <f>IFERROR(INDEX('Schedule_Data_Option_B'!E:E,MATCH($A105,'Schedule_Data_Option_B'!$C:$C,0)),"")</f>
        <v/>
      </c>
      <c r="I105" s="20">
        <f>IFERROR(INDEX('Schedule_Data_Option_B'!G:G,MATCH($A105,'Schedule_Data_Option_B'!$C:$C,0)),"")</f>
        <v/>
      </c>
      <c r="J105" s="20">
        <f>IFERROR(INDEX('Schedule_Data_Option_B'!H:H,MATCH($A105,'Schedule_Data_Option_B'!$C:$C,0)),"")</f>
        <v/>
      </c>
      <c r="K105" s="18">
        <f>IFERROR(INDEX('Schedule_Data_Option_B'!I:I,MATCH($A105,'Schedule_Data_Option_B'!$C:$C,0)),"")</f>
        <v/>
      </c>
      <c r="L105" s="45">
        <f>IF(AND(D105&lt;&gt;"",I105&lt;&gt;""),I105-D105,"")</f>
        <v/>
      </c>
      <c r="M105" s="45">
        <f>IF(AND(E105&lt;&gt;"",J105&lt;&gt;""),J105-E105,"")</f>
        <v/>
      </c>
      <c r="N105" s="45">
        <f>IF(AND(F105&lt;&gt;"",K105&lt;&gt;""),K105-F105,"")</f>
        <v/>
      </c>
    </row>
    <row r="106">
      <c r="A106" s="18" t="inlineStr">
        <is>
          <t>A1750</t>
        </is>
      </c>
      <c r="B106" s="18">
        <f>IFERROR(INDEX('Schedule_Data_Option_A'!D:D,MATCH($A106,'Schedule_Data_Option_A'!$C:$C,0)),"")</f>
        <v/>
      </c>
      <c r="C106" s="18">
        <f>IFERROR(INDEX('Schedule_Data_Option_A'!E:E,MATCH($A106,'Schedule_Data_Option_A'!$C:$C,0)),"")</f>
        <v/>
      </c>
      <c r="D106" s="20">
        <f>IFERROR(INDEX('Schedule_Data_Option_A'!G:G,MATCH($A106,'Schedule_Data_Option_A'!$C:$C,0)),"")</f>
        <v/>
      </c>
      <c r="E106" s="20">
        <f>IFERROR(INDEX('Schedule_Data_Option_A'!H:H,MATCH($A106,'Schedule_Data_Option_A'!$C:$C,0)),"")</f>
        <v/>
      </c>
      <c r="F106" s="18">
        <f>IFERROR(INDEX('Schedule_Data_Option_A'!I:I,MATCH($A106,'Schedule_Data_Option_A'!$C:$C,0)),"")</f>
        <v/>
      </c>
      <c r="G106" s="18">
        <f>IFERROR(INDEX('Schedule_Data_Option_B'!D:D,MATCH($A106,'Schedule_Data_Option_B'!$C:$C,0)),"")</f>
        <v/>
      </c>
      <c r="H106" s="18">
        <f>IFERROR(INDEX('Schedule_Data_Option_B'!E:E,MATCH($A106,'Schedule_Data_Option_B'!$C:$C,0)),"")</f>
        <v/>
      </c>
      <c r="I106" s="20">
        <f>IFERROR(INDEX('Schedule_Data_Option_B'!G:G,MATCH($A106,'Schedule_Data_Option_B'!$C:$C,0)),"")</f>
        <v/>
      </c>
      <c r="J106" s="20">
        <f>IFERROR(INDEX('Schedule_Data_Option_B'!H:H,MATCH($A106,'Schedule_Data_Option_B'!$C:$C,0)),"")</f>
        <v/>
      </c>
      <c r="K106" s="18">
        <f>IFERROR(INDEX('Schedule_Data_Option_B'!I:I,MATCH($A106,'Schedule_Data_Option_B'!$C:$C,0)),"")</f>
        <v/>
      </c>
      <c r="L106" s="45">
        <f>IF(AND(D106&lt;&gt;"",I106&lt;&gt;""),I106-D106,"")</f>
        <v/>
      </c>
      <c r="M106" s="45">
        <f>IF(AND(E106&lt;&gt;"",J106&lt;&gt;""),J106-E106,"")</f>
        <v/>
      </c>
      <c r="N106" s="45">
        <f>IF(AND(F106&lt;&gt;"",K106&lt;&gt;""),K106-F106,"")</f>
        <v/>
      </c>
    </row>
    <row r="107">
      <c r="A107" s="18" t="inlineStr">
        <is>
          <t>A1760</t>
        </is>
      </c>
      <c r="B107" s="18">
        <f>IFERROR(INDEX('Schedule_Data_Option_A'!D:D,MATCH($A107,'Schedule_Data_Option_A'!$C:$C,0)),"")</f>
        <v/>
      </c>
      <c r="C107" s="18">
        <f>IFERROR(INDEX('Schedule_Data_Option_A'!E:E,MATCH($A107,'Schedule_Data_Option_A'!$C:$C,0)),"")</f>
        <v/>
      </c>
      <c r="D107" s="20">
        <f>IFERROR(INDEX('Schedule_Data_Option_A'!G:G,MATCH($A107,'Schedule_Data_Option_A'!$C:$C,0)),"")</f>
        <v/>
      </c>
      <c r="E107" s="20">
        <f>IFERROR(INDEX('Schedule_Data_Option_A'!H:H,MATCH($A107,'Schedule_Data_Option_A'!$C:$C,0)),"")</f>
        <v/>
      </c>
      <c r="F107" s="18">
        <f>IFERROR(INDEX('Schedule_Data_Option_A'!I:I,MATCH($A107,'Schedule_Data_Option_A'!$C:$C,0)),"")</f>
        <v/>
      </c>
      <c r="G107" s="18">
        <f>IFERROR(INDEX('Schedule_Data_Option_B'!D:D,MATCH($A107,'Schedule_Data_Option_B'!$C:$C,0)),"")</f>
        <v/>
      </c>
      <c r="H107" s="18">
        <f>IFERROR(INDEX('Schedule_Data_Option_B'!E:E,MATCH($A107,'Schedule_Data_Option_B'!$C:$C,0)),"")</f>
        <v/>
      </c>
      <c r="I107" s="20">
        <f>IFERROR(INDEX('Schedule_Data_Option_B'!G:G,MATCH($A107,'Schedule_Data_Option_B'!$C:$C,0)),"")</f>
        <v/>
      </c>
      <c r="J107" s="20">
        <f>IFERROR(INDEX('Schedule_Data_Option_B'!H:H,MATCH($A107,'Schedule_Data_Option_B'!$C:$C,0)),"")</f>
        <v/>
      </c>
      <c r="K107" s="18">
        <f>IFERROR(INDEX('Schedule_Data_Option_B'!I:I,MATCH($A107,'Schedule_Data_Option_B'!$C:$C,0)),"")</f>
        <v/>
      </c>
      <c r="L107" s="45">
        <f>IF(AND(D107&lt;&gt;"",I107&lt;&gt;""),I107-D107,"")</f>
        <v/>
      </c>
      <c r="M107" s="45">
        <f>IF(AND(E107&lt;&gt;"",J107&lt;&gt;""),J107-E107,"")</f>
        <v/>
      </c>
      <c r="N107" s="45">
        <f>IF(AND(F107&lt;&gt;"",K107&lt;&gt;""),K107-F107,"")</f>
        <v/>
      </c>
    </row>
    <row r="108">
      <c r="A108" s="18" t="inlineStr">
        <is>
          <t>A1820</t>
        </is>
      </c>
      <c r="B108" s="18">
        <f>IFERROR(INDEX('Schedule_Data_Option_A'!D:D,MATCH($A108,'Schedule_Data_Option_A'!$C:$C,0)),"")</f>
        <v/>
      </c>
      <c r="C108" s="18">
        <f>IFERROR(INDEX('Schedule_Data_Option_A'!E:E,MATCH($A108,'Schedule_Data_Option_A'!$C:$C,0)),"")</f>
        <v/>
      </c>
      <c r="D108" s="20">
        <f>IFERROR(INDEX('Schedule_Data_Option_A'!G:G,MATCH($A108,'Schedule_Data_Option_A'!$C:$C,0)),"")</f>
        <v/>
      </c>
      <c r="E108" s="20">
        <f>IFERROR(INDEX('Schedule_Data_Option_A'!H:H,MATCH($A108,'Schedule_Data_Option_A'!$C:$C,0)),"")</f>
        <v/>
      </c>
      <c r="F108" s="18">
        <f>IFERROR(INDEX('Schedule_Data_Option_A'!I:I,MATCH($A108,'Schedule_Data_Option_A'!$C:$C,0)),"")</f>
        <v/>
      </c>
      <c r="G108" s="18">
        <f>IFERROR(INDEX('Schedule_Data_Option_B'!D:D,MATCH($A108,'Schedule_Data_Option_B'!$C:$C,0)),"")</f>
        <v/>
      </c>
      <c r="H108" s="18">
        <f>IFERROR(INDEX('Schedule_Data_Option_B'!E:E,MATCH($A108,'Schedule_Data_Option_B'!$C:$C,0)),"")</f>
        <v/>
      </c>
      <c r="I108" s="20">
        <f>IFERROR(INDEX('Schedule_Data_Option_B'!G:G,MATCH($A108,'Schedule_Data_Option_B'!$C:$C,0)),"")</f>
        <v/>
      </c>
      <c r="J108" s="20">
        <f>IFERROR(INDEX('Schedule_Data_Option_B'!H:H,MATCH($A108,'Schedule_Data_Option_B'!$C:$C,0)),"")</f>
        <v/>
      </c>
      <c r="K108" s="18">
        <f>IFERROR(INDEX('Schedule_Data_Option_B'!I:I,MATCH($A108,'Schedule_Data_Option_B'!$C:$C,0)),"")</f>
        <v/>
      </c>
      <c r="L108" s="45">
        <f>IF(AND(D108&lt;&gt;"",I108&lt;&gt;""),I108-D108,"")</f>
        <v/>
      </c>
      <c r="M108" s="45">
        <f>IF(AND(E108&lt;&gt;"",J108&lt;&gt;""),J108-E108,"")</f>
        <v/>
      </c>
      <c r="N108" s="45">
        <f>IF(AND(F108&lt;&gt;"",K108&lt;&gt;""),K108-F108,"")</f>
        <v/>
      </c>
    </row>
    <row r="109">
      <c r="A109" s="18" t="inlineStr">
        <is>
          <t>A1830</t>
        </is>
      </c>
      <c r="B109" s="18">
        <f>IFERROR(INDEX('Schedule_Data_Option_A'!D:D,MATCH($A109,'Schedule_Data_Option_A'!$C:$C,0)),"")</f>
        <v/>
      </c>
      <c r="C109" s="18">
        <f>IFERROR(INDEX('Schedule_Data_Option_A'!E:E,MATCH($A109,'Schedule_Data_Option_A'!$C:$C,0)),"")</f>
        <v/>
      </c>
      <c r="D109" s="20">
        <f>IFERROR(INDEX('Schedule_Data_Option_A'!G:G,MATCH($A109,'Schedule_Data_Option_A'!$C:$C,0)),"")</f>
        <v/>
      </c>
      <c r="E109" s="20">
        <f>IFERROR(INDEX('Schedule_Data_Option_A'!H:H,MATCH($A109,'Schedule_Data_Option_A'!$C:$C,0)),"")</f>
        <v/>
      </c>
      <c r="F109" s="18">
        <f>IFERROR(INDEX('Schedule_Data_Option_A'!I:I,MATCH($A109,'Schedule_Data_Option_A'!$C:$C,0)),"")</f>
        <v/>
      </c>
      <c r="G109" s="18">
        <f>IFERROR(INDEX('Schedule_Data_Option_B'!D:D,MATCH($A109,'Schedule_Data_Option_B'!$C:$C,0)),"")</f>
        <v/>
      </c>
      <c r="H109" s="18">
        <f>IFERROR(INDEX('Schedule_Data_Option_B'!E:E,MATCH($A109,'Schedule_Data_Option_B'!$C:$C,0)),"")</f>
        <v/>
      </c>
      <c r="I109" s="20">
        <f>IFERROR(INDEX('Schedule_Data_Option_B'!G:G,MATCH($A109,'Schedule_Data_Option_B'!$C:$C,0)),"")</f>
        <v/>
      </c>
      <c r="J109" s="20">
        <f>IFERROR(INDEX('Schedule_Data_Option_B'!H:H,MATCH($A109,'Schedule_Data_Option_B'!$C:$C,0)),"")</f>
        <v/>
      </c>
      <c r="K109" s="18">
        <f>IFERROR(INDEX('Schedule_Data_Option_B'!I:I,MATCH($A109,'Schedule_Data_Option_B'!$C:$C,0)),"")</f>
        <v/>
      </c>
      <c r="L109" s="45">
        <f>IF(AND(D109&lt;&gt;"",I109&lt;&gt;""),I109-D109,"")</f>
        <v/>
      </c>
      <c r="M109" s="45">
        <f>IF(AND(E109&lt;&gt;"",J109&lt;&gt;""),J109-E109,"")</f>
        <v/>
      </c>
      <c r="N109" s="45">
        <f>IF(AND(F109&lt;&gt;"",K109&lt;&gt;""),K109-F109,"")</f>
        <v/>
      </c>
    </row>
    <row r="110">
      <c r="A110" s="18" t="inlineStr">
        <is>
          <t>A1840</t>
        </is>
      </c>
      <c r="B110" s="18">
        <f>IFERROR(INDEX('Schedule_Data_Option_A'!D:D,MATCH($A110,'Schedule_Data_Option_A'!$C:$C,0)),"")</f>
        <v/>
      </c>
      <c r="C110" s="18">
        <f>IFERROR(INDEX('Schedule_Data_Option_A'!E:E,MATCH($A110,'Schedule_Data_Option_A'!$C:$C,0)),"")</f>
        <v/>
      </c>
      <c r="D110" s="20">
        <f>IFERROR(INDEX('Schedule_Data_Option_A'!G:G,MATCH($A110,'Schedule_Data_Option_A'!$C:$C,0)),"")</f>
        <v/>
      </c>
      <c r="E110" s="20">
        <f>IFERROR(INDEX('Schedule_Data_Option_A'!H:H,MATCH($A110,'Schedule_Data_Option_A'!$C:$C,0)),"")</f>
        <v/>
      </c>
      <c r="F110" s="18">
        <f>IFERROR(INDEX('Schedule_Data_Option_A'!I:I,MATCH($A110,'Schedule_Data_Option_A'!$C:$C,0)),"")</f>
        <v/>
      </c>
      <c r="G110" s="18">
        <f>IFERROR(INDEX('Schedule_Data_Option_B'!D:D,MATCH($A110,'Schedule_Data_Option_B'!$C:$C,0)),"")</f>
        <v/>
      </c>
      <c r="H110" s="18">
        <f>IFERROR(INDEX('Schedule_Data_Option_B'!E:E,MATCH($A110,'Schedule_Data_Option_B'!$C:$C,0)),"")</f>
        <v/>
      </c>
      <c r="I110" s="20">
        <f>IFERROR(INDEX('Schedule_Data_Option_B'!G:G,MATCH($A110,'Schedule_Data_Option_B'!$C:$C,0)),"")</f>
        <v/>
      </c>
      <c r="J110" s="20">
        <f>IFERROR(INDEX('Schedule_Data_Option_B'!H:H,MATCH($A110,'Schedule_Data_Option_B'!$C:$C,0)),"")</f>
        <v/>
      </c>
      <c r="K110" s="18">
        <f>IFERROR(INDEX('Schedule_Data_Option_B'!I:I,MATCH($A110,'Schedule_Data_Option_B'!$C:$C,0)),"")</f>
        <v/>
      </c>
      <c r="L110" s="45">
        <f>IF(AND(D110&lt;&gt;"",I110&lt;&gt;""),I110-D110,"")</f>
        <v/>
      </c>
      <c r="M110" s="45">
        <f>IF(AND(E110&lt;&gt;"",J110&lt;&gt;""),J110-E110,"")</f>
        <v/>
      </c>
      <c r="N110" s="45">
        <f>IF(AND(F110&lt;&gt;"",K110&lt;&gt;""),K110-F110,"")</f>
        <v/>
      </c>
    </row>
    <row r="111">
      <c r="A111" s="18" t="inlineStr">
        <is>
          <t>A1850</t>
        </is>
      </c>
      <c r="B111" s="18">
        <f>IFERROR(INDEX('Schedule_Data_Option_A'!D:D,MATCH($A111,'Schedule_Data_Option_A'!$C:$C,0)),"")</f>
        <v/>
      </c>
      <c r="C111" s="18">
        <f>IFERROR(INDEX('Schedule_Data_Option_A'!E:E,MATCH($A111,'Schedule_Data_Option_A'!$C:$C,0)),"")</f>
        <v/>
      </c>
      <c r="D111" s="20">
        <f>IFERROR(INDEX('Schedule_Data_Option_A'!G:G,MATCH($A111,'Schedule_Data_Option_A'!$C:$C,0)),"")</f>
        <v/>
      </c>
      <c r="E111" s="20">
        <f>IFERROR(INDEX('Schedule_Data_Option_A'!H:H,MATCH($A111,'Schedule_Data_Option_A'!$C:$C,0)),"")</f>
        <v/>
      </c>
      <c r="F111" s="18">
        <f>IFERROR(INDEX('Schedule_Data_Option_A'!I:I,MATCH($A111,'Schedule_Data_Option_A'!$C:$C,0)),"")</f>
        <v/>
      </c>
      <c r="G111" s="18">
        <f>IFERROR(INDEX('Schedule_Data_Option_B'!D:D,MATCH($A111,'Schedule_Data_Option_B'!$C:$C,0)),"")</f>
        <v/>
      </c>
      <c r="H111" s="18">
        <f>IFERROR(INDEX('Schedule_Data_Option_B'!E:E,MATCH($A111,'Schedule_Data_Option_B'!$C:$C,0)),"")</f>
        <v/>
      </c>
      <c r="I111" s="20">
        <f>IFERROR(INDEX('Schedule_Data_Option_B'!G:G,MATCH($A111,'Schedule_Data_Option_B'!$C:$C,0)),"")</f>
        <v/>
      </c>
      <c r="J111" s="20">
        <f>IFERROR(INDEX('Schedule_Data_Option_B'!H:H,MATCH($A111,'Schedule_Data_Option_B'!$C:$C,0)),"")</f>
        <v/>
      </c>
      <c r="K111" s="18">
        <f>IFERROR(INDEX('Schedule_Data_Option_B'!I:I,MATCH($A111,'Schedule_Data_Option_B'!$C:$C,0)),"")</f>
        <v/>
      </c>
      <c r="L111" s="45">
        <f>IF(AND(D111&lt;&gt;"",I111&lt;&gt;""),I111-D111,"")</f>
        <v/>
      </c>
      <c r="M111" s="45">
        <f>IF(AND(E111&lt;&gt;"",J111&lt;&gt;""),J111-E111,"")</f>
        <v/>
      </c>
      <c r="N111" s="45">
        <f>IF(AND(F111&lt;&gt;"",K111&lt;&gt;""),K111-F111,"")</f>
        <v/>
      </c>
    </row>
    <row r="112">
      <c r="A112" s="18" t="inlineStr">
        <is>
          <t>A1860</t>
        </is>
      </c>
      <c r="B112" s="18">
        <f>IFERROR(INDEX('Schedule_Data_Option_A'!D:D,MATCH($A112,'Schedule_Data_Option_A'!$C:$C,0)),"")</f>
        <v/>
      </c>
      <c r="C112" s="18">
        <f>IFERROR(INDEX('Schedule_Data_Option_A'!E:E,MATCH($A112,'Schedule_Data_Option_A'!$C:$C,0)),"")</f>
        <v/>
      </c>
      <c r="D112" s="20">
        <f>IFERROR(INDEX('Schedule_Data_Option_A'!G:G,MATCH($A112,'Schedule_Data_Option_A'!$C:$C,0)),"")</f>
        <v/>
      </c>
      <c r="E112" s="20">
        <f>IFERROR(INDEX('Schedule_Data_Option_A'!H:H,MATCH($A112,'Schedule_Data_Option_A'!$C:$C,0)),"")</f>
        <v/>
      </c>
      <c r="F112" s="18">
        <f>IFERROR(INDEX('Schedule_Data_Option_A'!I:I,MATCH($A112,'Schedule_Data_Option_A'!$C:$C,0)),"")</f>
        <v/>
      </c>
      <c r="G112" s="18">
        <f>IFERROR(INDEX('Schedule_Data_Option_B'!D:D,MATCH($A112,'Schedule_Data_Option_B'!$C:$C,0)),"")</f>
        <v/>
      </c>
      <c r="H112" s="18">
        <f>IFERROR(INDEX('Schedule_Data_Option_B'!E:E,MATCH($A112,'Schedule_Data_Option_B'!$C:$C,0)),"")</f>
        <v/>
      </c>
      <c r="I112" s="20">
        <f>IFERROR(INDEX('Schedule_Data_Option_B'!G:G,MATCH($A112,'Schedule_Data_Option_B'!$C:$C,0)),"")</f>
        <v/>
      </c>
      <c r="J112" s="20">
        <f>IFERROR(INDEX('Schedule_Data_Option_B'!H:H,MATCH($A112,'Schedule_Data_Option_B'!$C:$C,0)),"")</f>
        <v/>
      </c>
      <c r="K112" s="18">
        <f>IFERROR(INDEX('Schedule_Data_Option_B'!I:I,MATCH($A112,'Schedule_Data_Option_B'!$C:$C,0)),"")</f>
        <v/>
      </c>
      <c r="L112" s="45">
        <f>IF(AND(D112&lt;&gt;"",I112&lt;&gt;""),I112-D112,"")</f>
        <v/>
      </c>
      <c r="M112" s="45">
        <f>IF(AND(E112&lt;&gt;"",J112&lt;&gt;""),J112-E112,"")</f>
        <v/>
      </c>
      <c r="N112" s="45">
        <f>IF(AND(F112&lt;&gt;"",K112&lt;&gt;""),K112-F112,"")</f>
        <v/>
      </c>
    </row>
    <row r="113">
      <c r="A113" s="18" t="inlineStr">
        <is>
          <t>A1890</t>
        </is>
      </c>
      <c r="B113" s="18">
        <f>IFERROR(INDEX('Schedule_Data_Option_A'!D:D,MATCH($A113,'Schedule_Data_Option_A'!$C:$C,0)),"")</f>
        <v/>
      </c>
      <c r="C113" s="18">
        <f>IFERROR(INDEX('Schedule_Data_Option_A'!E:E,MATCH($A113,'Schedule_Data_Option_A'!$C:$C,0)),"")</f>
        <v/>
      </c>
      <c r="D113" s="20">
        <f>IFERROR(INDEX('Schedule_Data_Option_A'!G:G,MATCH($A113,'Schedule_Data_Option_A'!$C:$C,0)),"")</f>
        <v/>
      </c>
      <c r="E113" s="20">
        <f>IFERROR(INDEX('Schedule_Data_Option_A'!H:H,MATCH($A113,'Schedule_Data_Option_A'!$C:$C,0)),"")</f>
        <v/>
      </c>
      <c r="F113" s="18">
        <f>IFERROR(INDEX('Schedule_Data_Option_A'!I:I,MATCH($A113,'Schedule_Data_Option_A'!$C:$C,0)),"")</f>
        <v/>
      </c>
      <c r="G113" s="18">
        <f>IFERROR(INDEX('Schedule_Data_Option_B'!D:D,MATCH($A113,'Schedule_Data_Option_B'!$C:$C,0)),"")</f>
        <v/>
      </c>
      <c r="H113" s="18">
        <f>IFERROR(INDEX('Schedule_Data_Option_B'!E:E,MATCH($A113,'Schedule_Data_Option_B'!$C:$C,0)),"")</f>
        <v/>
      </c>
      <c r="I113" s="20">
        <f>IFERROR(INDEX('Schedule_Data_Option_B'!G:G,MATCH($A113,'Schedule_Data_Option_B'!$C:$C,0)),"")</f>
        <v/>
      </c>
      <c r="J113" s="20">
        <f>IFERROR(INDEX('Schedule_Data_Option_B'!H:H,MATCH($A113,'Schedule_Data_Option_B'!$C:$C,0)),"")</f>
        <v/>
      </c>
      <c r="K113" s="18">
        <f>IFERROR(INDEX('Schedule_Data_Option_B'!I:I,MATCH($A113,'Schedule_Data_Option_B'!$C:$C,0)),"")</f>
        <v/>
      </c>
      <c r="L113" s="45">
        <f>IF(AND(D113&lt;&gt;"",I113&lt;&gt;""),I113-D113,"")</f>
        <v/>
      </c>
      <c r="M113" s="45">
        <f>IF(AND(E113&lt;&gt;"",J113&lt;&gt;""),J113-E113,"")</f>
        <v/>
      </c>
      <c r="N113" s="45">
        <f>IF(AND(F113&lt;&gt;"",K113&lt;&gt;""),K113-F113,"")</f>
        <v/>
      </c>
    </row>
    <row r="114">
      <c r="A114" s="18" t="inlineStr">
        <is>
          <t>A1900</t>
        </is>
      </c>
      <c r="B114" s="18">
        <f>IFERROR(INDEX('Schedule_Data_Option_A'!D:D,MATCH($A114,'Schedule_Data_Option_A'!$C:$C,0)),"")</f>
        <v/>
      </c>
      <c r="C114" s="18">
        <f>IFERROR(INDEX('Schedule_Data_Option_A'!E:E,MATCH($A114,'Schedule_Data_Option_A'!$C:$C,0)),"")</f>
        <v/>
      </c>
      <c r="D114" s="20">
        <f>IFERROR(INDEX('Schedule_Data_Option_A'!G:G,MATCH($A114,'Schedule_Data_Option_A'!$C:$C,0)),"")</f>
        <v/>
      </c>
      <c r="E114" s="20">
        <f>IFERROR(INDEX('Schedule_Data_Option_A'!H:H,MATCH($A114,'Schedule_Data_Option_A'!$C:$C,0)),"")</f>
        <v/>
      </c>
      <c r="F114" s="18">
        <f>IFERROR(INDEX('Schedule_Data_Option_A'!I:I,MATCH($A114,'Schedule_Data_Option_A'!$C:$C,0)),"")</f>
        <v/>
      </c>
      <c r="G114" s="18">
        <f>IFERROR(INDEX('Schedule_Data_Option_B'!D:D,MATCH($A114,'Schedule_Data_Option_B'!$C:$C,0)),"")</f>
        <v/>
      </c>
      <c r="H114" s="18">
        <f>IFERROR(INDEX('Schedule_Data_Option_B'!E:E,MATCH($A114,'Schedule_Data_Option_B'!$C:$C,0)),"")</f>
        <v/>
      </c>
      <c r="I114" s="20">
        <f>IFERROR(INDEX('Schedule_Data_Option_B'!G:G,MATCH($A114,'Schedule_Data_Option_B'!$C:$C,0)),"")</f>
        <v/>
      </c>
      <c r="J114" s="20">
        <f>IFERROR(INDEX('Schedule_Data_Option_B'!H:H,MATCH($A114,'Schedule_Data_Option_B'!$C:$C,0)),"")</f>
        <v/>
      </c>
      <c r="K114" s="18">
        <f>IFERROR(INDEX('Schedule_Data_Option_B'!I:I,MATCH($A114,'Schedule_Data_Option_B'!$C:$C,0)),"")</f>
        <v/>
      </c>
      <c r="L114" s="45">
        <f>IF(AND(D114&lt;&gt;"",I114&lt;&gt;""),I114-D114,"")</f>
        <v/>
      </c>
      <c r="M114" s="45">
        <f>IF(AND(E114&lt;&gt;"",J114&lt;&gt;""),J114-E114,"")</f>
        <v/>
      </c>
      <c r="N114" s="45">
        <f>IF(AND(F114&lt;&gt;"",K114&lt;&gt;""),K114-F114,"")</f>
        <v/>
      </c>
    </row>
    <row r="115">
      <c r="A115" s="18" t="inlineStr">
        <is>
          <t>A1910</t>
        </is>
      </c>
      <c r="B115" s="18">
        <f>IFERROR(INDEX('Schedule_Data_Option_A'!D:D,MATCH($A115,'Schedule_Data_Option_A'!$C:$C,0)),"")</f>
        <v/>
      </c>
      <c r="C115" s="18">
        <f>IFERROR(INDEX('Schedule_Data_Option_A'!E:E,MATCH($A115,'Schedule_Data_Option_A'!$C:$C,0)),"")</f>
        <v/>
      </c>
      <c r="D115" s="20">
        <f>IFERROR(INDEX('Schedule_Data_Option_A'!G:G,MATCH($A115,'Schedule_Data_Option_A'!$C:$C,0)),"")</f>
        <v/>
      </c>
      <c r="E115" s="20">
        <f>IFERROR(INDEX('Schedule_Data_Option_A'!H:H,MATCH($A115,'Schedule_Data_Option_A'!$C:$C,0)),"")</f>
        <v/>
      </c>
      <c r="F115" s="18">
        <f>IFERROR(INDEX('Schedule_Data_Option_A'!I:I,MATCH($A115,'Schedule_Data_Option_A'!$C:$C,0)),"")</f>
        <v/>
      </c>
      <c r="G115" s="18">
        <f>IFERROR(INDEX('Schedule_Data_Option_B'!D:D,MATCH($A115,'Schedule_Data_Option_B'!$C:$C,0)),"")</f>
        <v/>
      </c>
      <c r="H115" s="18">
        <f>IFERROR(INDEX('Schedule_Data_Option_B'!E:E,MATCH($A115,'Schedule_Data_Option_B'!$C:$C,0)),"")</f>
        <v/>
      </c>
      <c r="I115" s="20">
        <f>IFERROR(INDEX('Schedule_Data_Option_B'!G:G,MATCH($A115,'Schedule_Data_Option_B'!$C:$C,0)),"")</f>
        <v/>
      </c>
      <c r="J115" s="20">
        <f>IFERROR(INDEX('Schedule_Data_Option_B'!H:H,MATCH($A115,'Schedule_Data_Option_B'!$C:$C,0)),"")</f>
        <v/>
      </c>
      <c r="K115" s="18">
        <f>IFERROR(INDEX('Schedule_Data_Option_B'!I:I,MATCH($A115,'Schedule_Data_Option_B'!$C:$C,0)),"")</f>
        <v/>
      </c>
      <c r="L115" s="45">
        <f>IF(AND(D115&lt;&gt;"",I115&lt;&gt;""),I115-D115,"")</f>
        <v/>
      </c>
      <c r="M115" s="45">
        <f>IF(AND(E115&lt;&gt;"",J115&lt;&gt;""),J115-E115,"")</f>
        <v/>
      </c>
      <c r="N115" s="45">
        <f>IF(AND(F115&lt;&gt;"",K115&lt;&gt;""),K115-F115,"")</f>
        <v/>
      </c>
    </row>
    <row r="116">
      <c r="A116" s="18" t="inlineStr">
        <is>
          <t>A1920</t>
        </is>
      </c>
      <c r="B116" s="18">
        <f>IFERROR(INDEX('Schedule_Data_Option_A'!D:D,MATCH($A116,'Schedule_Data_Option_A'!$C:$C,0)),"")</f>
        <v/>
      </c>
      <c r="C116" s="18">
        <f>IFERROR(INDEX('Schedule_Data_Option_A'!E:E,MATCH($A116,'Schedule_Data_Option_A'!$C:$C,0)),"")</f>
        <v/>
      </c>
      <c r="D116" s="20">
        <f>IFERROR(INDEX('Schedule_Data_Option_A'!G:G,MATCH($A116,'Schedule_Data_Option_A'!$C:$C,0)),"")</f>
        <v/>
      </c>
      <c r="E116" s="20">
        <f>IFERROR(INDEX('Schedule_Data_Option_A'!H:H,MATCH($A116,'Schedule_Data_Option_A'!$C:$C,0)),"")</f>
        <v/>
      </c>
      <c r="F116" s="18">
        <f>IFERROR(INDEX('Schedule_Data_Option_A'!I:I,MATCH($A116,'Schedule_Data_Option_A'!$C:$C,0)),"")</f>
        <v/>
      </c>
      <c r="G116" s="18">
        <f>IFERROR(INDEX('Schedule_Data_Option_B'!D:D,MATCH($A116,'Schedule_Data_Option_B'!$C:$C,0)),"")</f>
        <v/>
      </c>
      <c r="H116" s="18">
        <f>IFERROR(INDEX('Schedule_Data_Option_B'!E:E,MATCH($A116,'Schedule_Data_Option_B'!$C:$C,0)),"")</f>
        <v/>
      </c>
      <c r="I116" s="20">
        <f>IFERROR(INDEX('Schedule_Data_Option_B'!G:G,MATCH($A116,'Schedule_Data_Option_B'!$C:$C,0)),"")</f>
        <v/>
      </c>
      <c r="J116" s="20">
        <f>IFERROR(INDEX('Schedule_Data_Option_B'!H:H,MATCH($A116,'Schedule_Data_Option_B'!$C:$C,0)),"")</f>
        <v/>
      </c>
      <c r="K116" s="18">
        <f>IFERROR(INDEX('Schedule_Data_Option_B'!I:I,MATCH($A116,'Schedule_Data_Option_B'!$C:$C,0)),"")</f>
        <v/>
      </c>
      <c r="L116" s="45">
        <f>IF(AND(D116&lt;&gt;"",I116&lt;&gt;""),I116-D116,"")</f>
        <v/>
      </c>
      <c r="M116" s="45">
        <f>IF(AND(E116&lt;&gt;"",J116&lt;&gt;""),J116-E116,"")</f>
        <v/>
      </c>
      <c r="N116" s="45">
        <f>IF(AND(F116&lt;&gt;"",K116&lt;&gt;""),K116-F116,"")</f>
        <v/>
      </c>
    </row>
    <row r="117">
      <c r="A117" s="18" t="inlineStr">
        <is>
          <t>A1960</t>
        </is>
      </c>
      <c r="B117" s="18">
        <f>IFERROR(INDEX('Schedule_Data_Option_A'!D:D,MATCH($A117,'Schedule_Data_Option_A'!$C:$C,0)),"")</f>
        <v/>
      </c>
      <c r="C117" s="18">
        <f>IFERROR(INDEX('Schedule_Data_Option_A'!E:E,MATCH($A117,'Schedule_Data_Option_A'!$C:$C,0)),"")</f>
        <v/>
      </c>
      <c r="D117" s="20">
        <f>IFERROR(INDEX('Schedule_Data_Option_A'!G:G,MATCH($A117,'Schedule_Data_Option_A'!$C:$C,0)),"")</f>
        <v/>
      </c>
      <c r="E117" s="20">
        <f>IFERROR(INDEX('Schedule_Data_Option_A'!H:H,MATCH($A117,'Schedule_Data_Option_A'!$C:$C,0)),"")</f>
        <v/>
      </c>
      <c r="F117" s="18">
        <f>IFERROR(INDEX('Schedule_Data_Option_A'!I:I,MATCH($A117,'Schedule_Data_Option_A'!$C:$C,0)),"")</f>
        <v/>
      </c>
      <c r="G117" s="18">
        <f>IFERROR(INDEX('Schedule_Data_Option_B'!D:D,MATCH($A117,'Schedule_Data_Option_B'!$C:$C,0)),"")</f>
        <v/>
      </c>
      <c r="H117" s="18">
        <f>IFERROR(INDEX('Schedule_Data_Option_B'!E:E,MATCH($A117,'Schedule_Data_Option_B'!$C:$C,0)),"")</f>
        <v/>
      </c>
      <c r="I117" s="20">
        <f>IFERROR(INDEX('Schedule_Data_Option_B'!G:G,MATCH($A117,'Schedule_Data_Option_B'!$C:$C,0)),"")</f>
        <v/>
      </c>
      <c r="J117" s="20">
        <f>IFERROR(INDEX('Schedule_Data_Option_B'!H:H,MATCH($A117,'Schedule_Data_Option_B'!$C:$C,0)),"")</f>
        <v/>
      </c>
      <c r="K117" s="18">
        <f>IFERROR(INDEX('Schedule_Data_Option_B'!I:I,MATCH($A117,'Schedule_Data_Option_B'!$C:$C,0)),"")</f>
        <v/>
      </c>
      <c r="L117" s="45">
        <f>IF(AND(D117&lt;&gt;"",I117&lt;&gt;""),I117-D117,"")</f>
        <v/>
      </c>
      <c r="M117" s="45">
        <f>IF(AND(E117&lt;&gt;"",J117&lt;&gt;""),J117-E117,"")</f>
        <v/>
      </c>
      <c r="N117" s="45">
        <f>IF(AND(F117&lt;&gt;"",K117&lt;&gt;""),K117-F117,"")</f>
        <v/>
      </c>
    </row>
    <row r="118">
      <c r="A118" s="18" t="inlineStr">
        <is>
          <t>A2070</t>
        </is>
      </c>
      <c r="B118" s="18">
        <f>IFERROR(INDEX('Schedule_Data_Option_A'!D:D,MATCH($A118,'Schedule_Data_Option_A'!$C:$C,0)),"")</f>
        <v/>
      </c>
      <c r="C118" s="18">
        <f>IFERROR(INDEX('Schedule_Data_Option_A'!E:E,MATCH($A118,'Schedule_Data_Option_A'!$C:$C,0)),"")</f>
        <v/>
      </c>
      <c r="D118" s="20">
        <f>IFERROR(INDEX('Schedule_Data_Option_A'!G:G,MATCH($A118,'Schedule_Data_Option_A'!$C:$C,0)),"")</f>
        <v/>
      </c>
      <c r="E118" s="20">
        <f>IFERROR(INDEX('Schedule_Data_Option_A'!H:H,MATCH($A118,'Schedule_Data_Option_A'!$C:$C,0)),"")</f>
        <v/>
      </c>
      <c r="F118" s="18">
        <f>IFERROR(INDEX('Schedule_Data_Option_A'!I:I,MATCH($A118,'Schedule_Data_Option_A'!$C:$C,0)),"")</f>
        <v/>
      </c>
      <c r="G118" s="18">
        <f>IFERROR(INDEX('Schedule_Data_Option_B'!D:D,MATCH($A118,'Schedule_Data_Option_B'!$C:$C,0)),"")</f>
        <v/>
      </c>
      <c r="H118" s="18">
        <f>IFERROR(INDEX('Schedule_Data_Option_B'!E:E,MATCH($A118,'Schedule_Data_Option_B'!$C:$C,0)),"")</f>
        <v/>
      </c>
      <c r="I118" s="20">
        <f>IFERROR(INDEX('Schedule_Data_Option_B'!G:G,MATCH($A118,'Schedule_Data_Option_B'!$C:$C,0)),"")</f>
        <v/>
      </c>
      <c r="J118" s="20">
        <f>IFERROR(INDEX('Schedule_Data_Option_B'!H:H,MATCH($A118,'Schedule_Data_Option_B'!$C:$C,0)),"")</f>
        <v/>
      </c>
      <c r="K118" s="18">
        <f>IFERROR(INDEX('Schedule_Data_Option_B'!I:I,MATCH($A118,'Schedule_Data_Option_B'!$C:$C,0)),"")</f>
        <v/>
      </c>
      <c r="L118" s="45">
        <f>IF(AND(D118&lt;&gt;"",I118&lt;&gt;""),I118-D118,"")</f>
        <v/>
      </c>
      <c r="M118" s="45">
        <f>IF(AND(E118&lt;&gt;"",J118&lt;&gt;""),J118-E118,"")</f>
        <v/>
      </c>
      <c r="N118" s="45">
        <f>IF(AND(F118&lt;&gt;"",K118&lt;&gt;""),K118-F118,"")</f>
        <v/>
      </c>
    </row>
    <row r="119">
      <c r="A119" s="18" t="inlineStr">
        <is>
          <t>A2080</t>
        </is>
      </c>
      <c r="B119" s="18">
        <f>IFERROR(INDEX('Schedule_Data_Option_A'!D:D,MATCH($A119,'Schedule_Data_Option_A'!$C:$C,0)),"")</f>
        <v/>
      </c>
      <c r="C119" s="18">
        <f>IFERROR(INDEX('Schedule_Data_Option_A'!E:E,MATCH($A119,'Schedule_Data_Option_A'!$C:$C,0)),"")</f>
        <v/>
      </c>
      <c r="D119" s="20">
        <f>IFERROR(INDEX('Schedule_Data_Option_A'!G:G,MATCH($A119,'Schedule_Data_Option_A'!$C:$C,0)),"")</f>
        <v/>
      </c>
      <c r="E119" s="20">
        <f>IFERROR(INDEX('Schedule_Data_Option_A'!H:H,MATCH($A119,'Schedule_Data_Option_A'!$C:$C,0)),"")</f>
        <v/>
      </c>
      <c r="F119" s="18">
        <f>IFERROR(INDEX('Schedule_Data_Option_A'!I:I,MATCH($A119,'Schedule_Data_Option_A'!$C:$C,0)),"")</f>
        <v/>
      </c>
      <c r="G119" s="18">
        <f>IFERROR(INDEX('Schedule_Data_Option_B'!D:D,MATCH($A119,'Schedule_Data_Option_B'!$C:$C,0)),"")</f>
        <v/>
      </c>
      <c r="H119" s="18">
        <f>IFERROR(INDEX('Schedule_Data_Option_B'!E:E,MATCH($A119,'Schedule_Data_Option_B'!$C:$C,0)),"")</f>
        <v/>
      </c>
      <c r="I119" s="20">
        <f>IFERROR(INDEX('Schedule_Data_Option_B'!G:G,MATCH($A119,'Schedule_Data_Option_B'!$C:$C,0)),"")</f>
        <v/>
      </c>
      <c r="J119" s="20">
        <f>IFERROR(INDEX('Schedule_Data_Option_B'!H:H,MATCH($A119,'Schedule_Data_Option_B'!$C:$C,0)),"")</f>
        <v/>
      </c>
      <c r="K119" s="18">
        <f>IFERROR(INDEX('Schedule_Data_Option_B'!I:I,MATCH($A119,'Schedule_Data_Option_B'!$C:$C,0)),"")</f>
        <v/>
      </c>
      <c r="L119" s="45">
        <f>IF(AND(D119&lt;&gt;"",I119&lt;&gt;""),I119-D119,"")</f>
        <v/>
      </c>
      <c r="M119" s="45">
        <f>IF(AND(E119&lt;&gt;"",J119&lt;&gt;""),J119-E119,"")</f>
        <v/>
      </c>
      <c r="N119" s="45">
        <f>IF(AND(F119&lt;&gt;"",K119&lt;&gt;""),K119-F119,"")</f>
        <v/>
      </c>
    </row>
    <row r="120">
      <c r="A120" s="18" t="inlineStr">
        <is>
          <t>A2090</t>
        </is>
      </c>
      <c r="B120" s="18">
        <f>IFERROR(INDEX('Schedule_Data_Option_A'!D:D,MATCH($A120,'Schedule_Data_Option_A'!$C:$C,0)),"")</f>
        <v/>
      </c>
      <c r="C120" s="18">
        <f>IFERROR(INDEX('Schedule_Data_Option_A'!E:E,MATCH($A120,'Schedule_Data_Option_A'!$C:$C,0)),"")</f>
        <v/>
      </c>
      <c r="D120" s="20">
        <f>IFERROR(INDEX('Schedule_Data_Option_A'!G:G,MATCH($A120,'Schedule_Data_Option_A'!$C:$C,0)),"")</f>
        <v/>
      </c>
      <c r="E120" s="20">
        <f>IFERROR(INDEX('Schedule_Data_Option_A'!H:H,MATCH($A120,'Schedule_Data_Option_A'!$C:$C,0)),"")</f>
        <v/>
      </c>
      <c r="F120" s="18">
        <f>IFERROR(INDEX('Schedule_Data_Option_A'!I:I,MATCH($A120,'Schedule_Data_Option_A'!$C:$C,0)),"")</f>
        <v/>
      </c>
      <c r="G120" s="18">
        <f>IFERROR(INDEX('Schedule_Data_Option_B'!D:D,MATCH($A120,'Schedule_Data_Option_B'!$C:$C,0)),"")</f>
        <v/>
      </c>
      <c r="H120" s="18">
        <f>IFERROR(INDEX('Schedule_Data_Option_B'!E:E,MATCH($A120,'Schedule_Data_Option_B'!$C:$C,0)),"")</f>
        <v/>
      </c>
      <c r="I120" s="20">
        <f>IFERROR(INDEX('Schedule_Data_Option_B'!G:G,MATCH($A120,'Schedule_Data_Option_B'!$C:$C,0)),"")</f>
        <v/>
      </c>
      <c r="J120" s="20">
        <f>IFERROR(INDEX('Schedule_Data_Option_B'!H:H,MATCH($A120,'Schedule_Data_Option_B'!$C:$C,0)),"")</f>
        <v/>
      </c>
      <c r="K120" s="18">
        <f>IFERROR(INDEX('Schedule_Data_Option_B'!I:I,MATCH($A120,'Schedule_Data_Option_B'!$C:$C,0)),"")</f>
        <v/>
      </c>
      <c r="L120" s="45">
        <f>IF(AND(D120&lt;&gt;"",I120&lt;&gt;""),I120-D120,"")</f>
        <v/>
      </c>
      <c r="M120" s="45">
        <f>IF(AND(E120&lt;&gt;"",J120&lt;&gt;""),J120-E120,"")</f>
        <v/>
      </c>
      <c r="N120" s="45">
        <f>IF(AND(F120&lt;&gt;"",K120&lt;&gt;""),K120-F120,"")</f>
        <v/>
      </c>
    </row>
    <row r="121">
      <c r="A121" s="18" t="inlineStr">
        <is>
          <t>A2100</t>
        </is>
      </c>
      <c r="B121" s="18">
        <f>IFERROR(INDEX('Schedule_Data_Option_A'!D:D,MATCH($A121,'Schedule_Data_Option_A'!$C:$C,0)),"")</f>
        <v/>
      </c>
      <c r="C121" s="18">
        <f>IFERROR(INDEX('Schedule_Data_Option_A'!E:E,MATCH($A121,'Schedule_Data_Option_A'!$C:$C,0)),"")</f>
        <v/>
      </c>
      <c r="D121" s="20">
        <f>IFERROR(INDEX('Schedule_Data_Option_A'!G:G,MATCH($A121,'Schedule_Data_Option_A'!$C:$C,0)),"")</f>
        <v/>
      </c>
      <c r="E121" s="20">
        <f>IFERROR(INDEX('Schedule_Data_Option_A'!H:H,MATCH($A121,'Schedule_Data_Option_A'!$C:$C,0)),"")</f>
        <v/>
      </c>
      <c r="F121" s="18">
        <f>IFERROR(INDEX('Schedule_Data_Option_A'!I:I,MATCH($A121,'Schedule_Data_Option_A'!$C:$C,0)),"")</f>
        <v/>
      </c>
      <c r="G121" s="18">
        <f>IFERROR(INDEX('Schedule_Data_Option_B'!D:D,MATCH($A121,'Schedule_Data_Option_B'!$C:$C,0)),"")</f>
        <v/>
      </c>
      <c r="H121" s="18">
        <f>IFERROR(INDEX('Schedule_Data_Option_B'!E:E,MATCH($A121,'Schedule_Data_Option_B'!$C:$C,0)),"")</f>
        <v/>
      </c>
      <c r="I121" s="20">
        <f>IFERROR(INDEX('Schedule_Data_Option_B'!G:G,MATCH($A121,'Schedule_Data_Option_B'!$C:$C,0)),"")</f>
        <v/>
      </c>
      <c r="J121" s="20">
        <f>IFERROR(INDEX('Schedule_Data_Option_B'!H:H,MATCH($A121,'Schedule_Data_Option_B'!$C:$C,0)),"")</f>
        <v/>
      </c>
      <c r="K121" s="18">
        <f>IFERROR(INDEX('Schedule_Data_Option_B'!I:I,MATCH($A121,'Schedule_Data_Option_B'!$C:$C,0)),"")</f>
        <v/>
      </c>
      <c r="L121" s="45">
        <f>IF(AND(D121&lt;&gt;"",I121&lt;&gt;""),I121-D121,"")</f>
        <v/>
      </c>
      <c r="M121" s="45">
        <f>IF(AND(E121&lt;&gt;"",J121&lt;&gt;""),J121-E121,"")</f>
        <v/>
      </c>
      <c r="N121" s="45">
        <f>IF(AND(F121&lt;&gt;"",K121&lt;&gt;""),K121-F121,"")</f>
        <v/>
      </c>
    </row>
    <row r="122">
      <c r="A122" s="18" t="inlineStr">
        <is>
          <t>A1228</t>
        </is>
      </c>
      <c r="B122" s="18">
        <f>IFERROR(INDEX('Schedule_Data_Option_A'!D:D,MATCH($A122,'Schedule_Data_Option_A'!$C:$C,0)),"")</f>
        <v/>
      </c>
      <c r="C122" s="18">
        <f>IFERROR(INDEX('Schedule_Data_Option_A'!E:E,MATCH($A122,'Schedule_Data_Option_A'!$C:$C,0)),"")</f>
        <v/>
      </c>
      <c r="D122" s="20">
        <f>IFERROR(INDEX('Schedule_Data_Option_A'!G:G,MATCH($A122,'Schedule_Data_Option_A'!$C:$C,0)),"")</f>
        <v/>
      </c>
      <c r="E122" s="20">
        <f>IFERROR(INDEX('Schedule_Data_Option_A'!H:H,MATCH($A122,'Schedule_Data_Option_A'!$C:$C,0)),"")</f>
        <v/>
      </c>
      <c r="F122" s="18">
        <f>IFERROR(INDEX('Schedule_Data_Option_A'!I:I,MATCH($A122,'Schedule_Data_Option_A'!$C:$C,0)),"")</f>
        <v/>
      </c>
      <c r="G122" s="18">
        <f>IFERROR(INDEX('Schedule_Data_Option_B'!D:D,MATCH($A122,'Schedule_Data_Option_B'!$C:$C,0)),"")</f>
        <v/>
      </c>
      <c r="H122" s="18">
        <f>IFERROR(INDEX('Schedule_Data_Option_B'!E:E,MATCH($A122,'Schedule_Data_Option_B'!$C:$C,0)),"")</f>
        <v/>
      </c>
      <c r="I122" s="20">
        <f>IFERROR(INDEX('Schedule_Data_Option_B'!G:G,MATCH($A122,'Schedule_Data_Option_B'!$C:$C,0)),"")</f>
        <v/>
      </c>
      <c r="J122" s="20">
        <f>IFERROR(INDEX('Schedule_Data_Option_B'!H:H,MATCH($A122,'Schedule_Data_Option_B'!$C:$C,0)),"")</f>
        <v/>
      </c>
      <c r="K122" s="18">
        <f>IFERROR(INDEX('Schedule_Data_Option_B'!I:I,MATCH($A122,'Schedule_Data_Option_B'!$C:$C,0)),"")</f>
        <v/>
      </c>
      <c r="L122" s="45">
        <f>IF(AND(D122&lt;&gt;"",I122&lt;&gt;""),I122-D122,"")</f>
        <v/>
      </c>
      <c r="M122" s="45">
        <f>IF(AND(E122&lt;&gt;"",J122&lt;&gt;""),J122-E122,"")</f>
        <v/>
      </c>
      <c r="N122" s="45">
        <f>IF(AND(F122&lt;&gt;"",K122&lt;&gt;""),K122-F122,"")</f>
        <v/>
      </c>
    </row>
    <row r="123">
      <c r="A123" s="18" t="inlineStr">
        <is>
          <t>A1229</t>
        </is>
      </c>
      <c r="B123" s="18">
        <f>IFERROR(INDEX('Schedule_Data_Option_A'!D:D,MATCH($A123,'Schedule_Data_Option_A'!$C:$C,0)),"")</f>
        <v/>
      </c>
      <c r="C123" s="18">
        <f>IFERROR(INDEX('Schedule_Data_Option_A'!E:E,MATCH($A123,'Schedule_Data_Option_A'!$C:$C,0)),"")</f>
        <v/>
      </c>
      <c r="D123" s="20">
        <f>IFERROR(INDEX('Schedule_Data_Option_A'!G:G,MATCH($A123,'Schedule_Data_Option_A'!$C:$C,0)),"")</f>
        <v/>
      </c>
      <c r="E123" s="20">
        <f>IFERROR(INDEX('Schedule_Data_Option_A'!H:H,MATCH($A123,'Schedule_Data_Option_A'!$C:$C,0)),"")</f>
        <v/>
      </c>
      <c r="F123" s="18">
        <f>IFERROR(INDEX('Schedule_Data_Option_A'!I:I,MATCH($A123,'Schedule_Data_Option_A'!$C:$C,0)),"")</f>
        <v/>
      </c>
      <c r="G123" s="18">
        <f>IFERROR(INDEX('Schedule_Data_Option_B'!D:D,MATCH($A123,'Schedule_Data_Option_B'!$C:$C,0)),"")</f>
        <v/>
      </c>
      <c r="H123" s="18">
        <f>IFERROR(INDEX('Schedule_Data_Option_B'!E:E,MATCH($A123,'Schedule_Data_Option_B'!$C:$C,0)),"")</f>
        <v/>
      </c>
      <c r="I123" s="20">
        <f>IFERROR(INDEX('Schedule_Data_Option_B'!G:G,MATCH($A123,'Schedule_Data_Option_B'!$C:$C,0)),"")</f>
        <v/>
      </c>
      <c r="J123" s="20">
        <f>IFERROR(INDEX('Schedule_Data_Option_B'!H:H,MATCH($A123,'Schedule_Data_Option_B'!$C:$C,0)),"")</f>
        <v/>
      </c>
      <c r="K123" s="18">
        <f>IFERROR(INDEX('Schedule_Data_Option_B'!I:I,MATCH($A123,'Schedule_Data_Option_B'!$C:$C,0)),"")</f>
        <v/>
      </c>
      <c r="L123" s="45">
        <f>IF(AND(D123&lt;&gt;"",I123&lt;&gt;""),I123-D123,"")</f>
        <v/>
      </c>
      <c r="M123" s="45">
        <f>IF(AND(E123&lt;&gt;"",J123&lt;&gt;""),J123-E123,"")</f>
        <v/>
      </c>
      <c r="N123" s="45">
        <f>IF(AND(F123&lt;&gt;"",K123&lt;&gt;""),K123-F123,"")</f>
        <v/>
      </c>
    </row>
    <row r="124">
      <c r="A124" s="18" t="inlineStr">
        <is>
          <t>A1239</t>
        </is>
      </c>
      <c r="B124" s="18">
        <f>IFERROR(INDEX('Schedule_Data_Option_A'!D:D,MATCH($A124,'Schedule_Data_Option_A'!$C:$C,0)),"")</f>
        <v/>
      </c>
      <c r="C124" s="18">
        <f>IFERROR(INDEX('Schedule_Data_Option_A'!E:E,MATCH($A124,'Schedule_Data_Option_A'!$C:$C,0)),"")</f>
        <v/>
      </c>
      <c r="D124" s="20">
        <f>IFERROR(INDEX('Schedule_Data_Option_A'!G:G,MATCH($A124,'Schedule_Data_Option_A'!$C:$C,0)),"")</f>
        <v/>
      </c>
      <c r="E124" s="20">
        <f>IFERROR(INDEX('Schedule_Data_Option_A'!H:H,MATCH($A124,'Schedule_Data_Option_A'!$C:$C,0)),"")</f>
        <v/>
      </c>
      <c r="F124" s="18">
        <f>IFERROR(INDEX('Schedule_Data_Option_A'!I:I,MATCH($A124,'Schedule_Data_Option_A'!$C:$C,0)),"")</f>
        <v/>
      </c>
      <c r="G124" s="18">
        <f>IFERROR(INDEX('Schedule_Data_Option_B'!D:D,MATCH($A124,'Schedule_Data_Option_B'!$C:$C,0)),"")</f>
        <v/>
      </c>
      <c r="H124" s="18">
        <f>IFERROR(INDEX('Schedule_Data_Option_B'!E:E,MATCH($A124,'Schedule_Data_Option_B'!$C:$C,0)),"")</f>
        <v/>
      </c>
      <c r="I124" s="20">
        <f>IFERROR(INDEX('Schedule_Data_Option_B'!G:G,MATCH($A124,'Schedule_Data_Option_B'!$C:$C,0)),"")</f>
        <v/>
      </c>
      <c r="J124" s="20">
        <f>IFERROR(INDEX('Schedule_Data_Option_B'!H:H,MATCH($A124,'Schedule_Data_Option_B'!$C:$C,0)),"")</f>
        <v/>
      </c>
      <c r="K124" s="18">
        <f>IFERROR(INDEX('Schedule_Data_Option_B'!I:I,MATCH($A124,'Schedule_Data_Option_B'!$C:$C,0)),"")</f>
        <v/>
      </c>
      <c r="L124" s="45">
        <f>IF(AND(D124&lt;&gt;"",I124&lt;&gt;""),I124-D124,"")</f>
        <v/>
      </c>
      <c r="M124" s="45">
        <f>IF(AND(E124&lt;&gt;"",J124&lt;&gt;""),J124-E124,"")</f>
        <v/>
      </c>
      <c r="N124" s="45">
        <f>IF(AND(F124&lt;&gt;"",K124&lt;&gt;""),K124-F124,"")</f>
        <v/>
      </c>
    </row>
    <row r="125">
      <c r="A125" s="18" t="inlineStr">
        <is>
          <t>A1249</t>
        </is>
      </c>
      <c r="B125" s="18">
        <f>IFERROR(INDEX('Schedule_Data_Option_A'!D:D,MATCH($A125,'Schedule_Data_Option_A'!$C:$C,0)),"")</f>
        <v/>
      </c>
      <c r="C125" s="18">
        <f>IFERROR(INDEX('Schedule_Data_Option_A'!E:E,MATCH($A125,'Schedule_Data_Option_A'!$C:$C,0)),"")</f>
        <v/>
      </c>
      <c r="D125" s="20">
        <f>IFERROR(INDEX('Schedule_Data_Option_A'!G:G,MATCH($A125,'Schedule_Data_Option_A'!$C:$C,0)),"")</f>
        <v/>
      </c>
      <c r="E125" s="20">
        <f>IFERROR(INDEX('Schedule_Data_Option_A'!H:H,MATCH($A125,'Schedule_Data_Option_A'!$C:$C,0)),"")</f>
        <v/>
      </c>
      <c r="F125" s="18">
        <f>IFERROR(INDEX('Schedule_Data_Option_A'!I:I,MATCH($A125,'Schedule_Data_Option_A'!$C:$C,0)),"")</f>
        <v/>
      </c>
      <c r="G125" s="18">
        <f>IFERROR(INDEX('Schedule_Data_Option_B'!D:D,MATCH($A125,'Schedule_Data_Option_B'!$C:$C,0)),"")</f>
        <v/>
      </c>
      <c r="H125" s="18">
        <f>IFERROR(INDEX('Schedule_Data_Option_B'!E:E,MATCH($A125,'Schedule_Data_Option_B'!$C:$C,0)),"")</f>
        <v/>
      </c>
      <c r="I125" s="20">
        <f>IFERROR(INDEX('Schedule_Data_Option_B'!G:G,MATCH($A125,'Schedule_Data_Option_B'!$C:$C,0)),"")</f>
        <v/>
      </c>
      <c r="J125" s="20">
        <f>IFERROR(INDEX('Schedule_Data_Option_B'!H:H,MATCH($A125,'Schedule_Data_Option_B'!$C:$C,0)),"")</f>
        <v/>
      </c>
      <c r="K125" s="18">
        <f>IFERROR(INDEX('Schedule_Data_Option_B'!I:I,MATCH($A125,'Schedule_Data_Option_B'!$C:$C,0)),"")</f>
        <v/>
      </c>
      <c r="L125" s="45">
        <f>IF(AND(D125&lt;&gt;"",I125&lt;&gt;""),I125-D125,"")</f>
        <v/>
      </c>
      <c r="M125" s="45">
        <f>IF(AND(E125&lt;&gt;"",J125&lt;&gt;""),J125-E125,"")</f>
        <v/>
      </c>
      <c r="N125" s="45">
        <f>IF(AND(F125&lt;&gt;"",K125&lt;&gt;""),K125-F125,"")</f>
        <v/>
      </c>
    </row>
    <row r="126">
      <c r="A126" s="18" t="inlineStr">
        <is>
          <t>A1259</t>
        </is>
      </c>
      <c r="B126" s="18">
        <f>IFERROR(INDEX('Schedule_Data_Option_A'!D:D,MATCH($A126,'Schedule_Data_Option_A'!$C:$C,0)),"")</f>
        <v/>
      </c>
      <c r="C126" s="18">
        <f>IFERROR(INDEX('Schedule_Data_Option_A'!E:E,MATCH($A126,'Schedule_Data_Option_A'!$C:$C,0)),"")</f>
        <v/>
      </c>
      <c r="D126" s="20">
        <f>IFERROR(INDEX('Schedule_Data_Option_A'!G:G,MATCH($A126,'Schedule_Data_Option_A'!$C:$C,0)),"")</f>
        <v/>
      </c>
      <c r="E126" s="20">
        <f>IFERROR(INDEX('Schedule_Data_Option_A'!H:H,MATCH($A126,'Schedule_Data_Option_A'!$C:$C,0)),"")</f>
        <v/>
      </c>
      <c r="F126" s="18">
        <f>IFERROR(INDEX('Schedule_Data_Option_A'!I:I,MATCH($A126,'Schedule_Data_Option_A'!$C:$C,0)),"")</f>
        <v/>
      </c>
      <c r="G126" s="18">
        <f>IFERROR(INDEX('Schedule_Data_Option_B'!D:D,MATCH($A126,'Schedule_Data_Option_B'!$C:$C,0)),"")</f>
        <v/>
      </c>
      <c r="H126" s="18">
        <f>IFERROR(INDEX('Schedule_Data_Option_B'!E:E,MATCH($A126,'Schedule_Data_Option_B'!$C:$C,0)),"")</f>
        <v/>
      </c>
      <c r="I126" s="20">
        <f>IFERROR(INDEX('Schedule_Data_Option_B'!G:G,MATCH($A126,'Schedule_Data_Option_B'!$C:$C,0)),"")</f>
        <v/>
      </c>
      <c r="J126" s="20">
        <f>IFERROR(INDEX('Schedule_Data_Option_B'!H:H,MATCH($A126,'Schedule_Data_Option_B'!$C:$C,0)),"")</f>
        <v/>
      </c>
      <c r="K126" s="18">
        <f>IFERROR(INDEX('Schedule_Data_Option_B'!I:I,MATCH($A126,'Schedule_Data_Option_B'!$C:$C,0)),"")</f>
        <v/>
      </c>
      <c r="L126" s="45">
        <f>IF(AND(D126&lt;&gt;"",I126&lt;&gt;""),I126-D126,"")</f>
        <v/>
      </c>
      <c r="M126" s="45">
        <f>IF(AND(E126&lt;&gt;"",J126&lt;&gt;""),J126-E126,"")</f>
        <v/>
      </c>
      <c r="N126" s="45">
        <f>IF(AND(F126&lt;&gt;"",K126&lt;&gt;""),K126-F126,"")</f>
        <v/>
      </c>
    </row>
    <row r="127">
      <c r="A127" s="18" t="inlineStr">
        <is>
          <t>A1269</t>
        </is>
      </c>
      <c r="B127" s="18">
        <f>IFERROR(INDEX('Schedule_Data_Option_A'!D:D,MATCH($A127,'Schedule_Data_Option_A'!$C:$C,0)),"")</f>
        <v/>
      </c>
      <c r="C127" s="18">
        <f>IFERROR(INDEX('Schedule_Data_Option_A'!E:E,MATCH($A127,'Schedule_Data_Option_A'!$C:$C,0)),"")</f>
        <v/>
      </c>
      <c r="D127" s="20">
        <f>IFERROR(INDEX('Schedule_Data_Option_A'!G:G,MATCH($A127,'Schedule_Data_Option_A'!$C:$C,0)),"")</f>
        <v/>
      </c>
      <c r="E127" s="20">
        <f>IFERROR(INDEX('Schedule_Data_Option_A'!H:H,MATCH($A127,'Schedule_Data_Option_A'!$C:$C,0)),"")</f>
        <v/>
      </c>
      <c r="F127" s="18">
        <f>IFERROR(INDEX('Schedule_Data_Option_A'!I:I,MATCH($A127,'Schedule_Data_Option_A'!$C:$C,0)),"")</f>
        <v/>
      </c>
      <c r="G127" s="18">
        <f>IFERROR(INDEX('Schedule_Data_Option_B'!D:D,MATCH($A127,'Schedule_Data_Option_B'!$C:$C,0)),"")</f>
        <v/>
      </c>
      <c r="H127" s="18">
        <f>IFERROR(INDEX('Schedule_Data_Option_B'!E:E,MATCH($A127,'Schedule_Data_Option_B'!$C:$C,0)),"")</f>
        <v/>
      </c>
      <c r="I127" s="20">
        <f>IFERROR(INDEX('Schedule_Data_Option_B'!G:G,MATCH($A127,'Schedule_Data_Option_B'!$C:$C,0)),"")</f>
        <v/>
      </c>
      <c r="J127" s="20">
        <f>IFERROR(INDEX('Schedule_Data_Option_B'!H:H,MATCH($A127,'Schedule_Data_Option_B'!$C:$C,0)),"")</f>
        <v/>
      </c>
      <c r="K127" s="18">
        <f>IFERROR(INDEX('Schedule_Data_Option_B'!I:I,MATCH($A127,'Schedule_Data_Option_B'!$C:$C,0)),"")</f>
        <v/>
      </c>
      <c r="L127" s="45">
        <f>IF(AND(D127&lt;&gt;"",I127&lt;&gt;""),I127-D127,"")</f>
        <v/>
      </c>
      <c r="M127" s="45">
        <f>IF(AND(E127&lt;&gt;"",J127&lt;&gt;""),J127-E127,"")</f>
        <v/>
      </c>
      <c r="N127" s="45">
        <f>IF(AND(F127&lt;&gt;"",K127&lt;&gt;""),K127-F127,"")</f>
        <v/>
      </c>
    </row>
    <row r="128">
      <c r="A128" s="18" t="inlineStr">
        <is>
          <t>A1279</t>
        </is>
      </c>
      <c r="B128" s="18">
        <f>IFERROR(INDEX('Schedule_Data_Option_A'!D:D,MATCH($A128,'Schedule_Data_Option_A'!$C:$C,0)),"")</f>
        <v/>
      </c>
      <c r="C128" s="18">
        <f>IFERROR(INDEX('Schedule_Data_Option_A'!E:E,MATCH($A128,'Schedule_Data_Option_A'!$C:$C,0)),"")</f>
        <v/>
      </c>
      <c r="D128" s="20">
        <f>IFERROR(INDEX('Schedule_Data_Option_A'!G:G,MATCH($A128,'Schedule_Data_Option_A'!$C:$C,0)),"")</f>
        <v/>
      </c>
      <c r="E128" s="20">
        <f>IFERROR(INDEX('Schedule_Data_Option_A'!H:H,MATCH($A128,'Schedule_Data_Option_A'!$C:$C,0)),"")</f>
        <v/>
      </c>
      <c r="F128" s="18">
        <f>IFERROR(INDEX('Schedule_Data_Option_A'!I:I,MATCH($A128,'Schedule_Data_Option_A'!$C:$C,0)),"")</f>
        <v/>
      </c>
      <c r="G128" s="18">
        <f>IFERROR(INDEX('Schedule_Data_Option_B'!D:D,MATCH($A128,'Schedule_Data_Option_B'!$C:$C,0)),"")</f>
        <v/>
      </c>
      <c r="H128" s="18">
        <f>IFERROR(INDEX('Schedule_Data_Option_B'!E:E,MATCH($A128,'Schedule_Data_Option_B'!$C:$C,0)),"")</f>
        <v/>
      </c>
      <c r="I128" s="20">
        <f>IFERROR(INDEX('Schedule_Data_Option_B'!G:G,MATCH($A128,'Schedule_Data_Option_B'!$C:$C,0)),"")</f>
        <v/>
      </c>
      <c r="J128" s="20">
        <f>IFERROR(INDEX('Schedule_Data_Option_B'!H:H,MATCH($A128,'Schedule_Data_Option_B'!$C:$C,0)),"")</f>
        <v/>
      </c>
      <c r="K128" s="18">
        <f>IFERROR(INDEX('Schedule_Data_Option_B'!I:I,MATCH($A128,'Schedule_Data_Option_B'!$C:$C,0)),"")</f>
        <v/>
      </c>
      <c r="L128" s="45">
        <f>IF(AND(D128&lt;&gt;"",I128&lt;&gt;""),I128-D128,"")</f>
        <v/>
      </c>
      <c r="M128" s="45">
        <f>IF(AND(E128&lt;&gt;"",J128&lt;&gt;""),J128-E128,"")</f>
        <v/>
      </c>
      <c r="N128" s="45">
        <f>IF(AND(F128&lt;&gt;"",K128&lt;&gt;""),K128-F128,"")</f>
        <v/>
      </c>
    </row>
    <row r="129">
      <c r="A129" s="18" t="inlineStr">
        <is>
          <t>A1289</t>
        </is>
      </c>
      <c r="B129" s="18">
        <f>IFERROR(INDEX('Schedule_Data_Option_A'!D:D,MATCH($A129,'Schedule_Data_Option_A'!$C:$C,0)),"")</f>
        <v/>
      </c>
      <c r="C129" s="18">
        <f>IFERROR(INDEX('Schedule_Data_Option_A'!E:E,MATCH($A129,'Schedule_Data_Option_A'!$C:$C,0)),"")</f>
        <v/>
      </c>
      <c r="D129" s="20">
        <f>IFERROR(INDEX('Schedule_Data_Option_A'!G:G,MATCH($A129,'Schedule_Data_Option_A'!$C:$C,0)),"")</f>
        <v/>
      </c>
      <c r="E129" s="20">
        <f>IFERROR(INDEX('Schedule_Data_Option_A'!H:H,MATCH($A129,'Schedule_Data_Option_A'!$C:$C,0)),"")</f>
        <v/>
      </c>
      <c r="F129" s="18">
        <f>IFERROR(INDEX('Schedule_Data_Option_A'!I:I,MATCH($A129,'Schedule_Data_Option_A'!$C:$C,0)),"")</f>
        <v/>
      </c>
      <c r="G129" s="18">
        <f>IFERROR(INDEX('Schedule_Data_Option_B'!D:D,MATCH($A129,'Schedule_Data_Option_B'!$C:$C,0)),"")</f>
        <v/>
      </c>
      <c r="H129" s="18">
        <f>IFERROR(INDEX('Schedule_Data_Option_B'!E:E,MATCH($A129,'Schedule_Data_Option_B'!$C:$C,0)),"")</f>
        <v/>
      </c>
      <c r="I129" s="20">
        <f>IFERROR(INDEX('Schedule_Data_Option_B'!G:G,MATCH($A129,'Schedule_Data_Option_B'!$C:$C,0)),"")</f>
        <v/>
      </c>
      <c r="J129" s="20">
        <f>IFERROR(INDEX('Schedule_Data_Option_B'!H:H,MATCH($A129,'Schedule_Data_Option_B'!$C:$C,0)),"")</f>
        <v/>
      </c>
      <c r="K129" s="18">
        <f>IFERROR(INDEX('Schedule_Data_Option_B'!I:I,MATCH($A129,'Schedule_Data_Option_B'!$C:$C,0)),"")</f>
        <v/>
      </c>
      <c r="L129" s="45">
        <f>IF(AND(D129&lt;&gt;"",I129&lt;&gt;""),I129-D129,"")</f>
        <v/>
      </c>
      <c r="M129" s="45">
        <f>IF(AND(E129&lt;&gt;"",J129&lt;&gt;""),J129-E129,"")</f>
        <v/>
      </c>
      <c r="N129" s="45">
        <f>IF(AND(F129&lt;&gt;"",K129&lt;&gt;""),K129-F129,"")</f>
        <v/>
      </c>
    </row>
    <row r="130">
      <c r="A130" s="18" t="inlineStr">
        <is>
          <t>A1299</t>
        </is>
      </c>
      <c r="B130" s="18">
        <f>IFERROR(INDEX('Schedule_Data_Option_A'!D:D,MATCH($A130,'Schedule_Data_Option_A'!$C:$C,0)),"")</f>
        <v/>
      </c>
      <c r="C130" s="18">
        <f>IFERROR(INDEX('Schedule_Data_Option_A'!E:E,MATCH($A130,'Schedule_Data_Option_A'!$C:$C,0)),"")</f>
        <v/>
      </c>
      <c r="D130" s="20">
        <f>IFERROR(INDEX('Schedule_Data_Option_A'!G:G,MATCH($A130,'Schedule_Data_Option_A'!$C:$C,0)),"")</f>
        <v/>
      </c>
      <c r="E130" s="20">
        <f>IFERROR(INDEX('Schedule_Data_Option_A'!H:H,MATCH($A130,'Schedule_Data_Option_A'!$C:$C,0)),"")</f>
        <v/>
      </c>
      <c r="F130" s="18">
        <f>IFERROR(INDEX('Schedule_Data_Option_A'!I:I,MATCH($A130,'Schedule_Data_Option_A'!$C:$C,0)),"")</f>
        <v/>
      </c>
      <c r="G130" s="18">
        <f>IFERROR(INDEX('Schedule_Data_Option_B'!D:D,MATCH($A130,'Schedule_Data_Option_B'!$C:$C,0)),"")</f>
        <v/>
      </c>
      <c r="H130" s="18">
        <f>IFERROR(INDEX('Schedule_Data_Option_B'!E:E,MATCH($A130,'Schedule_Data_Option_B'!$C:$C,0)),"")</f>
        <v/>
      </c>
      <c r="I130" s="20">
        <f>IFERROR(INDEX('Schedule_Data_Option_B'!G:G,MATCH($A130,'Schedule_Data_Option_B'!$C:$C,0)),"")</f>
        <v/>
      </c>
      <c r="J130" s="20">
        <f>IFERROR(INDEX('Schedule_Data_Option_B'!H:H,MATCH($A130,'Schedule_Data_Option_B'!$C:$C,0)),"")</f>
        <v/>
      </c>
      <c r="K130" s="18">
        <f>IFERROR(INDEX('Schedule_Data_Option_B'!I:I,MATCH($A130,'Schedule_Data_Option_B'!$C:$C,0)),"")</f>
        <v/>
      </c>
      <c r="L130" s="45">
        <f>IF(AND(D130&lt;&gt;"",I130&lt;&gt;""),I130-D130,"")</f>
        <v/>
      </c>
      <c r="M130" s="45">
        <f>IF(AND(E130&lt;&gt;"",J130&lt;&gt;""),J130-E130,"")</f>
        <v/>
      </c>
      <c r="N130" s="45">
        <f>IF(AND(F130&lt;&gt;"",K130&lt;&gt;""),K130-F130,"")</f>
        <v/>
      </c>
    </row>
    <row r="131">
      <c r="A131" s="18" t="inlineStr">
        <is>
          <t>A1309</t>
        </is>
      </c>
      <c r="B131" s="18">
        <f>IFERROR(INDEX('Schedule_Data_Option_A'!D:D,MATCH($A131,'Schedule_Data_Option_A'!$C:$C,0)),"")</f>
        <v/>
      </c>
      <c r="C131" s="18">
        <f>IFERROR(INDEX('Schedule_Data_Option_A'!E:E,MATCH($A131,'Schedule_Data_Option_A'!$C:$C,0)),"")</f>
        <v/>
      </c>
      <c r="D131" s="20">
        <f>IFERROR(INDEX('Schedule_Data_Option_A'!G:G,MATCH($A131,'Schedule_Data_Option_A'!$C:$C,0)),"")</f>
        <v/>
      </c>
      <c r="E131" s="20">
        <f>IFERROR(INDEX('Schedule_Data_Option_A'!H:H,MATCH($A131,'Schedule_Data_Option_A'!$C:$C,0)),"")</f>
        <v/>
      </c>
      <c r="F131" s="18">
        <f>IFERROR(INDEX('Schedule_Data_Option_A'!I:I,MATCH($A131,'Schedule_Data_Option_A'!$C:$C,0)),"")</f>
        <v/>
      </c>
      <c r="G131" s="18">
        <f>IFERROR(INDEX('Schedule_Data_Option_B'!D:D,MATCH($A131,'Schedule_Data_Option_B'!$C:$C,0)),"")</f>
        <v/>
      </c>
      <c r="H131" s="18">
        <f>IFERROR(INDEX('Schedule_Data_Option_B'!E:E,MATCH($A131,'Schedule_Data_Option_B'!$C:$C,0)),"")</f>
        <v/>
      </c>
      <c r="I131" s="20">
        <f>IFERROR(INDEX('Schedule_Data_Option_B'!G:G,MATCH($A131,'Schedule_Data_Option_B'!$C:$C,0)),"")</f>
        <v/>
      </c>
      <c r="J131" s="20">
        <f>IFERROR(INDEX('Schedule_Data_Option_B'!H:H,MATCH($A131,'Schedule_Data_Option_B'!$C:$C,0)),"")</f>
        <v/>
      </c>
      <c r="K131" s="18">
        <f>IFERROR(INDEX('Schedule_Data_Option_B'!I:I,MATCH($A131,'Schedule_Data_Option_B'!$C:$C,0)),"")</f>
        <v/>
      </c>
      <c r="L131" s="45">
        <f>IF(AND(D131&lt;&gt;"",I131&lt;&gt;""),I131-D131,"")</f>
        <v/>
      </c>
      <c r="M131" s="45">
        <f>IF(AND(E131&lt;&gt;"",J131&lt;&gt;""),J131-E131,"")</f>
        <v/>
      </c>
      <c r="N131" s="45">
        <f>IF(AND(F131&lt;&gt;"",K131&lt;&gt;""),K131-F131,"")</f>
        <v/>
      </c>
    </row>
    <row r="132">
      <c r="A132" s="18" t="inlineStr">
        <is>
          <t>A1319</t>
        </is>
      </c>
      <c r="B132" s="18">
        <f>IFERROR(INDEX('Schedule_Data_Option_A'!D:D,MATCH($A132,'Schedule_Data_Option_A'!$C:$C,0)),"")</f>
        <v/>
      </c>
      <c r="C132" s="18">
        <f>IFERROR(INDEX('Schedule_Data_Option_A'!E:E,MATCH($A132,'Schedule_Data_Option_A'!$C:$C,0)),"")</f>
        <v/>
      </c>
      <c r="D132" s="20">
        <f>IFERROR(INDEX('Schedule_Data_Option_A'!G:G,MATCH($A132,'Schedule_Data_Option_A'!$C:$C,0)),"")</f>
        <v/>
      </c>
      <c r="E132" s="20">
        <f>IFERROR(INDEX('Schedule_Data_Option_A'!H:H,MATCH($A132,'Schedule_Data_Option_A'!$C:$C,0)),"")</f>
        <v/>
      </c>
      <c r="F132" s="18">
        <f>IFERROR(INDEX('Schedule_Data_Option_A'!I:I,MATCH($A132,'Schedule_Data_Option_A'!$C:$C,0)),"")</f>
        <v/>
      </c>
      <c r="G132" s="18">
        <f>IFERROR(INDEX('Schedule_Data_Option_B'!D:D,MATCH($A132,'Schedule_Data_Option_B'!$C:$C,0)),"")</f>
        <v/>
      </c>
      <c r="H132" s="18">
        <f>IFERROR(INDEX('Schedule_Data_Option_B'!E:E,MATCH($A132,'Schedule_Data_Option_B'!$C:$C,0)),"")</f>
        <v/>
      </c>
      <c r="I132" s="20">
        <f>IFERROR(INDEX('Schedule_Data_Option_B'!G:G,MATCH($A132,'Schedule_Data_Option_B'!$C:$C,0)),"")</f>
        <v/>
      </c>
      <c r="J132" s="20">
        <f>IFERROR(INDEX('Schedule_Data_Option_B'!H:H,MATCH($A132,'Schedule_Data_Option_B'!$C:$C,0)),"")</f>
        <v/>
      </c>
      <c r="K132" s="18">
        <f>IFERROR(INDEX('Schedule_Data_Option_B'!I:I,MATCH($A132,'Schedule_Data_Option_B'!$C:$C,0)),"")</f>
        <v/>
      </c>
      <c r="L132" s="45">
        <f>IF(AND(D132&lt;&gt;"",I132&lt;&gt;""),I132-D132,"")</f>
        <v/>
      </c>
      <c r="M132" s="45">
        <f>IF(AND(E132&lt;&gt;"",J132&lt;&gt;""),J132-E132,"")</f>
        <v/>
      </c>
      <c r="N132" s="45">
        <f>IF(AND(F132&lt;&gt;"",K132&lt;&gt;""),K132-F132,"")</f>
        <v/>
      </c>
    </row>
    <row r="133">
      <c r="A133" s="18" t="inlineStr">
        <is>
          <t>A1329</t>
        </is>
      </c>
      <c r="B133" s="18">
        <f>IFERROR(INDEX('Schedule_Data_Option_A'!D:D,MATCH($A133,'Schedule_Data_Option_A'!$C:$C,0)),"")</f>
        <v/>
      </c>
      <c r="C133" s="18">
        <f>IFERROR(INDEX('Schedule_Data_Option_A'!E:E,MATCH($A133,'Schedule_Data_Option_A'!$C:$C,0)),"")</f>
        <v/>
      </c>
      <c r="D133" s="20">
        <f>IFERROR(INDEX('Schedule_Data_Option_A'!G:G,MATCH($A133,'Schedule_Data_Option_A'!$C:$C,0)),"")</f>
        <v/>
      </c>
      <c r="E133" s="20">
        <f>IFERROR(INDEX('Schedule_Data_Option_A'!H:H,MATCH($A133,'Schedule_Data_Option_A'!$C:$C,0)),"")</f>
        <v/>
      </c>
      <c r="F133" s="18">
        <f>IFERROR(INDEX('Schedule_Data_Option_A'!I:I,MATCH($A133,'Schedule_Data_Option_A'!$C:$C,0)),"")</f>
        <v/>
      </c>
      <c r="G133" s="18">
        <f>IFERROR(INDEX('Schedule_Data_Option_B'!D:D,MATCH($A133,'Schedule_Data_Option_B'!$C:$C,0)),"")</f>
        <v/>
      </c>
      <c r="H133" s="18">
        <f>IFERROR(INDEX('Schedule_Data_Option_B'!E:E,MATCH($A133,'Schedule_Data_Option_B'!$C:$C,0)),"")</f>
        <v/>
      </c>
      <c r="I133" s="20">
        <f>IFERROR(INDEX('Schedule_Data_Option_B'!G:G,MATCH($A133,'Schedule_Data_Option_B'!$C:$C,0)),"")</f>
        <v/>
      </c>
      <c r="J133" s="20">
        <f>IFERROR(INDEX('Schedule_Data_Option_B'!H:H,MATCH($A133,'Schedule_Data_Option_B'!$C:$C,0)),"")</f>
        <v/>
      </c>
      <c r="K133" s="18">
        <f>IFERROR(INDEX('Schedule_Data_Option_B'!I:I,MATCH($A133,'Schedule_Data_Option_B'!$C:$C,0)),"")</f>
        <v/>
      </c>
      <c r="L133" s="45">
        <f>IF(AND(D133&lt;&gt;"",I133&lt;&gt;""),I133-D133,"")</f>
        <v/>
      </c>
      <c r="M133" s="45">
        <f>IF(AND(E133&lt;&gt;"",J133&lt;&gt;""),J133-E133,"")</f>
        <v/>
      </c>
      <c r="N133" s="45">
        <f>IF(AND(F133&lt;&gt;"",K133&lt;&gt;""),K133-F133,"")</f>
        <v/>
      </c>
    </row>
    <row r="134">
      <c r="A134" s="18" t="inlineStr">
        <is>
          <t>A1339</t>
        </is>
      </c>
      <c r="B134" s="18">
        <f>IFERROR(INDEX('Schedule_Data_Option_A'!D:D,MATCH($A134,'Schedule_Data_Option_A'!$C:$C,0)),"")</f>
        <v/>
      </c>
      <c r="C134" s="18">
        <f>IFERROR(INDEX('Schedule_Data_Option_A'!E:E,MATCH($A134,'Schedule_Data_Option_A'!$C:$C,0)),"")</f>
        <v/>
      </c>
      <c r="D134" s="20">
        <f>IFERROR(INDEX('Schedule_Data_Option_A'!G:G,MATCH($A134,'Schedule_Data_Option_A'!$C:$C,0)),"")</f>
        <v/>
      </c>
      <c r="E134" s="20">
        <f>IFERROR(INDEX('Schedule_Data_Option_A'!H:H,MATCH($A134,'Schedule_Data_Option_A'!$C:$C,0)),"")</f>
        <v/>
      </c>
      <c r="F134" s="18">
        <f>IFERROR(INDEX('Schedule_Data_Option_A'!I:I,MATCH($A134,'Schedule_Data_Option_A'!$C:$C,0)),"")</f>
        <v/>
      </c>
      <c r="G134" s="18">
        <f>IFERROR(INDEX('Schedule_Data_Option_B'!D:D,MATCH($A134,'Schedule_Data_Option_B'!$C:$C,0)),"")</f>
        <v/>
      </c>
      <c r="H134" s="18">
        <f>IFERROR(INDEX('Schedule_Data_Option_B'!E:E,MATCH($A134,'Schedule_Data_Option_B'!$C:$C,0)),"")</f>
        <v/>
      </c>
      <c r="I134" s="20">
        <f>IFERROR(INDEX('Schedule_Data_Option_B'!G:G,MATCH($A134,'Schedule_Data_Option_B'!$C:$C,0)),"")</f>
        <v/>
      </c>
      <c r="J134" s="20">
        <f>IFERROR(INDEX('Schedule_Data_Option_B'!H:H,MATCH($A134,'Schedule_Data_Option_B'!$C:$C,0)),"")</f>
        <v/>
      </c>
      <c r="K134" s="18">
        <f>IFERROR(INDEX('Schedule_Data_Option_B'!I:I,MATCH($A134,'Schedule_Data_Option_B'!$C:$C,0)),"")</f>
        <v/>
      </c>
      <c r="L134" s="45">
        <f>IF(AND(D134&lt;&gt;"",I134&lt;&gt;""),I134-D134,"")</f>
        <v/>
      </c>
      <c r="M134" s="45">
        <f>IF(AND(E134&lt;&gt;"",J134&lt;&gt;""),J134-E134,"")</f>
        <v/>
      </c>
      <c r="N134" s="45">
        <f>IF(AND(F134&lt;&gt;"",K134&lt;&gt;""),K134-F134,"")</f>
        <v/>
      </c>
    </row>
    <row r="135">
      <c r="A135" s="18" t="inlineStr">
        <is>
          <t>A1349</t>
        </is>
      </c>
      <c r="B135" s="18">
        <f>IFERROR(INDEX('Schedule_Data_Option_A'!D:D,MATCH($A135,'Schedule_Data_Option_A'!$C:$C,0)),"")</f>
        <v/>
      </c>
      <c r="C135" s="18">
        <f>IFERROR(INDEX('Schedule_Data_Option_A'!E:E,MATCH($A135,'Schedule_Data_Option_A'!$C:$C,0)),"")</f>
        <v/>
      </c>
      <c r="D135" s="20">
        <f>IFERROR(INDEX('Schedule_Data_Option_A'!G:G,MATCH($A135,'Schedule_Data_Option_A'!$C:$C,0)),"")</f>
        <v/>
      </c>
      <c r="E135" s="20">
        <f>IFERROR(INDEX('Schedule_Data_Option_A'!H:H,MATCH($A135,'Schedule_Data_Option_A'!$C:$C,0)),"")</f>
        <v/>
      </c>
      <c r="F135" s="18">
        <f>IFERROR(INDEX('Schedule_Data_Option_A'!I:I,MATCH($A135,'Schedule_Data_Option_A'!$C:$C,0)),"")</f>
        <v/>
      </c>
      <c r="G135" s="18">
        <f>IFERROR(INDEX('Schedule_Data_Option_B'!D:D,MATCH($A135,'Schedule_Data_Option_B'!$C:$C,0)),"")</f>
        <v/>
      </c>
      <c r="H135" s="18">
        <f>IFERROR(INDEX('Schedule_Data_Option_B'!E:E,MATCH($A135,'Schedule_Data_Option_B'!$C:$C,0)),"")</f>
        <v/>
      </c>
      <c r="I135" s="20">
        <f>IFERROR(INDEX('Schedule_Data_Option_B'!G:G,MATCH($A135,'Schedule_Data_Option_B'!$C:$C,0)),"")</f>
        <v/>
      </c>
      <c r="J135" s="20">
        <f>IFERROR(INDEX('Schedule_Data_Option_B'!H:H,MATCH($A135,'Schedule_Data_Option_B'!$C:$C,0)),"")</f>
        <v/>
      </c>
      <c r="K135" s="18">
        <f>IFERROR(INDEX('Schedule_Data_Option_B'!I:I,MATCH($A135,'Schedule_Data_Option_B'!$C:$C,0)),"")</f>
        <v/>
      </c>
      <c r="L135" s="45">
        <f>IF(AND(D135&lt;&gt;"",I135&lt;&gt;""),I135-D135,"")</f>
        <v/>
      </c>
      <c r="M135" s="45">
        <f>IF(AND(E135&lt;&gt;"",J135&lt;&gt;""),J135-E135,"")</f>
        <v/>
      </c>
      <c r="N135" s="45">
        <f>IF(AND(F135&lt;&gt;"",K135&lt;&gt;""),K135-F135,"")</f>
        <v/>
      </c>
    </row>
    <row r="136">
      <c r="A136" s="18" t="inlineStr">
        <is>
          <t>A1359</t>
        </is>
      </c>
      <c r="B136" s="18">
        <f>IFERROR(INDEX('Schedule_Data_Option_A'!D:D,MATCH($A136,'Schedule_Data_Option_A'!$C:$C,0)),"")</f>
        <v/>
      </c>
      <c r="C136" s="18">
        <f>IFERROR(INDEX('Schedule_Data_Option_A'!E:E,MATCH($A136,'Schedule_Data_Option_A'!$C:$C,0)),"")</f>
        <v/>
      </c>
      <c r="D136" s="20">
        <f>IFERROR(INDEX('Schedule_Data_Option_A'!G:G,MATCH($A136,'Schedule_Data_Option_A'!$C:$C,0)),"")</f>
        <v/>
      </c>
      <c r="E136" s="20">
        <f>IFERROR(INDEX('Schedule_Data_Option_A'!H:H,MATCH($A136,'Schedule_Data_Option_A'!$C:$C,0)),"")</f>
        <v/>
      </c>
      <c r="F136" s="18">
        <f>IFERROR(INDEX('Schedule_Data_Option_A'!I:I,MATCH($A136,'Schedule_Data_Option_A'!$C:$C,0)),"")</f>
        <v/>
      </c>
      <c r="G136" s="18">
        <f>IFERROR(INDEX('Schedule_Data_Option_B'!D:D,MATCH($A136,'Schedule_Data_Option_B'!$C:$C,0)),"")</f>
        <v/>
      </c>
      <c r="H136" s="18">
        <f>IFERROR(INDEX('Schedule_Data_Option_B'!E:E,MATCH($A136,'Schedule_Data_Option_B'!$C:$C,0)),"")</f>
        <v/>
      </c>
      <c r="I136" s="20">
        <f>IFERROR(INDEX('Schedule_Data_Option_B'!G:G,MATCH($A136,'Schedule_Data_Option_B'!$C:$C,0)),"")</f>
        <v/>
      </c>
      <c r="J136" s="20">
        <f>IFERROR(INDEX('Schedule_Data_Option_B'!H:H,MATCH($A136,'Schedule_Data_Option_B'!$C:$C,0)),"")</f>
        <v/>
      </c>
      <c r="K136" s="18">
        <f>IFERROR(INDEX('Schedule_Data_Option_B'!I:I,MATCH($A136,'Schedule_Data_Option_B'!$C:$C,0)),"")</f>
        <v/>
      </c>
      <c r="L136" s="45">
        <f>IF(AND(D136&lt;&gt;"",I136&lt;&gt;""),I136-D136,"")</f>
        <v/>
      </c>
      <c r="M136" s="45">
        <f>IF(AND(E136&lt;&gt;"",J136&lt;&gt;""),J136-E136,"")</f>
        <v/>
      </c>
      <c r="N136" s="45">
        <f>IF(AND(F136&lt;&gt;"",K136&lt;&gt;""),K136-F136,"")</f>
        <v/>
      </c>
    </row>
    <row r="137">
      <c r="A137" s="18" t="inlineStr">
        <is>
          <t>A1369</t>
        </is>
      </c>
      <c r="B137" s="18">
        <f>IFERROR(INDEX('Schedule_Data_Option_A'!D:D,MATCH($A137,'Schedule_Data_Option_A'!$C:$C,0)),"")</f>
        <v/>
      </c>
      <c r="C137" s="18">
        <f>IFERROR(INDEX('Schedule_Data_Option_A'!E:E,MATCH($A137,'Schedule_Data_Option_A'!$C:$C,0)),"")</f>
        <v/>
      </c>
      <c r="D137" s="20">
        <f>IFERROR(INDEX('Schedule_Data_Option_A'!G:G,MATCH($A137,'Schedule_Data_Option_A'!$C:$C,0)),"")</f>
        <v/>
      </c>
      <c r="E137" s="20">
        <f>IFERROR(INDEX('Schedule_Data_Option_A'!H:H,MATCH($A137,'Schedule_Data_Option_A'!$C:$C,0)),"")</f>
        <v/>
      </c>
      <c r="F137" s="18">
        <f>IFERROR(INDEX('Schedule_Data_Option_A'!I:I,MATCH($A137,'Schedule_Data_Option_A'!$C:$C,0)),"")</f>
        <v/>
      </c>
      <c r="G137" s="18">
        <f>IFERROR(INDEX('Schedule_Data_Option_B'!D:D,MATCH($A137,'Schedule_Data_Option_B'!$C:$C,0)),"")</f>
        <v/>
      </c>
      <c r="H137" s="18">
        <f>IFERROR(INDEX('Schedule_Data_Option_B'!E:E,MATCH($A137,'Schedule_Data_Option_B'!$C:$C,0)),"")</f>
        <v/>
      </c>
      <c r="I137" s="20">
        <f>IFERROR(INDEX('Schedule_Data_Option_B'!G:G,MATCH($A137,'Schedule_Data_Option_B'!$C:$C,0)),"")</f>
        <v/>
      </c>
      <c r="J137" s="20">
        <f>IFERROR(INDEX('Schedule_Data_Option_B'!H:H,MATCH($A137,'Schedule_Data_Option_B'!$C:$C,0)),"")</f>
        <v/>
      </c>
      <c r="K137" s="18">
        <f>IFERROR(INDEX('Schedule_Data_Option_B'!I:I,MATCH($A137,'Schedule_Data_Option_B'!$C:$C,0)),"")</f>
        <v/>
      </c>
      <c r="L137" s="45">
        <f>IF(AND(D137&lt;&gt;"",I137&lt;&gt;""),I137-D137,"")</f>
        <v/>
      </c>
      <c r="M137" s="45">
        <f>IF(AND(E137&lt;&gt;"",J137&lt;&gt;""),J137-E137,"")</f>
        <v/>
      </c>
      <c r="N137" s="45">
        <f>IF(AND(F137&lt;&gt;"",K137&lt;&gt;""),K137-F137,"")</f>
        <v/>
      </c>
    </row>
    <row r="138">
      <c r="A138" s="18" t="inlineStr">
        <is>
          <t>A1379</t>
        </is>
      </c>
      <c r="B138" s="18">
        <f>IFERROR(INDEX('Schedule_Data_Option_A'!D:D,MATCH($A138,'Schedule_Data_Option_A'!$C:$C,0)),"")</f>
        <v/>
      </c>
      <c r="C138" s="18">
        <f>IFERROR(INDEX('Schedule_Data_Option_A'!E:E,MATCH($A138,'Schedule_Data_Option_A'!$C:$C,0)),"")</f>
        <v/>
      </c>
      <c r="D138" s="20">
        <f>IFERROR(INDEX('Schedule_Data_Option_A'!G:G,MATCH($A138,'Schedule_Data_Option_A'!$C:$C,0)),"")</f>
        <v/>
      </c>
      <c r="E138" s="20">
        <f>IFERROR(INDEX('Schedule_Data_Option_A'!H:H,MATCH($A138,'Schedule_Data_Option_A'!$C:$C,0)),"")</f>
        <v/>
      </c>
      <c r="F138" s="18">
        <f>IFERROR(INDEX('Schedule_Data_Option_A'!I:I,MATCH($A138,'Schedule_Data_Option_A'!$C:$C,0)),"")</f>
        <v/>
      </c>
      <c r="G138" s="18">
        <f>IFERROR(INDEX('Schedule_Data_Option_B'!D:D,MATCH($A138,'Schedule_Data_Option_B'!$C:$C,0)),"")</f>
        <v/>
      </c>
      <c r="H138" s="18">
        <f>IFERROR(INDEX('Schedule_Data_Option_B'!E:E,MATCH($A138,'Schedule_Data_Option_B'!$C:$C,0)),"")</f>
        <v/>
      </c>
      <c r="I138" s="20">
        <f>IFERROR(INDEX('Schedule_Data_Option_B'!G:G,MATCH($A138,'Schedule_Data_Option_B'!$C:$C,0)),"")</f>
        <v/>
      </c>
      <c r="J138" s="20">
        <f>IFERROR(INDEX('Schedule_Data_Option_B'!H:H,MATCH($A138,'Schedule_Data_Option_B'!$C:$C,0)),"")</f>
        <v/>
      </c>
      <c r="K138" s="18">
        <f>IFERROR(INDEX('Schedule_Data_Option_B'!I:I,MATCH($A138,'Schedule_Data_Option_B'!$C:$C,0)),"")</f>
        <v/>
      </c>
      <c r="L138" s="45">
        <f>IF(AND(D138&lt;&gt;"",I138&lt;&gt;""),I138-D138,"")</f>
        <v/>
      </c>
      <c r="M138" s="45">
        <f>IF(AND(E138&lt;&gt;"",J138&lt;&gt;""),J138-E138,"")</f>
        <v/>
      </c>
      <c r="N138" s="45">
        <f>IF(AND(F138&lt;&gt;"",K138&lt;&gt;""),K138-F138,"")</f>
        <v/>
      </c>
    </row>
    <row r="139">
      <c r="A139" s="18" t="inlineStr">
        <is>
          <t>A1389</t>
        </is>
      </c>
      <c r="B139" s="18">
        <f>IFERROR(INDEX('Schedule_Data_Option_A'!D:D,MATCH($A139,'Schedule_Data_Option_A'!$C:$C,0)),"")</f>
        <v/>
      </c>
      <c r="C139" s="18">
        <f>IFERROR(INDEX('Schedule_Data_Option_A'!E:E,MATCH($A139,'Schedule_Data_Option_A'!$C:$C,0)),"")</f>
        <v/>
      </c>
      <c r="D139" s="20">
        <f>IFERROR(INDEX('Schedule_Data_Option_A'!G:G,MATCH($A139,'Schedule_Data_Option_A'!$C:$C,0)),"")</f>
        <v/>
      </c>
      <c r="E139" s="20">
        <f>IFERROR(INDEX('Schedule_Data_Option_A'!H:H,MATCH($A139,'Schedule_Data_Option_A'!$C:$C,0)),"")</f>
        <v/>
      </c>
      <c r="F139" s="18">
        <f>IFERROR(INDEX('Schedule_Data_Option_A'!I:I,MATCH($A139,'Schedule_Data_Option_A'!$C:$C,0)),"")</f>
        <v/>
      </c>
      <c r="G139" s="18">
        <f>IFERROR(INDEX('Schedule_Data_Option_B'!D:D,MATCH($A139,'Schedule_Data_Option_B'!$C:$C,0)),"")</f>
        <v/>
      </c>
      <c r="H139" s="18">
        <f>IFERROR(INDEX('Schedule_Data_Option_B'!E:E,MATCH($A139,'Schedule_Data_Option_B'!$C:$C,0)),"")</f>
        <v/>
      </c>
      <c r="I139" s="20">
        <f>IFERROR(INDEX('Schedule_Data_Option_B'!G:G,MATCH($A139,'Schedule_Data_Option_B'!$C:$C,0)),"")</f>
        <v/>
      </c>
      <c r="J139" s="20">
        <f>IFERROR(INDEX('Schedule_Data_Option_B'!H:H,MATCH($A139,'Schedule_Data_Option_B'!$C:$C,0)),"")</f>
        <v/>
      </c>
      <c r="K139" s="18">
        <f>IFERROR(INDEX('Schedule_Data_Option_B'!I:I,MATCH($A139,'Schedule_Data_Option_B'!$C:$C,0)),"")</f>
        <v/>
      </c>
      <c r="L139" s="45">
        <f>IF(AND(D139&lt;&gt;"",I139&lt;&gt;""),I139-D139,"")</f>
        <v/>
      </c>
      <c r="M139" s="45">
        <f>IF(AND(E139&lt;&gt;"",J139&lt;&gt;""),J139-E139,"")</f>
        <v/>
      </c>
      <c r="N139" s="45">
        <f>IF(AND(F139&lt;&gt;"",K139&lt;&gt;""),K139-F139,"")</f>
        <v/>
      </c>
    </row>
    <row r="140">
      <c r="A140" s="18" t="inlineStr">
        <is>
          <t>A1399</t>
        </is>
      </c>
      <c r="B140" s="18">
        <f>IFERROR(INDEX('Schedule_Data_Option_A'!D:D,MATCH($A140,'Schedule_Data_Option_A'!$C:$C,0)),"")</f>
        <v/>
      </c>
      <c r="C140" s="18">
        <f>IFERROR(INDEX('Schedule_Data_Option_A'!E:E,MATCH($A140,'Schedule_Data_Option_A'!$C:$C,0)),"")</f>
        <v/>
      </c>
      <c r="D140" s="20">
        <f>IFERROR(INDEX('Schedule_Data_Option_A'!G:G,MATCH($A140,'Schedule_Data_Option_A'!$C:$C,0)),"")</f>
        <v/>
      </c>
      <c r="E140" s="20">
        <f>IFERROR(INDEX('Schedule_Data_Option_A'!H:H,MATCH($A140,'Schedule_Data_Option_A'!$C:$C,0)),"")</f>
        <v/>
      </c>
      <c r="F140" s="18">
        <f>IFERROR(INDEX('Schedule_Data_Option_A'!I:I,MATCH($A140,'Schedule_Data_Option_A'!$C:$C,0)),"")</f>
        <v/>
      </c>
      <c r="G140" s="18">
        <f>IFERROR(INDEX('Schedule_Data_Option_B'!D:D,MATCH($A140,'Schedule_Data_Option_B'!$C:$C,0)),"")</f>
        <v/>
      </c>
      <c r="H140" s="18">
        <f>IFERROR(INDEX('Schedule_Data_Option_B'!E:E,MATCH($A140,'Schedule_Data_Option_B'!$C:$C,0)),"")</f>
        <v/>
      </c>
      <c r="I140" s="20">
        <f>IFERROR(INDEX('Schedule_Data_Option_B'!G:G,MATCH($A140,'Schedule_Data_Option_B'!$C:$C,0)),"")</f>
        <v/>
      </c>
      <c r="J140" s="20">
        <f>IFERROR(INDEX('Schedule_Data_Option_B'!H:H,MATCH($A140,'Schedule_Data_Option_B'!$C:$C,0)),"")</f>
        <v/>
      </c>
      <c r="K140" s="18">
        <f>IFERROR(INDEX('Schedule_Data_Option_B'!I:I,MATCH($A140,'Schedule_Data_Option_B'!$C:$C,0)),"")</f>
        <v/>
      </c>
      <c r="L140" s="45">
        <f>IF(AND(D140&lt;&gt;"",I140&lt;&gt;""),I140-D140,"")</f>
        <v/>
      </c>
      <c r="M140" s="45">
        <f>IF(AND(E140&lt;&gt;"",J140&lt;&gt;""),J140-E140,"")</f>
        <v/>
      </c>
      <c r="N140" s="45">
        <f>IF(AND(F140&lt;&gt;"",K140&lt;&gt;""),K140-F140,"")</f>
        <v/>
      </c>
    </row>
    <row r="141">
      <c r="A141" s="18" t="inlineStr">
        <is>
          <t>A1409</t>
        </is>
      </c>
      <c r="B141" s="18">
        <f>IFERROR(INDEX('Schedule_Data_Option_A'!D:D,MATCH($A141,'Schedule_Data_Option_A'!$C:$C,0)),"")</f>
        <v/>
      </c>
      <c r="C141" s="18">
        <f>IFERROR(INDEX('Schedule_Data_Option_A'!E:E,MATCH($A141,'Schedule_Data_Option_A'!$C:$C,0)),"")</f>
        <v/>
      </c>
      <c r="D141" s="20">
        <f>IFERROR(INDEX('Schedule_Data_Option_A'!G:G,MATCH($A141,'Schedule_Data_Option_A'!$C:$C,0)),"")</f>
        <v/>
      </c>
      <c r="E141" s="20">
        <f>IFERROR(INDEX('Schedule_Data_Option_A'!H:H,MATCH($A141,'Schedule_Data_Option_A'!$C:$C,0)),"")</f>
        <v/>
      </c>
      <c r="F141" s="18">
        <f>IFERROR(INDEX('Schedule_Data_Option_A'!I:I,MATCH($A141,'Schedule_Data_Option_A'!$C:$C,0)),"")</f>
        <v/>
      </c>
      <c r="G141" s="18">
        <f>IFERROR(INDEX('Schedule_Data_Option_B'!D:D,MATCH($A141,'Schedule_Data_Option_B'!$C:$C,0)),"")</f>
        <v/>
      </c>
      <c r="H141" s="18">
        <f>IFERROR(INDEX('Schedule_Data_Option_B'!E:E,MATCH($A141,'Schedule_Data_Option_B'!$C:$C,0)),"")</f>
        <v/>
      </c>
      <c r="I141" s="20">
        <f>IFERROR(INDEX('Schedule_Data_Option_B'!G:G,MATCH($A141,'Schedule_Data_Option_B'!$C:$C,0)),"")</f>
        <v/>
      </c>
      <c r="J141" s="20">
        <f>IFERROR(INDEX('Schedule_Data_Option_B'!H:H,MATCH($A141,'Schedule_Data_Option_B'!$C:$C,0)),"")</f>
        <v/>
      </c>
      <c r="K141" s="18">
        <f>IFERROR(INDEX('Schedule_Data_Option_B'!I:I,MATCH($A141,'Schedule_Data_Option_B'!$C:$C,0)),"")</f>
        <v/>
      </c>
      <c r="L141" s="45">
        <f>IF(AND(D141&lt;&gt;"",I141&lt;&gt;""),I141-D141,"")</f>
        <v/>
      </c>
      <c r="M141" s="45">
        <f>IF(AND(E141&lt;&gt;"",J141&lt;&gt;""),J141-E141,"")</f>
        <v/>
      </c>
      <c r="N141" s="45">
        <f>IF(AND(F141&lt;&gt;"",K141&lt;&gt;""),K141-F141,"")</f>
        <v/>
      </c>
    </row>
    <row r="142">
      <c r="A142" s="18" t="inlineStr">
        <is>
          <t>A1419</t>
        </is>
      </c>
      <c r="B142" s="18">
        <f>IFERROR(INDEX('Schedule_Data_Option_A'!D:D,MATCH($A142,'Schedule_Data_Option_A'!$C:$C,0)),"")</f>
        <v/>
      </c>
      <c r="C142" s="18">
        <f>IFERROR(INDEX('Schedule_Data_Option_A'!E:E,MATCH($A142,'Schedule_Data_Option_A'!$C:$C,0)),"")</f>
        <v/>
      </c>
      <c r="D142" s="20">
        <f>IFERROR(INDEX('Schedule_Data_Option_A'!G:G,MATCH($A142,'Schedule_Data_Option_A'!$C:$C,0)),"")</f>
        <v/>
      </c>
      <c r="E142" s="20">
        <f>IFERROR(INDEX('Schedule_Data_Option_A'!H:H,MATCH($A142,'Schedule_Data_Option_A'!$C:$C,0)),"")</f>
        <v/>
      </c>
      <c r="F142" s="18">
        <f>IFERROR(INDEX('Schedule_Data_Option_A'!I:I,MATCH($A142,'Schedule_Data_Option_A'!$C:$C,0)),"")</f>
        <v/>
      </c>
      <c r="G142" s="18">
        <f>IFERROR(INDEX('Schedule_Data_Option_B'!D:D,MATCH($A142,'Schedule_Data_Option_B'!$C:$C,0)),"")</f>
        <v/>
      </c>
      <c r="H142" s="18">
        <f>IFERROR(INDEX('Schedule_Data_Option_B'!E:E,MATCH($A142,'Schedule_Data_Option_B'!$C:$C,0)),"")</f>
        <v/>
      </c>
      <c r="I142" s="20">
        <f>IFERROR(INDEX('Schedule_Data_Option_B'!G:G,MATCH($A142,'Schedule_Data_Option_B'!$C:$C,0)),"")</f>
        <v/>
      </c>
      <c r="J142" s="20">
        <f>IFERROR(INDEX('Schedule_Data_Option_B'!H:H,MATCH($A142,'Schedule_Data_Option_B'!$C:$C,0)),"")</f>
        <v/>
      </c>
      <c r="K142" s="18">
        <f>IFERROR(INDEX('Schedule_Data_Option_B'!I:I,MATCH($A142,'Schedule_Data_Option_B'!$C:$C,0)),"")</f>
        <v/>
      </c>
      <c r="L142" s="45">
        <f>IF(AND(D142&lt;&gt;"",I142&lt;&gt;""),I142-D142,"")</f>
        <v/>
      </c>
      <c r="M142" s="45">
        <f>IF(AND(E142&lt;&gt;"",J142&lt;&gt;""),J142-E142,"")</f>
        <v/>
      </c>
      <c r="N142" s="45">
        <f>IF(AND(F142&lt;&gt;"",K142&lt;&gt;""),K142-F142,"")</f>
        <v/>
      </c>
    </row>
    <row r="143">
      <c r="A143" s="18" t="inlineStr">
        <is>
          <t>A1429</t>
        </is>
      </c>
      <c r="B143" s="18">
        <f>IFERROR(INDEX('Schedule_Data_Option_A'!D:D,MATCH($A143,'Schedule_Data_Option_A'!$C:$C,0)),"")</f>
        <v/>
      </c>
      <c r="C143" s="18">
        <f>IFERROR(INDEX('Schedule_Data_Option_A'!E:E,MATCH($A143,'Schedule_Data_Option_A'!$C:$C,0)),"")</f>
        <v/>
      </c>
      <c r="D143" s="20">
        <f>IFERROR(INDEX('Schedule_Data_Option_A'!G:G,MATCH($A143,'Schedule_Data_Option_A'!$C:$C,0)),"")</f>
        <v/>
      </c>
      <c r="E143" s="20">
        <f>IFERROR(INDEX('Schedule_Data_Option_A'!H:H,MATCH($A143,'Schedule_Data_Option_A'!$C:$C,0)),"")</f>
        <v/>
      </c>
      <c r="F143" s="18">
        <f>IFERROR(INDEX('Schedule_Data_Option_A'!I:I,MATCH($A143,'Schedule_Data_Option_A'!$C:$C,0)),"")</f>
        <v/>
      </c>
      <c r="G143" s="18">
        <f>IFERROR(INDEX('Schedule_Data_Option_B'!D:D,MATCH($A143,'Schedule_Data_Option_B'!$C:$C,0)),"")</f>
        <v/>
      </c>
      <c r="H143" s="18">
        <f>IFERROR(INDEX('Schedule_Data_Option_B'!E:E,MATCH($A143,'Schedule_Data_Option_B'!$C:$C,0)),"")</f>
        <v/>
      </c>
      <c r="I143" s="20">
        <f>IFERROR(INDEX('Schedule_Data_Option_B'!G:G,MATCH($A143,'Schedule_Data_Option_B'!$C:$C,0)),"")</f>
        <v/>
      </c>
      <c r="J143" s="20">
        <f>IFERROR(INDEX('Schedule_Data_Option_B'!H:H,MATCH($A143,'Schedule_Data_Option_B'!$C:$C,0)),"")</f>
        <v/>
      </c>
      <c r="K143" s="18">
        <f>IFERROR(INDEX('Schedule_Data_Option_B'!I:I,MATCH($A143,'Schedule_Data_Option_B'!$C:$C,0)),"")</f>
        <v/>
      </c>
      <c r="L143" s="45">
        <f>IF(AND(D143&lt;&gt;"",I143&lt;&gt;""),I143-D143,"")</f>
        <v/>
      </c>
      <c r="M143" s="45">
        <f>IF(AND(E143&lt;&gt;"",J143&lt;&gt;""),J143-E143,"")</f>
        <v/>
      </c>
      <c r="N143" s="45">
        <f>IF(AND(F143&lt;&gt;"",K143&lt;&gt;""),K143-F143,"")</f>
        <v/>
      </c>
    </row>
    <row r="144">
      <c r="A144" s="18" t="inlineStr">
        <is>
          <t>A1439</t>
        </is>
      </c>
      <c r="B144" s="18">
        <f>IFERROR(INDEX('Schedule_Data_Option_A'!D:D,MATCH($A144,'Schedule_Data_Option_A'!$C:$C,0)),"")</f>
        <v/>
      </c>
      <c r="C144" s="18">
        <f>IFERROR(INDEX('Schedule_Data_Option_A'!E:E,MATCH($A144,'Schedule_Data_Option_A'!$C:$C,0)),"")</f>
        <v/>
      </c>
      <c r="D144" s="20">
        <f>IFERROR(INDEX('Schedule_Data_Option_A'!G:G,MATCH($A144,'Schedule_Data_Option_A'!$C:$C,0)),"")</f>
        <v/>
      </c>
      <c r="E144" s="20">
        <f>IFERROR(INDEX('Schedule_Data_Option_A'!H:H,MATCH($A144,'Schedule_Data_Option_A'!$C:$C,0)),"")</f>
        <v/>
      </c>
      <c r="F144" s="18">
        <f>IFERROR(INDEX('Schedule_Data_Option_A'!I:I,MATCH($A144,'Schedule_Data_Option_A'!$C:$C,0)),"")</f>
        <v/>
      </c>
      <c r="G144" s="18">
        <f>IFERROR(INDEX('Schedule_Data_Option_B'!D:D,MATCH($A144,'Schedule_Data_Option_B'!$C:$C,0)),"")</f>
        <v/>
      </c>
      <c r="H144" s="18">
        <f>IFERROR(INDEX('Schedule_Data_Option_B'!E:E,MATCH($A144,'Schedule_Data_Option_B'!$C:$C,0)),"")</f>
        <v/>
      </c>
      <c r="I144" s="20">
        <f>IFERROR(INDEX('Schedule_Data_Option_B'!G:G,MATCH($A144,'Schedule_Data_Option_B'!$C:$C,0)),"")</f>
        <v/>
      </c>
      <c r="J144" s="20">
        <f>IFERROR(INDEX('Schedule_Data_Option_B'!H:H,MATCH($A144,'Schedule_Data_Option_B'!$C:$C,0)),"")</f>
        <v/>
      </c>
      <c r="K144" s="18">
        <f>IFERROR(INDEX('Schedule_Data_Option_B'!I:I,MATCH($A144,'Schedule_Data_Option_B'!$C:$C,0)),"")</f>
        <v/>
      </c>
      <c r="L144" s="45">
        <f>IF(AND(D144&lt;&gt;"",I144&lt;&gt;""),I144-D144,"")</f>
        <v/>
      </c>
      <c r="M144" s="45">
        <f>IF(AND(E144&lt;&gt;"",J144&lt;&gt;""),J144-E144,"")</f>
        <v/>
      </c>
      <c r="N144" s="45">
        <f>IF(AND(F144&lt;&gt;"",K144&lt;&gt;""),K144-F144,"")</f>
        <v/>
      </c>
    </row>
    <row r="145">
      <c r="A145" s="18" t="inlineStr">
        <is>
          <t>A1449</t>
        </is>
      </c>
      <c r="B145" s="18">
        <f>IFERROR(INDEX('Schedule_Data_Option_A'!D:D,MATCH($A145,'Schedule_Data_Option_A'!$C:$C,0)),"")</f>
        <v/>
      </c>
      <c r="C145" s="18">
        <f>IFERROR(INDEX('Schedule_Data_Option_A'!E:E,MATCH($A145,'Schedule_Data_Option_A'!$C:$C,0)),"")</f>
        <v/>
      </c>
      <c r="D145" s="20">
        <f>IFERROR(INDEX('Schedule_Data_Option_A'!G:G,MATCH($A145,'Schedule_Data_Option_A'!$C:$C,0)),"")</f>
        <v/>
      </c>
      <c r="E145" s="20">
        <f>IFERROR(INDEX('Schedule_Data_Option_A'!H:H,MATCH($A145,'Schedule_Data_Option_A'!$C:$C,0)),"")</f>
        <v/>
      </c>
      <c r="F145" s="18">
        <f>IFERROR(INDEX('Schedule_Data_Option_A'!I:I,MATCH($A145,'Schedule_Data_Option_A'!$C:$C,0)),"")</f>
        <v/>
      </c>
      <c r="G145" s="18">
        <f>IFERROR(INDEX('Schedule_Data_Option_B'!D:D,MATCH($A145,'Schedule_Data_Option_B'!$C:$C,0)),"")</f>
        <v/>
      </c>
      <c r="H145" s="18">
        <f>IFERROR(INDEX('Schedule_Data_Option_B'!E:E,MATCH($A145,'Schedule_Data_Option_B'!$C:$C,0)),"")</f>
        <v/>
      </c>
      <c r="I145" s="20">
        <f>IFERROR(INDEX('Schedule_Data_Option_B'!G:G,MATCH($A145,'Schedule_Data_Option_B'!$C:$C,0)),"")</f>
        <v/>
      </c>
      <c r="J145" s="20">
        <f>IFERROR(INDEX('Schedule_Data_Option_B'!H:H,MATCH($A145,'Schedule_Data_Option_B'!$C:$C,0)),"")</f>
        <v/>
      </c>
      <c r="K145" s="18">
        <f>IFERROR(INDEX('Schedule_Data_Option_B'!I:I,MATCH($A145,'Schedule_Data_Option_B'!$C:$C,0)),"")</f>
        <v/>
      </c>
      <c r="L145" s="45">
        <f>IF(AND(D145&lt;&gt;"",I145&lt;&gt;""),I145-D145,"")</f>
        <v/>
      </c>
      <c r="M145" s="45">
        <f>IF(AND(E145&lt;&gt;"",J145&lt;&gt;""),J145-E145,"")</f>
        <v/>
      </c>
      <c r="N145" s="45">
        <f>IF(AND(F145&lt;&gt;"",K145&lt;&gt;""),K145-F145,"")</f>
        <v/>
      </c>
    </row>
    <row r="146">
      <c r="A146" s="18" t="inlineStr">
        <is>
          <t>A1459</t>
        </is>
      </c>
      <c r="B146" s="18">
        <f>IFERROR(INDEX('Schedule_Data_Option_A'!D:D,MATCH($A146,'Schedule_Data_Option_A'!$C:$C,0)),"")</f>
        <v/>
      </c>
      <c r="C146" s="18">
        <f>IFERROR(INDEX('Schedule_Data_Option_A'!E:E,MATCH($A146,'Schedule_Data_Option_A'!$C:$C,0)),"")</f>
        <v/>
      </c>
      <c r="D146" s="20">
        <f>IFERROR(INDEX('Schedule_Data_Option_A'!G:G,MATCH($A146,'Schedule_Data_Option_A'!$C:$C,0)),"")</f>
        <v/>
      </c>
      <c r="E146" s="20">
        <f>IFERROR(INDEX('Schedule_Data_Option_A'!H:H,MATCH($A146,'Schedule_Data_Option_A'!$C:$C,0)),"")</f>
        <v/>
      </c>
      <c r="F146" s="18">
        <f>IFERROR(INDEX('Schedule_Data_Option_A'!I:I,MATCH($A146,'Schedule_Data_Option_A'!$C:$C,0)),"")</f>
        <v/>
      </c>
      <c r="G146" s="18">
        <f>IFERROR(INDEX('Schedule_Data_Option_B'!D:D,MATCH($A146,'Schedule_Data_Option_B'!$C:$C,0)),"")</f>
        <v/>
      </c>
      <c r="H146" s="18">
        <f>IFERROR(INDEX('Schedule_Data_Option_B'!E:E,MATCH($A146,'Schedule_Data_Option_B'!$C:$C,0)),"")</f>
        <v/>
      </c>
      <c r="I146" s="20">
        <f>IFERROR(INDEX('Schedule_Data_Option_B'!G:G,MATCH($A146,'Schedule_Data_Option_B'!$C:$C,0)),"")</f>
        <v/>
      </c>
      <c r="J146" s="20">
        <f>IFERROR(INDEX('Schedule_Data_Option_B'!H:H,MATCH($A146,'Schedule_Data_Option_B'!$C:$C,0)),"")</f>
        <v/>
      </c>
      <c r="K146" s="18">
        <f>IFERROR(INDEX('Schedule_Data_Option_B'!I:I,MATCH($A146,'Schedule_Data_Option_B'!$C:$C,0)),"")</f>
        <v/>
      </c>
      <c r="L146" s="45">
        <f>IF(AND(D146&lt;&gt;"",I146&lt;&gt;""),I146-D146,"")</f>
        <v/>
      </c>
      <c r="M146" s="45">
        <f>IF(AND(E146&lt;&gt;"",J146&lt;&gt;""),J146-E146,"")</f>
        <v/>
      </c>
      <c r="N146" s="45">
        <f>IF(AND(F146&lt;&gt;"",K146&lt;&gt;""),K146-F146,"")</f>
        <v/>
      </c>
    </row>
    <row r="147">
      <c r="A147" s="18" t="inlineStr">
        <is>
          <t>A1469</t>
        </is>
      </c>
      <c r="B147" s="18">
        <f>IFERROR(INDEX('Schedule_Data_Option_A'!D:D,MATCH($A147,'Schedule_Data_Option_A'!$C:$C,0)),"")</f>
        <v/>
      </c>
      <c r="C147" s="18">
        <f>IFERROR(INDEX('Schedule_Data_Option_A'!E:E,MATCH($A147,'Schedule_Data_Option_A'!$C:$C,0)),"")</f>
        <v/>
      </c>
      <c r="D147" s="20">
        <f>IFERROR(INDEX('Schedule_Data_Option_A'!G:G,MATCH($A147,'Schedule_Data_Option_A'!$C:$C,0)),"")</f>
        <v/>
      </c>
      <c r="E147" s="20">
        <f>IFERROR(INDEX('Schedule_Data_Option_A'!H:H,MATCH($A147,'Schedule_Data_Option_A'!$C:$C,0)),"")</f>
        <v/>
      </c>
      <c r="F147" s="18">
        <f>IFERROR(INDEX('Schedule_Data_Option_A'!I:I,MATCH($A147,'Schedule_Data_Option_A'!$C:$C,0)),"")</f>
        <v/>
      </c>
      <c r="G147" s="18">
        <f>IFERROR(INDEX('Schedule_Data_Option_B'!D:D,MATCH($A147,'Schedule_Data_Option_B'!$C:$C,0)),"")</f>
        <v/>
      </c>
      <c r="H147" s="18">
        <f>IFERROR(INDEX('Schedule_Data_Option_B'!E:E,MATCH($A147,'Schedule_Data_Option_B'!$C:$C,0)),"")</f>
        <v/>
      </c>
      <c r="I147" s="20">
        <f>IFERROR(INDEX('Schedule_Data_Option_B'!G:G,MATCH($A147,'Schedule_Data_Option_B'!$C:$C,0)),"")</f>
        <v/>
      </c>
      <c r="J147" s="20">
        <f>IFERROR(INDEX('Schedule_Data_Option_B'!H:H,MATCH($A147,'Schedule_Data_Option_B'!$C:$C,0)),"")</f>
        <v/>
      </c>
      <c r="K147" s="18">
        <f>IFERROR(INDEX('Schedule_Data_Option_B'!I:I,MATCH($A147,'Schedule_Data_Option_B'!$C:$C,0)),"")</f>
        <v/>
      </c>
      <c r="L147" s="45">
        <f>IF(AND(D147&lt;&gt;"",I147&lt;&gt;""),I147-D147,"")</f>
        <v/>
      </c>
      <c r="M147" s="45">
        <f>IF(AND(E147&lt;&gt;"",J147&lt;&gt;""),J147-E147,"")</f>
        <v/>
      </c>
      <c r="N147" s="45">
        <f>IF(AND(F147&lt;&gt;"",K147&lt;&gt;""),K147-F147,"")</f>
        <v/>
      </c>
    </row>
    <row r="148">
      <c r="A148" s="18" t="inlineStr">
        <is>
          <t>A1479</t>
        </is>
      </c>
      <c r="B148" s="18">
        <f>IFERROR(INDEX('Schedule_Data_Option_A'!D:D,MATCH($A148,'Schedule_Data_Option_A'!$C:$C,0)),"")</f>
        <v/>
      </c>
      <c r="C148" s="18">
        <f>IFERROR(INDEX('Schedule_Data_Option_A'!E:E,MATCH($A148,'Schedule_Data_Option_A'!$C:$C,0)),"")</f>
        <v/>
      </c>
      <c r="D148" s="20">
        <f>IFERROR(INDEX('Schedule_Data_Option_A'!G:G,MATCH($A148,'Schedule_Data_Option_A'!$C:$C,0)),"")</f>
        <v/>
      </c>
      <c r="E148" s="20">
        <f>IFERROR(INDEX('Schedule_Data_Option_A'!H:H,MATCH($A148,'Schedule_Data_Option_A'!$C:$C,0)),"")</f>
        <v/>
      </c>
      <c r="F148" s="18">
        <f>IFERROR(INDEX('Schedule_Data_Option_A'!I:I,MATCH($A148,'Schedule_Data_Option_A'!$C:$C,0)),"")</f>
        <v/>
      </c>
      <c r="G148" s="18">
        <f>IFERROR(INDEX('Schedule_Data_Option_B'!D:D,MATCH($A148,'Schedule_Data_Option_B'!$C:$C,0)),"")</f>
        <v/>
      </c>
      <c r="H148" s="18">
        <f>IFERROR(INDEX('Schedule_Data_Option_B'!E:E,MATCH($A148,'Schedule_Data_Option_B'!$C:$C,0)),"")</f>
        <v/>
      </c>
      <c r="I148" s="20">
        <f>IFERROR(INDEX('Schedule_Data_Option_B'!G:G,MATCH($A148,'Schedule_Data_Option_B'!$C:$C,0)),"")</f>
        <v/>
      </c>
      <c r="J148" s="20">
        <f>IFERROR(INDEX('Schedule_Data_Option_B'!H:H,MATCH($A148,'Schedule_Data_Option_B'!$C:$C,0)),"")</f>
        <v/>
      </c>
      <c r="K148" s="18">
        <f>IFERROR(INDEX('Schedule_Data_Option_B'!I:I,MATCH($A148,'Schedule_Data_Option_B'!$C:$C,0)),"")</f>
        <v/>
      </c>
      <c r="L148" s="45">
        <f>IF(AND(D148&lt;&gt;"",I148&lt;&gt;""),I148-D148,"")</f>
        <v/>
      </c>
      <c r="M148" s="45">
        <f>IF(AND(E148&lt;&gt;"",J148&lt;&gt;""),J148-E148,"")</f>
        <v/>
      </c>
      <c r="N148" s="45">
        <f>IF(AND(F148&lt;&gt;"",K148&lt;&gt;""),K148-F148,"")</f>
        <v/>
      </c>
    </row>
    <row r="149">
      <c r="A149" s="18" t="inlineStr">
        <is>
          <t>A1489</t>
        </is>
      </c>
      <c r="B149" s="18">
        <f>IFERROR(INDEX('Schedule_Data_Option_A'!D:D,MATCH($A149,'Schedule_Data_Option_A'!$C:$C,0)),"")</f>
        <v/>
      </c>
      <c r="C149" s="18">
        <f>IFERROR(INDEX('Schedule_Data_Option_A'!E:E,MATCH($A149,'Schedule_Data_Option_A'!$C:$C,0)),"")</f>
        <v/>
      </c>
      <c r="D149" s="20">
        <f>IFERROR(INDEX('Schedule_Data_Option_A'!G:G,MATCH($A149,'Schedule_Data_Option_A'!$C:$C,0)),"")</f>
        <v/>
      </c>
      <c r="E149" s="20">
        <f>IFERROR(INDEX('Schedule_Data_Option_A'!H:H,MATCH($A149,'Schedule_Data_Option_A'!$C:$C,0)),"")</f>
        <v/>
      </c>
      <c r="F149" s="18">
        <f>IFERROR(INDEX('Schedule_Data_Option_A'!I:I,MATCH($A149,'Schedule_Data_Option_A'!$C:$C,0)),"")</f>
        <v/>
      </c>
      <c r="G149" s="18">
        <f>IFERROR(INDEX('Schedule_Data_Option_B'!D:D,MATCH($A149,'Schedule_Data_Option_B'!$C:$C,0)),"")</f>
        <v/>
      </c>
      <c r="H149" s="18">
        <f>IFERROR(INDEX('Schedule_Data_Option_B'!E:E,MATCH($A149,'Schedule_Data_Option_B'!$C:$C,0)),"")</f>
        <v/>
      </c>
      <c r="I149" s="20">
        <f>IFERROR(INDEX('Schedule_Data_Option_B'!G:G,MATCH($A149,'Schedule_Data_Option_B'!$C:$C,0)),"")</f>
        <v/>
      </c>
      <c r="J149" s="20">
        <f>IFERROR(INDEX('Schedule_Data_Option_B'!H:H,MATCH($A149,'Schedule_Data_Option_B'!$C:$C,0)),"")</f>
        <v/>
      </c>
      <c r="K149" s="18">
        <f>IFERROR(INDEX('Schedule_Data_Option_B'!I:I,MATCH($A149,'Schedule_Data_Option_B'!$C:$C,0)),"")</f>
        <v/>
      </c>
      <c r="L149" s="45">
        <f>IF(AND(D149&lt;&gt;"",I149&lt;&gt;""),I149-D149,"")</f>
        <v/>
      </c>
      <c r="M149" s="45">
        <f>IF(AND(E149&lt;&gt;"",J149&lt;&gt;""),J149-E149,"")</f>
        <v/>
      </c>
      <c r="N149" s="45">
        <f>IF(AND(F149&lt;&gt;"",K149&lt;&gt;""),K149-F149,"")</f>
        <v/>
      </c>
    </row>
    <row r="150">
      <c r="A150" s="18" t="inlineStr">
        <is>
          <t>A1499</t>
        </is>
      </c>
      <c r="B150" s="18">
        <f>IFERROR(INDEX('Schedule_Data_Option_A'!D:D,MATCH($A150,'Schedule_Data_Option_A'!$C:$C,0)),"")</f>
        <v/>
      </c>
      <c r="C150" s="18">
        <f>IFERROR(INDEX('Schedule_Data_Option_A'!E:E,MATCH($A150,'Schedule_Data_Option_A'!$C:$C,0)),"")</f>
        <v/>
      </c>
      <c r="D150" s="20">
        <f>IFERROR(INDEX('Schedule_Data_Option_A'!G:G,MATCH($A150,'Schedule_Data_Option_A'!$C:$C,0)),"")</f>
        <v/>
      </c>
      <c r="E150" s="20">
        <f>IFERROR(INDEX('Schedule_Data_Option_A'!H:H,MATCH($A150,'Schedule_Data_Option_A'!$C:$C,0)),"")</f>
        <v/>
      </c>
      <c r="F150" s="18">
        <f>IFERROR(INDEX('Schedule_Data_Option_A'!I:I,MATCH($A150,'Schedule_Data_Option_A'!$C:$C,0)),"")</f>
        <v/>
      </c>
      <c r="G150" s="18">
        <f>IFERROR(INDEX('Schedule_Data_Option_B'!D:D,MATCH($A150,'Schedule_Data_Option_B'!$C:$C,0)),"")</f>
        <v/>
      </c>
      <c r="H150" s="18">
        <f>IFERROR(INDEX('Schedule_Data_Option_B'!E:E,MATCH($A150,'Schedule_Data_Option_B'!$C:$C,0)),"")</f>
        <v/>
      </c>
      <c r="I150" s="20">
        <f>IFERROR(INDEX('Schedule_Data_Option_B'!G:G,MATCH($A150,'Schedule_Data_Option_B'!$C:$C,0)),"")</f>
        <v/>
      </c>
      <c r="J150" s="20">
        <f>IFERROR(INDEX('Schedule_Data_Option_B'!H:H,MATCH($A150,'Schedule_Data_Option_B'!$C:$C,0)),"")</f>
        <v/>
      </c>
      <c r="K150" s="18">
        <f>IFERROR(INDEX('Schedule_Data_Option_B'!I:I,MATCH($A150,'Schedule_Data_Option_B'!$C:$C,0)),"")</f>
        <v/>
      </c>
      <c r="L150" s="45">
        <f>IF(AND(D150&lt;&gt;"",I150&lt;&gt;""),I150-D150,"")</f>
        <v/>
      </c>
      <c r="M150" s="45">
        <f>IF(AND(E150&lt;&gt;"",J150&lt;&gt;""),J150-E150,"")</f>
        <v/>
      </c>
      <c r="N150" s="45">
        <f>IF(AND(F150&lt;&gt;"",K150&lt;&gt;""),K150-F150,"")</f>
        <v/>
      </c>
    </row>
    <row r="151">
      <c r="A151" s="18" t="inlineStr">
        <is>
          <t>A1509</t>
        </is>
      </c>
      <c r="B151" s="18">
        <f>IFERROR(INDEX('Schedule_Data_Option_A'!D:D,MATCH($A151,'Schedule_Data_Option_A'!$C:$C,0)),"")</f>
        <v/>
      </c>
      <c r="C151" s="18">
        <f>IFERROR(INDEX('Schedule_Data_Option_A'!E:E,MATCH($A151,'Schedule_Data_Option_A'!$C:$C,0)),"")</f>
        <v/>
      </c>
      <c r="D151" s="20">
        <f>IFERROR(INDEX('Schedule_Data_Option_A'!G:G,MATCH($A151,'Schedule_Data_Option_A'!$C:$C,0)),"")</f>
        <v/>
      </c>
      <c r="E151" s="20">
        <f>IFERROR(INDEX('Schedule_Data_Option_A'!H:H,MATCH($A151,'Schedule_Data_Option_A'!$C:$C,0)),"")</f>
        <v/>
      </c>
      <c r="F151" s="18">
        <f>IFERROR(INDEX('Schedule_Data_Option_A'!I:I,MATCH($A151,'Schedule_Data_Option_A'!$C:$C,0)),"")</f>
        <v/>
      </c>
      <c r="G151" s="18">
        <f>IFERROR(INDEX('Schedule_Data_Option_B'!D:D,MATCH($A151,'Schedule_Data_Option_B'!$C:$C,0)),"")</f>
        <v/>
      </c>
      <c r="H151" s="18">
        <f>IFERROR(INDEX('Schedule_Data_Option_B'!E:E,MATCH($A151,'Schedule_Data_Option_B'!$C:$C,0)),"")</f>
        <v/>
      </c>
      <c r="I151" s="20">
        <f>IFERROR(INDEX('Schedule_Data_Option_B'!G:G,MATCH($A151,'Schedule_Data_Option_B'!$C:$C,0)),"")</f>
        <v/>
      </c>
      <c r="J151" s="20">
        <f>IFERROR(INDEX('Schedule_Data_Option_B'!H:H,MATCH($A151,'Schedule_Data_Option_B'!$C:$C,0)),"")</f>
        <v/>
      </c>
      <c r="K151" s="18">
        <f>IFERROR(INDEX('Schedule_Data_Option_B'!I:I,MATCH($A151,'Schedule_Data_Option_B'!$C:$C,0)),"")</f>
        <v/>
      </c>
      <c r="L151" s="45">
        <f>IF(AND(D151&lt;&gt;"",I151&lt;&gt;""),I151-D151,"")</f>
        <v/>
      </c>
      <c r="M151" s="45">
        <f>IF(AND(E151&lt;&gt;"",J151&lt;&gt;""),J151-E151,"")</f>
        <v/>
      </c>
      <c r="N151" s="45">
        <f>IF(AND(F151&lt;&gt;"",K151&lt;&gt;""),K151-F151,"")</f>
        <v/>
      </c>
    </row>
    <row r="152">
      <c r="A152" s="18" t="inlineStr">
        <is>
          <t>A1519</t>
        </is>
      </c>
      <c r="B152" s="18">
        <f>IFERROR(INDEX('Schedule_Data_Option_A'!D:D,MATCH($A152,'Schedule_Data_Option_A'!$C:$C,0)),"")</f>
        <v/>
      </c>
      <c r="C152" s="18">
        <f>IFERROR(INDEX('Schedule_Data_Option_A'!E:E,MATCH($A152,'Schedule_Data_Option_A'!$C:$C,0)),"")</f>
        <v/>
      </c>
      <c r="D152" s="20">
        <f>IFERROR(INDEX('Schedule_Data_Option_A'!G:G,MATCH($A152,'Schedule_Data_Option_A'!$C:$C,0)),"")</f>
        <v/>
      </c>
      <c r="E152" s="20">
        <f>IFERROR(INDEX('Schedule_Data_Option_A'!H:H,MATCH($A152,'Schedule_Data_Option_A'!$C:$C,0)),"")</f>
        <v/>
      </c>
      <c r="F152" s="18">
        <f>IFERROR(INDEX('Schedule_Data_Option_A'!I:I,MATCH($A152,'Schedule_Data_Option_A'!$C:$C,0)),"")</f>
        <v/>
      </c>
      <c r="G152" s="18">
        <f>IFERROR(INDEX('Schedule_Data_Option_B'!D:D,MATCH($A152,'Schedule_Data_Option_B'!$C:$C,0)),"")</f>
        <v/>
      </c>
      <c r="H152" s="18">
        <f>IFERROR(INDEX('Schedule_Data_Option_B'!E:E,MATCH($A152,'Schedule_Data_Option_B'!$C:$C,0)),"")</f>
        <v/>
      </c>
      <c r="I152" s="20">
        <f>IFERROR(INDEX('Schedule_Data_Option_B'!G:G,MATCH($A152,'Schedule_Data_Option_B'!$C:$C,0)),"")</f>
        <v/>
      </c>
      <c r="J152" s="20">
        <f>IFERROR(INDEX('Schedule_Data_Option_B'!H:H,MATCH($A152,'Schedule_Data_Option_B'!$C:$C,0)),"")</f>
        <v/>
      </c>
      <c r="K152" s="18">
        <f>IFERROR(INDEX('Schedule_Data_Option_B'!I:I,MATCH($A152,'Schedule_Data_Option_B'!$C:$C,0)),"")</f>
        <v/>
      </c>
      <c r="L152" s="45">
        <f>IF(AND(D152&lt;&gt;"",I152&lt;&gt;""),I152-D152,"")</f>
        <v/>
      </c>
      <c r="M152" s="45">
        <f>IF(AND(E152&lt;&gt;"",J152&lt;&gt;""),J152-E152,"")</f>
        <v/>
      </c>
      <c r="N152" s="45">
        <f>IF(AND(F152&lt;&gt;"",K152&lt;&gt;""),K152-F152,"")</f>
        <v/>
      </c>
    </row>
    <row r="153">
      <c r="A153" s="18" t="inlineStr">
        <is>
          <t>A1529</t>
        </is>
      </c>
      <c r="B153" s="18">
        <f>IFERROR(INDEX('Schedule_Data_Option_A'!D:D,MATCH($A153,'Schedule_Data_Option_A'!$C:$C,0)),"")</f>
        <v/>
      </c>
      <c r="C153" s="18">
        <f>IFERROR(INDEX('Schedule_Data_Option_A'!E:E,MATCH($A153,'Schedule_Data_Option_A'!$C:$C,0)),"")</f>
        <v/>
      </c>
      <c r="D153" s="20">
        <f>IFERROR(INDEX('Schedule_Data_Option_A'!G:G,MATCH($A153,'Schedule_Data_Option_A'!$C:$C,0)),"")</f>
        <v/>
      </c>
      <c r="E153" s="20">
        <f>IFERROR(INDEX('Schedule_Data_Option_A'!H:H,MATCH($A153,'Schedule_Data_Option_A'!$C:$C,0)),"")</f>
        <v/>
      </c>
      <c r="F153" s="18">
        <f>IFERROR(INDEX('Schedule_Data_Option_A'!I:I,MATCH($A153,'Schedule_Data_Option_A'!$C:$C,0)),"")</f>
        <v/>
      </c>
      <c r="G153" s="18">
        <f>IFERROR(INDEX('Schedule_Data_Option_B'!D:D,MATCH($A153,'Schedule_Data_Option_B'!$C:$C,0)),"")</f>
        <v/>
      </c>
      <c r="H153" s="18">
        <f>IFERROR(INDEX('Schedule_Data_Option_B'!E:E,MATCH($A153,'Schedule_Data_Option_B'!$C:$C,0)),"")</f>
        <v/>
      </c>
      <c r="I153" s="20">
        <f>IFERROR(INDEX('Schedule_Data_Option_B'!G:G,MATCH($A153,'Schedule_Data_Option_B'!$C:$C,0)),"")</f>
        <v/>
      </c>
      <c r="J153" s="20">
        <f>IFERROR(INDEX('Schedule_Data_Option_B'!H:H,MATCH($A153,'Schedule_Data_Option_B'!$C:$C,0)),"")</f>
        <v/>
      </c>
      <c r="K153" s="18">
        <f>IFERROR(INDEX('Schedule_Data_Option_B'!I:I,MATCH($A153,'Schedule_Data_Option_B'!$C:$C,0)),"")</f>
        <v/>
      </c>
      <c r="L153" s="45">
        <f>IF(AND(D153&lt;&gt;"",I153&lt;&gt;""),I153-D153,"")</f>
        <v/>
      </c>
      <c r="M153" s="45">
        <f>IF(AND(E153&lt;&gt;"",J153&lt;&gt;""),J153-E153,"")</f>
        <v/>
      </c>
      <c r="N153" s="45">
        <f>IF(AND(F153&lt;&gt;"",K153&lt;&gt;""),K153-F153,"")</f>
        <v/>
      </c>
    </row>
    <row r="154">
      <c r="A154" s="18" t="inlineStr">
        <is>
          <t>A1539</t>
        </is>
      </c>
      <c r="B154" s="18">
        <f>IFERROR(INDEX('Schedule_Data_Option_A'!D:D,MATCH($A154,'Schedule_Data_Option_A'!$C:$C,0)),"")</f>
        <v/>
      </c>
      <c r="C154" s="18">
        <f>IFERROR(INDEX('Schedule_Data_Option_A'!E:E,MATCH($A154,'Schedule_Data_Option_A'!$C:$C,0)),"")</f>
        <v/>
      </c>
      <c r="D154" s="20">
        <f>IFERROR(INDEX('Schedule_Data_Option_A'!G:G,MATCH($A154,'Schedule_Data_Option_A'!$C:$C,0)),"")</f>
        <v/>
      </c>
      <c r="E154" s="20">
        <f>IFERROR(INDEX('Schedule_Data_Option_A'!H:H,MATCH($A154,'Schedule_Data_Option_A'!$C:$C,0)),"")</f>
        <v/>
      </c>
      <c r="F154" s="18">
        <f>IFERROR(INDEX('Schedule_Data_Option_A'!I:I,MATCH($A154,'Schedule_Data_Option_A'!$C:$C,0)),"")</f>
        <v/>
      </c>
      <c r="G154" s="18">
        <f>IFERROR(INDEX('Schedule_Data_Option_B'!D:D,MATCH($A154,'Schedule_Data_Option_B'!$C:$C,0)),"")</f>
        <v/>
      </c>
      <c r="H154" s="18">
        <f>IFERROR(INDEX('Schedule_Data_Option_B'!E:E,MATCH($A154,'Schedule_Data_Option_B'!$C:$C,0)),"")</f>
        <v/>
      </c>
      <c r="I154" s="20">
        <f>IFERROR(INDEX('Schedule_Data_Option_B'!G:G,MATCH($A154,'Schedule_Data_Option_B'!$C:$C,0)),"")</f>
        <v/>
      </c>
      <c r="J154" s="20">
        <f>IFERROR(INDEX('Schedule_Data_Option_B'!H:H,MATCH($A154,'Schedule_Data_Option_B'!$C:$C,0)),"")</f>
        <v/>
      </c>
      <c r="K154" s="18">
        <f>IFERROR(INDEX('Schedule_Data_Option_B'!I:I,MATCH($A154,'Schedule_Data_Option_B'!$C:$C,0)),"")</f>
        <v/>
      </c>
      <c r="L154" s="45">
        <f>IF(AND(D154&lt;&gt;"",I154&lt;&gt;""),I154-D154,"")</f>
        <v/>
      </c>
      <c r="M154" s="45">
        <f>IF(AND(E154&lt;&gt;"",J154&lt;&gt;""),J154-E154,"")</f>
        <v/>
      </c>
      <c r="N154" s="45">
        <f>IF(AND(F154&lt;&gt;"",K154&lt;&gt;""),K154-F154,"")</f>
        <v/>
      </c>
    </row>
    <row r="155">
      <c r="A155" s="18" t="inlineStr">
        <is>
          <t>A1549</t>
        </is>
      </c>
      <c r="B155" s="18">
        <f>IFERROR(INDEX('Schedule_Data_Option_A'!D:D,MATCH($A155,'Schedule_Data_Option_A'!$C:$C,0)),"")</f>
        <v/>
      </c>
      <c r="C155" s="18">
        <f>IFERROR(INDEX('Schedule_Data_Option_A'!E:E,MATCH($A155,'Schedule_Data_Option_A'!$C:$C,0)),"")</f>
        <v/>
      </c>
      <c r="D155" s="20">
        <f>IFERROR(INDEX('Schedule_Data_Option_A'!G:G,MATCH($A155,'Schedule_Data_Option_A'!$C:$C,0)),"")</f>
        <v/>
      </c>
      <c r="E155" s="20">
        <f>IFERROR(INDEX('Schedule_Data_Option_A'!H:H,MATCH($A155,'Schedule_Data_Option_A'!$C:$C,0)),"")</f>
        <v/>
      </c>
      <c r="F155" s="18">
        <f>IFERROR(INDEX('Schedule_Data_Option_A'!I:I,MATCH($A155,'Schedule_Data_Option_A'!$C:$C,0)),"")</f>
        <v/>
      </c>
      <c r="G155" s="18">
        <f>IFERROR(INDEX('Schedule_Data_Option_B'!D:D,MATCH($A155,'Schedule_Data_Option_B'!$C:$C,0)),"")</f>
        <v/>
      </c>
      <c r="H155" s="18">
        <f>IFERROR(INDEX('Schedule_Data_Option_B'!E:E,MATCH($A155,'Schedule_Data_Option_B'!$C:$C,0)),"")</f>
        <v/>
      </c>
      <c r="I155" s="20">
        <f>IFERROR(INDEX('Schedule_Data_Option_B'!G:G,MATCH($A155,'Schedule_Data_Option_B'!$C:$C,0)),"")</f>
        <v/>
      </c>
      <c r="J155" s="20">
        <f>IFERROR(INDEX('Schedule_Data_Option_B'!H:H,MATCH($A155,'Schedule_Data_Option_B'!$C:$C,0)),"")</f>
        <v/>
      </c>
      <c r="K155" s="18">
        <f>IFERROR(INDEX('Schedule_Data_Option_B'!I:I,MATCH($A155,'Schedule_Data_Option_B'!$C:$C,0)),"")</f>
        <v/>
      </c>
      <c r="L155" s="45">
        <f>IF(AND(D155&lt;&gt;"",I155&lt;&gt;""),I155-D155,"")</f>
        <v/>
      </c>
      <c r="M155" s="45">
        <f>IF(AND(E155&lt;&gt;"",J155&lt;&gt;""),J155-E155,"")</f>
        <v/>
      </c>
      <c r="N155" s="45">
        <f>IF(AND(F155&lt;&gt;"",K155&lt;&gt;""),K155-F155,"")</f>
        <v/>
      </c>
    </row>
    <row r="156">
      <c r="A156" s="18" t="inlineStr">
        <is>
          <t>A1559</t>
        </is>
      </c>
      <c r="B156" s="18">
        <f>IFERROR(INDEX('Schedule_Data_Option_A'!D:D,MATCH($A156,'Schedule_Data_Option_A'!$C:$C,0)),"")</f>
        <v/>
      </c>
      <c r="C156" s="18">
        <f>IFERROR(INDEX('Schedule_Data_Option_A'!E:E,MATCH($A156,'Schedule_Data_Option_A'!$C:$C,0)),"")</f>
        <v/>
      </c>
      <c r="D156" s="20">
        <f>IFERROR(INDEX('Schedule_Data_Option_A'!G:G,MATCH($A156,'Schedule_Data_Option_A'!$C:$C,0)),"")</f>
        <v/>
      </c>
      <c r="E156" s="20">
        <f>IFERROR(INDEX('Schedule_Data_Option_A'!H:H,MATCH($A156,'Schedule_Data_Option_A'!$C:$C,0)),"")</f>
        <v/>
      </c>
      <c r="F156" s="18">
        <f>IFERROR(INDEX('Schedule_Data_Option_A'!I:I,MATCH($A156,'Schedule_Data_Option_A'!$C:$C,0)),"")</f>
        <v/>
      </c>
      <c r="G156" s="18">
        <f>IFERROR(INDEX('Schedule_Data_Option_B'!D:D,MATCH($A156,'Schedule_Data_Option_B'!$C:$C,0)),"")</f>
        <v/>
      </c>
      <c r="H156" s="18">
        <f>IFERROR(INDEX('Schedule_Data_Option_B'!E:E,MATCH($A156,'Schedule_Data_Option_B'!$C:$C,0)),"")</f>
        <v/>
      </c>
      <c r="I156" s="20">
        <f>IFERROR(INDEX('Schedule_Data_Option_B'!G:G,MATCH($A156,'Schedule_Data_Option_B'!$C:$C,0)),"")</f>
        <v/>
      </c>
      <c r="J156" s="20">
        <f>IFERROR(INDEX('Schedule_Data_Option_B'!H:H,MATCH($A156,'Schedule_Data_Option_B'!$C:$C,0)),"")</f>
        <v/>
      </c>
      <c r="K156" s="18">
        <f>IFERROR(INDEX('Schedule_Data_Option_B'!I:I,MATCH($A156,'Schedule_Data_Option_B'!$C:$C,0)),"")</f>
        <v/>
      </c>
      <c r="L156" s="45">
        <f>IF(AND(D156&lt;&gt;"",I156&lt;&gt;""),I156-D156,"")</f>
        <v/>
      </c>
      <c r="M156" s="45">
        <f>IF(AND(E156&lt;&gt;"",J156&lt;&gt;""),J156-E156,"")</f>
        <v/>
      </c>
      <c r="N156" s="45">
        <f>IF(AND(F156&lt;&gt;"",K156&lt;&gt;""),K156-F156,"")</f>
        <v/>
      </c>
    </row>
    <row r="157">
      <c r="A157" s="18" t="inlineStr">
        <is>
          <t>A1569</t>
        </is>
      </c>
      <c r="B157" s="18">
        <f>IFERROR(INDEX('Schedule_Data_Option_A'!D:D,MATCH($A157,'Schedule_Data_Option_A'!$C:$C,0)),"")</f>
        <v/>
      </c>
      <c r="C157" s="18">
        <f>IFERROR(INDEX('Schedule_Data_Option_A'!E:E,MATCH($A157,'Schedule_Data_Option_A'!$C:$C,0)),"")</f>
        <v/>
      </c>
      <c r="D157" s="20">
        <f>IFERROR(INDEX('Schedule_Data_Option_A'!G:G,MATCH($A157,'Schedule_Data_Option_A'!$C:$C,0)),"")</f>
        <v/>
      </c>
      <c r="E157" s="20">
        <f>IFERROR(INDEX('Schedule_Data_Option_A'!H:H,MATCH($A157,'Schedule_Data_Option_A'!$C:$C,0)),"")</f>
        <v/>
      </c>
      <c r="F157" s="18">
        <f>IFERROR(INDEX('Schedule_Data_Option_A'!I:I,MATCH($A157,'Schedule_Data_Option_A'!$C:$C,0)),"")</f>
        <v/>
      </c>
      <c r="G157" s="18">
        <f>IFERROR(INDEX('Schedule_Data_Option_B'!D:D,MATCH($A157,'Schedule_Data_Option_B'!$C:$C,0)),"")</f>
        <v/>
      </c>
      <c r="H157" s="18">
        <f>IFERROR(INDEX('Schedule_Data_Option_B'!E:E,MATCH($A157,'Schedule_Data_Option_B'!$C:$C,0)),"")</f>
        <v/>
      </c>
      <c r="I157" s="20">
        <f>IFERROR(INDEX('Schedule_Data_Option_B'!G:G,MATCH($A157,'Schedule_Data_Option_B'!$C:$C,0)),"")</f>
        <v/>
      </c>
      <c r="J157" s="20">
        <f>IFERROR(INDEX('Schedule_Data_Option_B'!H:H,MATCH($A157,'Schedule_Data_Option_B'!$C:$C,0)),"")</f>
        <v/>
      </c>
      <c r="K157" s="18">
        <f>IFERROR(INDEX('Schedule_Data_Option_B'!I:I,MATCH($A157,'Schedule_Data_Option_B'!$C:$C,0)),"")</f>
        <v/>
      </c>
      <c r="L157" s="45">
        <f>IF(AND(D157&lt;&gt;"",I157&lt;&gt;""),I157-D157,"")</f>
        <v/>
      </c>
      <c r="M157" s="45">
        <f>IF(AND(E157&lt;&gt;"",J157&lt;&gt;""),J157-E157,"")</f>
        <v/>
      </c>
      <c r="N157" s="45">
        <f>IF(AND(F157&lt;&gt;"",K157&lt;&gt;""),K157-F157,"")</f>
        <v/>
      </c>
    </row>
    <row r="158">
      <c r="A158" s="18" t="inlineStr">
        <is>
          <t>A1579</t>
        </is>
      </c>
      <c r="B158" s="18">
        <f>IFERROR(INDEX('Schedule_Data_Option_A'!D:D,MATCH($A158,'Schedule_Data_Option_A'!$C:$C,0)),"")</f>
        <v/>
      </c>
      <c r="C158" s="18">
        <f>IFERROR(INDEX('Schedule_Data_Option_A'!E:E,MATCH($A158,'Schedule_Data_Option_A'!$C:$C,0)),"")</f>
        <v/>
      </c>
      <c r="D158" s="20">
        <f>IFERROR(INDEX('Schedule_Data_Option_A'!G:G,MATCH($A158,'Schedule_Data_Option_A'!$C:$C,0)),"")</f>
        <v/>
      </c>
      <c r="E158" s="20">
        <f>IFERROR(INDEX('Schedule_Data_Option_A'!H:H,MATCH($A158,'Schedule_Data_Option_A'!$C:$C,0)),"")</f>
        <v/>
      </c>
      <c r="F158" s="18">
        <f>IFERROR(INDEX('Schedule_Data_Option_A'!I:I,MATCH($A158,'Schedule_Data_Option_A'!$C:$C,0)),"")</f>
        <v/>
      </c>
      <c r="G158" s="18">
        <f>IFERROR(INDEX('Schedule_Data_Option_B'!D:D,MATCH($A158,'Schedule_Data_Option_B'!$C:$C,0)),"")</f>
        <v/>
      </c>
      <c r="H158" s="18">
        <f>IFERROR(INDEX('Schedule_Data_Option_B'!E:E,MATCH($A158,'Schedule_Data_Option_B'!$C:$C,0)),"")</f>
        <v/>
      </c>
      <c r="I158" s="20">
        <f>IFERROR(INDEX('Schedule_Data_Option_B'!G:G,MATCH($A158,'Schedule_Data_Option_B'!$C:$C,0)),"")</f>
        <v/>
      </c>
      <c r="J158" s="20">
        <f>IFERROR(INDEX('Schedule_Data_Option_B'!H:H,MATCH($A158,'Schedule_Data_Option_B'!$C:$C,0)),"")</f>
        <v/>
      </c>
      <c r="K158" s="18">
        <f>IFERROR(INDEX('Schedule_Data_Option_B'!I:I,MATCH($A158,'Schedule_Data_Option_B'!$C:$C,0)),"")</f>
        <v/>
      </c>
      <c r="L158" s="45">
        <f>IF(AND(D158&lt;&gt;"",I158&lt;&gt;""),I158-D158,"")</f>
        <v/>
      </c>
      <c r="M158" s="45">
        <f>IF(AND(E158&lt;&gt;"",J158&lt;&gt;""),J158-E158,"")</f>
        <v/>
      </c>
      <c r="N158" s="45">
        <f>IF(AND(F158&lt;&gt;"",K158&lt;&gt;""),K158-F158,"")</f>
        <v/>
      </c>
    </row>
    <row r="159">
      <c r="A159" s="18" t="inlineStr">
        <is>
          <t>A1589</t>
        </is>
      </c>
      <c r="B159" s="18">
        <f>IFERROR(INDEX('Schedule_Data_Option_A'!D:D,MATCH($A159,'Schedule_Data_Option_A'!$C:$C,0)),"")</f>
        <v/>
      </c>
      <c r="C159" s="18">
        <f>IFERROR(INDEX('Schedule_Data_Option_A'!E:E,MATCH($A159,'Schedule_Data_Option_A'!$C:$C,0)),"")</f>
        <v/>
      </c>
      <c r="D159" s="20">
        <f>IFERROR(INDEX('Schedule_Data_Option_A'!G:G,MATCH($A159,'Schedule_Data_Option_A'!$C:$C,0)),"")</f>
        <v/>
      </c>
      <c r="E159" s="20">
        <f>IFERROR(INDEX('Schedule_Data_Option_A'!H:H,MATCH($A159,'Schedule_Data_Option_A'!$C:$C,0)),"")</f>
        <v/>
      </c>
      <c r="F159" s="18">
        <f>IFERROR(INDEX('Schedule_Data_Option_A'!I:I,MATCH($A159,'Schedule_Data_Option_A'!$C:$C,0)),"")</f>
        <v/>
      </c>
      <c r="G159" s="18">
        <f>IFERROR(INDEX('Schedule_Data_Option_B'!D:D,MATCH($A159,'Schedule_Data_Option_B'!$C:$C,0)),"")</f>
        <v/>
      </c>
      <c r="H159" s="18">
        <f>IFERROR(INDEX('Schedule_Data_Option_B'!E:E,MATCH($A159,'Schedule_Data_Option_B'!$C:$C,0)),"")</f>
        <v/>
      </c>
      <c r="I159" s="20">
        <f>IFERROR(INDEX('Schedule_Data_Option_B'!G:G,MATCH($A159,'Schedule_Data_Option_B'!$C:$C,0)),"")</f>
        <v/>
      </c>
      <c r="J159" s="20">
        <f>IFERROR(INDEX('Schedule_Data_Option_B'!H:H,MATCH($A159,'Schedule_Data_Option_B'!$C:$C,0)),"")</f>
        <v/>
      </c>
      <c r="K159" s="18">
        <f>IFERROR(INDEX('Schedule_Data_Option_B'!I:I,MATCH($A159,'Schedule_Data_Option_B'!$C:$C,0)),"")</f>
        <v/>
      </c>
      <c r="L159" s="45">
        <f>IF(AND(D159&lt;&gt;"",I159&lt;&gt;""),I159-D159,"")</f>
        <v/>
      </c>
      <c r="M159" s="45">
        <f>IF(AND(E159&lt;&gt;"",J159&lt;&gt;""),J159-E159,"")</f>
        <v/>
      </c>
      <c r="N159" s="45">
        <f>IF(AND(F159&lt;&gt;"",K159&lt;&gt;""),K159-F159,"")</f>
        <v/>
      </c>
    </row>
    <row r="160">
      <c r="A160" s="18" t="inlineStr">
        <is>
          <t>A1599</t>
        </is>
      </c>
      <c r="B160" s="18">
        <f>IFERROR(INDEX('Schedule_Data_Option_A'!D:D,MATCH($A160,'Schedule_Data_Option_A'!$C:$C,0)),"")</f>
        <v/>
      </c>
      <c r="C160" s="18">
        <f>IFERROR(INDEX('Schedule_Data_Option_A'!E:E,MATCH($A160,'Schedule_Data_Option_A'!$C:$C,0)),"")</f>
        <v/>
      </c>
      <c r="D160" s="20">
        <f>IFERROR(INDEX('Schedule_Data_Option_A'!G:G,MATCH($A160,'Schedule_Data_Option_A'!$C:$C,0)),"")</f>
        <v/>
      </c>
      <c r="E160" s="20">
        <f>IFERROR(INDEX('Schedule_Data_Option_A'!H:H,MATCH($A160,'Schedule_Data_Option_A'!$C:$C,0)),"")</f>
        <v/>
      </c>
      <c r="F160" s="18">
        <f>IFERROR(INDEX('Schedule_Data_Option_A'!I:I,MATCH($A160,'Schedule_Data_Option_A'!$C:$C,0)),"")</f>
        <v/>
      </c>
      <c r="G160" s="18">
        <f>IFERROR(INDEX('Schedule_Data_Option_B'!D:D,MATCH($A160,'Schedule_Data_Option_B'!$C:$C,0)),"")</f>
        <v/>
      </c>
      <c r="H160" s="18">
        <f>IFERROR(INDEX('Schedule_Data_Option_B'!E:E,MATCH($A160,'Schedule_Data_Option_B'!$C:$C,0)),"")</f>
        <v/>
      </c>
      <c r="I160" s="20">
        <f>IFERROR(INDEX('Schedule_Data_Option_B'!G:G,MATCH($A160,'Schedule_Data_Option_B'!$C:$C,0)),"")</f>
        <v/>
      </c>
      <c r="J160" s="20">
        <f>IFERROR(INDEX('Schedule_Data_Option_B'!H:H,MATCH($A160,'Schedule_Data_Option_B'!$C:$C,0)),"")</f>
        <v/>
      </c>
      <c r="K160" s="18">
        <f>IFERROR(INDEX('Schedule_Data_Option_B'!I:I,MATCH($A160,'Schedule_Data_Option_B'!$C:$C,0)),"")</f>
        <v/>
      </c>
      <c r="L160" s="45">
        <f>IF(AND(D160&lt;&gt;"",I160&lt;&gt;""),I160-D160,"")</f>
        <v/>
      </c>
      <c r="M160" s="45">
        <f>IF(AND(E160&lt;&gt;"",J160&lt;&gt;""),J160-E160,"")</f>
        <v/>
      </c>
      <c r="N160" s="45">
        <f>IF(AND(F160&lt;&gt;"",K160&lt;&gt;""),K160-F160,"")</f>
        <v/>
      </c>
    </row>
    <row r="161">
      <c r="A161" s="18" t="inlineStr">
        <is>
          <t>A1609</t>
        </is>
      </c>
      <c r="B161" s="18">
        <f>IFERROR(INDEX('Schedule_Data_Option_A'!D:D,MATCH($A161,'Schedule_Data_Option_A'!$C:$C,0)),"")</f>
        <v/>
      </c>
      <c r="C161" s="18">
        <f>IFERROR(INDEX('Schedule_Data_Option_A'!E:E,MATCH($A161,'Schedule_Data_Option_A'!$C:$C,0)),"")</f>
        <v/>
      </c>
      <c r="D161" s="20">
        <f>IFERROR(INDEX('Schedule_Data_Option_A'!G:G,MATCH($A161,'Schedule_Data_Option_A'!$C:$C,0)),"")</f>
        <v/>
      </c>
      <c r="E161" s="20">
        <f>IFERROR(INDEX('Schedule_Data_Option_A'!H:H,MATCH($A161,'Schedule_Data_Option_A'!$C:$C,0)),"")</f>
        <v/>
      </c>
      <c r="F161" s="18">
        <f>IFERROR(INDEX('Schedule_Data_Option_A'!I:I,MATCH($A161,'Schedule_Data_Option_A'!$C:$C,0)),"")</f>
        <v/>
      </c>
      <c r="G161" s="18">
        <f>IFERROR(INDEX('Schedule_Data_Option_B'!D:D,MATCH($A161,'Schedule_Data_Option_B'!$C:$C,0)),"")</f>
        <v/>
      </c>
      <c r="H161" s="18">
        <f>IFERROR(INDEX('Schedule_Data_Option_B'!E:E,MATCH($A161,'Schedule_Data_Option_B'!$C:$C,0)),"")</f>
        <v/>
      </c>
      <c r="I161" s="20">
        <f>IFERROR(INDEX('Schedule_Data_Option_B'!G:G,MATCH($A161,'Schedule_Data_Option_B'!$C:$C,0)),"")</f>
        <v/>
      </c>
      <c r="J161" s="20">
        <f>IFERROR(INDEX('Schedule_Data_Option_B'!H:H,MATCH($A161,'Schedule_Data_Option_B'!$C:$C,0)),"")</f>
        <v/>
      </c>
      <c r="K161" s="18">
        <f>IFERROR(INDEX('Schedule_Data_Option_B'!I:I,MATCH($A161,'Schedule_Data_Option_B'!$C:$C,0)),"")</f>
        <v/>
      </c>
      <c r="L161" s="45">
        <f>IF(AND(D161&lt;&gt;"",I161&lt;&gt;""),I161-D161,"")</f>
        <v/>
      </c>
      <c r="M161" s="45">
        <f>IF(AND(E161&lt;&gt;"",J161&lt;&gt;""),J161-E161,"")</f>
        <v/>
      </c>
      <c r="N161" s="45">
        <f>IF(AND(F161&lt;&gt;"",K161&lt;&gt;""),K161-F161,"")</f>
        <v/>
      </c>
    </row>
    <row r="162">
      <c r="A162" s="18" t="inlineStr">
        <is>
          <t>A1619</t>
        </is>
      </c>
      <c r="B162" s="18">
        <f>IFERROR(INDEX('Schedule_Data_Option_A'!D:D,MATCH($A162,'Schedule_Data_Option_A'!$C:$C,0)),"")</f>
        <v/>
      </c>
      <c r="C162" s="18">
        <f>IFERROR(INDEX('Schedule_Data_Option_A'!E:E,MATCH($A162,'Schedule_Data_Option_A'!$C:$C,0)),"")</f>
        <v/>
      </c>
      <c r="D162" s="20">
        <f>IFERROR(INDEX('Schedule_Data_Option_A'!G:G,MATCH($A162,'Schedule_Data_Option_A'!$C:$C,0)),"")</f>
        <v/>
      </c>
      <c r="E162" s="20">
        <f>IFERROR(INDEX('Schedule_Data_Option_A'!H:H,MATCH($A162,'Schedule_Data_Option_A'!$C:$C,0)),"")</f>
        <v/>
      </c>
      <c r="F162" s="18">
        <f>IFERROR(INDEX('Schedule_Data_Option_A'!I:I,MATCH($A162,'Schedule_Data_Option_A'!$C:$C,0)),"")</f>
        <v/>
      </c>
      <c r="G162" s="18">
        <f>IFERROR(INDEX('Schedule_Data_Option_B'!D:D,MATCH($A162,'Schedule_Data_Option_B'!$C:$C,0)),"")</f>
        <v/>
      </c>
      <c r="H162" s="18">
        <f>IFERROR(INDEX('Schedule_Data_Option_B'!E:E,MATCH($A162,'Schedule_Data_Option_B'!$C:$C,0)),"")</f>
        <v/>
      </c>
      <c r="I162" s="20">
        <f>IFERROR(INDEX('Schedule_Data_Option_B'!G:G,MATCH($A162,'Schedule_Data_Option_B'!$C:$C,0)),"")</f>
        <v/>
      </c>
      <c r="J162" s="20">
        <f>IFERROR(INDEX('Schedule_Data_Option_B'!H:H,MATCH($A162,'Schedule_Data_Option_B'!$C:$C,0)),"")</f>
        <v/>
      </c>
      <c r="K162" s="18">
        <f>IFERROR(INDEX('Schedule_Data_Option_B'!I:I,MATCH($A162,'Schedule_Data_Option_B'!$C:$C,0)),"")</f>
        <v/>
      </c>
      <c r="L162" s="45">
        <f>IF(AND(D162&lt;&gt;"",I162&lt;&gt;""),I162-D162,"")</f>
        <v/>
      </c>
      <c r="M162" s="45">
        <f>IF(AND(E162&lt;&gt;"",J162&lt;&gt;""),J162-E162,"")</f>
        <v/>
      </c>
      <c r="N162" s="45">
        <f>IF(AND(F162&lt;&gt;"",K162&lt;&gt;""),K162-F162,"")</f>
        <v/>
      </c>
    </row>
    <row r="163">
      <c r="A163" s="18" t="inlineStr">
        <is>
          <t>A1629</t>
        </is>
      </c>
      <c r="B163" s="18">
        <f>IFERROR(INDEX('Schedule_Data_Option_A'!D:D,MATCH($A163,'Schedule_Data_Option_A'!$C:$C,0)),"")</f>
        <v/>
      </c>
      <c r="C163" s="18">
        <f>IFERROR(INDEX('Schedule_Data_Option_A'!E:E,MATCH($A163,'Schedule_Data_Option_A'!$C:$C,0)),"")</f>
        <v/>
      </c>
      <c r="D163" s="20">
        <f>IFERROR(INDEX('Schedule_Data_Option_A'!G:G,MATCH($A163,'Schedule_Data_Option_A'!$C:$C,0)),"")</f>
        <v/>
      </c>
      <c r="E163" s="20">
        <f>IFERROR(INDEX('Schedule_Data_Option_A'!H:H,MATCH($A163,'Schedule_Data_Option_A'!$C:$C,0)),"")</f>
        <v/>
      </c>
      <c r="F163" s="18">
        <f>IFERROR(INDEX('Schedule_Data_Option_A'!I:I,MATCH($A163,'Schedule_Data_Option_A'!$C:$C,0)),"")</f>
        <v/>
      </c>
      <c r="G163" s="18">
        <f>IFERROR(INDEX('Schedule_Data_Option_B'!D:D,MATCH($A163,'Schedule_Data_Option_B'!$C:$C,0)),"")</f>
        <v/>
      </c>
      <c r="H163" s="18">
        <f>IFERROR(INDEX('Schedule_Data_Option_B'!E:E,MATCH($A163,'Schedule_Data_Option_B'!$C:$C,0)),"")</f>
        <v/>
      </c>
      <c r="I163" s="20">
        <f>IFERROR(INDEX('Schedule_Data_Option_B'!G:G,MATCH($A163,'Schedule_Data_Option_B'!$C:$C,0)),"")</f>
        <v/>
      </c>
      <c r="J163" s="20">
        <f>IFERROR(INDEX('Schedule_Data_Option_B'!H:H,MATCH($A163,'Schedule_Data_Option_B'!$C:$C,0)),"")</f>
        <v/>
      </c>
      <c r="K163" s="18">
        <f>IFERROR(INDEX('Schedule_Data_Option_B'!I:I,MATCH($A163,'Schedule_Data_Option_B'!$C:$C,0)),"")</f>
        <v/>
      </c>
      <c r="L163" s="45">
        <f>IF(AND(D163&lt;&gt;"",I163&lt;&gt;""),I163-D163,"")</f>
        <v/>
      </c>
      <c r="M163" s="45">
        <f>IF(AND(E163&lt;&gt;"",J163&lt;&gt;""),J163-E163,"")</f>
        <v/>
      </c>
      <c r="N163" s="45">
        <f>IF(AND(F163&lt;&gt;"",K163&lt;&gt;""),K163-F163,"")</f>
        <v/>
      </c>
    </row>
    <row r="164">
      <c r="A164" s="18" t="inlineStr">
        <is>
          <t>A1639</t>
        </is>
      </c>
      <c r="B164" s="18">
        <f>IFERROR(INDEX('Schedule_Data_Option_A'!D:D,MATCH($A164,'Schedule_Data_Option_A'!$C:$C,0)),"")</f>
        <v/>
      </c>
      <c r="C164" s="18">
        <f>IFERROR(INDEX('Schedule_Data_Option_A'!E:E,MATCH($A164,'Schedule_Data_Option_A'!$C:$C,0)),"")</f>
        <v/>
      </c>
      <c r="D164" s="20">
        <f>IFERROR(INDEX('Schedule_Data_Option_A'!G:G,MATCH($A164,'Schedule_Data_Option_A'!$C:$C,0)),"")</f>
        <v/>
      </c>
      <c r="E164" s="20">
        <f>IFERROR(INDEX('Schedule_Data_Option_A'!H:H,MATCH($A164,'Schedule_Data_Option_A'!$C:$C,0)),"")</f>
        <v/>
      </c>
      <c r="F164" s="18">
        <f>IFERROR(INDEX('Schedule_Data_Option_A'!I:I,MATCH($A164,'Schedule_Data_Option_A'!$C:$C,0)),"")</f>
        <v/>
      </c>
      <c r="G164" s="18">
        <f>IFERROR(INDEX('Schedule_Data_Option_B'!D:D,MATCH($A164,'Schedule_Data_Option_B'!$C:$C,0)),"")</f>
        <v/>
      </c>
      <c r="H164" s="18">
        <f>IFERROR(INDEX('Schedule_Data_Option_B'!E:E,MATCH($A164,'Schedule_Data_Option_B'!$C:$C,0)),"")</f>
        <v/>
      </c>
      <c r="I164" s="20">
        <f>IFERROR(INDEX('Schedule_Data_Option_B'!G:G,MATCH($A164,'Schedule_Data_Option_B'!$C:$C,0)),"")</f>
        <v/>
      </c>
      <c r="J164" s="20">
        <f>IFERROR(INDEX('Schedule_Data_Option_B'!H:H,MATCH($A164,'Schedule_Data_Option_B'!$C:$C,0)),"")</f>
        <v/>
      </c>
      <c r="K164" s="18">
        <f>IFERROR(INDEX('Schedule_Data_Option_B'!I:I,MATCH($A164,'Schedule_Data_Option_B'!$C:$C,0)),"")</f>
        <v/>
      </c>
      <c r="L164" s="45">
        <f>IF(AND(D164&lt;&gt;"",I164&lt;&gt;""),I164-D164,"")</f>
        <v/>
      </c>
      <c r="M164" s="45">
        <f>IF(AND(E164&lt;&gt;"",J164&lt;&gt;""),J164-E164,"")</f>
        <v/>
      </c>
      <c r="N164" s="45">
        <f>IF(AND(F164&lt;&gt;"",K164&lt;&gt;""),K164-F164,"")</f>
        <v/>
      </c>
    </row>
    <row r="165">
      <c r="A165" s="18" t="inlineStr">
        <is>
          <t>A1649</t>
        </is>
      </c>
      <c r="B165" s="18">
        <f>IFERROR(INDEX('Schedule_Data_Option_A'!D:D,MATCH($A165,'Schedule_Data_Option_A'!$C:$C,0)),"")</f>
        <v/>
      </c>
      <c r="C165" s="18">
        <f>IFERROR(INDEX('Schedule_Data_Option_A'!E:E,MATCH($A165,'Schedule_Data_Option_A'!$C:$C,0)),"")</f>
        <v/>
      </c>
      <c r="D165" s="20">
        <f>IFERROR(INDEX('Schedule_Data_Option_A'!G:G,MATCH($A165,'Schedule_Data_Option_A'!$C:$C,0)),"")</f>
        <v/>
      </c>
      <c r="E165" s="20">
        <f>IFERROR(INDEX('Schedule_Data_Option_A'!H:H,MATCH($A165,'Schedule_Data_Option_A'!$C:$C,0)),"")</f>
        <v/>
      </c>
      <c r="F165" s="18">
        <f>IFERROR(INDEX('Schedule_Data_Option_A'!I:I,MATCH($A165,'Schedule_Data_Option_A'!$C:$C,0)),"")</f>
        <v/>
      </c>
      <c r="G165" s="18">
        <f>IFERROR(INDEX('Schedule_Data_Option_B'!D:D,MATCH($A165,'Schedule_Data_Option_B'!$C:$C,0)),"")</f>
        <v/>
      </c>
      <c r="H165" s="18">
        <f>IFERROR(INDEX('Schedule_Data_Option_B'!E:E,MATCH($A165,'Schedule_Data_Option_B'!$C:$C,0)),"")</f>
        <v/>
      </c>
      <c r="I165" s="20">
        <f>IFERROR(INDEX('Schedule_Data_Option_B'!G:G,MATCH($A165,'Schedule_Data_Option_B'!$C:$C,0)),"")</f>
        <v/>
      </c>
      <c r="J165" s="20">
        <f>IFERROR(INDEX('Schedule_Data_Option_B'!H:H,MATCH($A165,'Schedule_Data_Option_B'!$C:$C,0)),"")</f>
        <v/>
      </c>
      <c r="K165" s="18">
        <f>IFERROR(INDEX('Schedule_Data_Option_B'!I:I,MATCH($A165,'Schedule_Data_Option_B'!$C:$C,0)),"")</f>
        <v/>
      </c>
      <c r="L165" s="45">
        <f>IF(AND(D165&lt;&gt;"",I165&lt;&gt;""),I165-D165,"")</f>
        <v/>
      </c>
      <c r="M165" s="45">
        <f>IF(AND(E165&lt;&gt;"",J165&lt;&gt;""),J165-E165,"")</f>
        <v/>
      </c>
      <c r="N165" s="45">
        <f>IF(AND(F165&lt;&gt;"",K165&lt;&gt;""),K165-F165,"")</f>
        <v/>
      </c>
    </row>
    <row r="166">
      <c r="A166" s="18" t="inlineStr">
        <is>
          <t>A1659</t>
        </is>
      </c>
      <c r="B166" s="18">
        <f>IFERROR(INDEX('Schedule_Data_Option_A'!D:D,MATCH($A166,'Schedule_Data_Option_A'!$C:$C,0)),"")</f>
        <v/>
      </c>
      <c r="C166" s="18">
        <f>IFERROR(INDEX('Schedule_Data_Option_A'!E:E,MATCH($A166,'Schedule_Data_Option_A'!$C:$C,0)),"")</f>
        <v/>
      </c>
      <c r="D166" s="20">
        <f>IFERROR(INDEX('Schedule_Data_Option_A'!G:G,MATCH($A166,'Schedule_Data_Option_A'!$C:$C,0)),"")</f>
        <v/>
      </c>
      <c r="E166" s="20">
        <f>IFERROR(INDEX('Schedule_Data_Option_A'!H:H,MATCH($A166,'Schedule_Data_Option_A'!$C:$C,0)),"")</f>
        <v/>
      </c>
      <c r="F166" s="18">
        <f>IFERROR(INDEX('Schedule_Data_Option_A'!I:I,MATCH($A166,'Schedule_Data_Option_A'!$C:$C,0)),"")</f>
        <v/>
      </c>
      <c r="G166" s="18">
        <f>IFERROR(INDEX('Schedule_Data_Option_B'!D:D,MATCH($A166,'Schedule_Data_Option_B'!$C:$C,0)),"")</f>
        <v/>
      </c>
      <c r="H166" s="18">
        <f>IFERROR(INDEX('Schedule_Data_Option_B'!E:E,MATCH($A166,'Schedule_Data_Option_B'!$C:$C,0)),"")</f>
        <v/>
      </c>
      <c r="I166" s="20">
        <f>IFERROR(INDEX('Schedule_Data_Option_B'!G:G,MATCH($A166,'Schedule_Data_Option_B'!$C:$C,0)),"")</f>
        <v/>
      </c>
      <c r="J166" s="20">
        <f>IFERROR(INDEX('Schedule_Data_Option_B'!H:H,MATCH($A166,'Schedule_Data_Option_B'!$C:$C,0)),"")</f>
        <v/>
      </c>
      <c r="K166" s="18">
        <f>IFERROR(INDEX('Schedule_Data_Option_B'!I:I,MATCH($A166,'Schedule_Data_Option_B'!$C:$C,0)),"")</f>
        <v/>
      </c>
      <c r="L166" s="45">
        <f>IF(AND(D166&lt;&gt;"",I166&lt;&gt;""),I166-D166,"")</f>
        <v/>
      </c>
      <c r="M166" s="45">
        <f>IF(AND(E166&lt;&gt;"",J166&lt;&gt;""),J166-E166,"")</f>
        <v/>
      </c>
      <c r="N166" s="45">
        <f>IF(AND(F166&lt;&gt;"",K166&lt;&gt;""),K166-F166,"")</f>
        <v/>
      </c>
    </row>
    <row r="167">
      <c r="A167" s="18" t="inlineStr">
        <is>
          <t>A1669</t>
        </is>
      </c>
      <c r="B167" s="18">
        <f>IFERROR(INDEX('Schedule_Data_Option_A'!D:D,MATCH($A167,'Schedule_Data_Option_A'!$C:$C,0)),"")</f>
        <v/>
      </c>
      <c r="C167" s="18">
        <f>IFERROR(INDEX('Schedule_Data_Option_A'!E:E,MATCH($A167,'Schedule_Data_Option_A'!$C:$C,0)),"")</f>
        <v/>
      </c>
      <c r="D167" s="20">
        <f>IFERROR(INDEX('Schedule_Data_Option_A'!G:G,MATCH($A167,'Schedule_Data_Option_A'!$C:$C,0)),"")</f>
        <v/>
      </c>
      <c r="E167" s="20">
        <f>IFERROR(INDEX('Schedule_Data_Option_A'!H:H,MATCH($A167,'Schedule_Data_Option_A'!$C:$C,0)),"")</f>
        <v/>
      </c>
      <c r="F167" s="18">
        <f>IFERROR(INDEX('Schedule_Data_Option_A'!I:I,MATCH($A167,'Schedule_Data_Option_A'!$C:$C,0)),"")</f>
        <v/>
      </c>
      <c r="G167" s="18">
        <f>IFERROR(INDEX('Schedule_Data_Option_B'!D:D,MATCH($A167,'Schedule_Data_Option_B'!$C:$C,0)),"")</f>
        <v/>
      </c>
      <c r="H167" s="18">
        <f>IFERROR(INDEX('Schedule_Data_Option_B'!E:E,MATCH($A167,'Schedule_Data_Option_B'!$C:$C,0)),"")</f>
        <v/>
      </c>
      <c r="I167" s="20">
        <f>IFERROR(INDEX('Schedule_Data_Option_B'!G:G,MATCH($A167,'Schedule_Data_Option_B'!$C:$C,0)),"")</f>
        <v/>
      </c>
      <c r="J167" s="20">
        <f>IFERROR(INDEX('Schedule_Data_Option_B'!H:H,MATCH($A167,'Schedule_Data_Option_B'!$C:$C,0)),"")</f>
        <v/>
      </c>
      <c r="K167" s="18">
        <f>IFERROR(INDEX('Schedule_Data_Option_B'!I:I,MATCH($A167,'Schedule_Data_Option_B'!$C:$C,0)),"")</f>
        <v/>
      </c>
      <c r="L167" s="45">
        <f>IF(AND(D167&lt;&gt;"",I167&lt;&gt;""),I167-D167,"")</f>
        <v/>
      </c>
      <c r="M167" s="45">
        <f>IF(AND(E167&lt;&gt;"",J167&lt;&gt;""),J167-E167,"")</f>
        <v/>
      </c>
      <c r="N167" s="45">
        <f>IF(AND(F167&lt;&gt;"",K167&lt;&gt;""),K167-F167,"")</f>
        <v/>
      </c>
    </row>
    <row r="168">
      <c r="A168" s="18" t="inlineStr">
        <is>
          <t>A1679</t>
        </is>
      </c>
      <c r="B168" s="18">
        <f>IFERROR(INDEX('Schedule_Data_Option_A'!D:D,MATCH($A168,'Schedule_Data_Option_A'!$C:$C,0)),"")</f>
        <v/>
      </c>
      <c r="C168" s="18">
        <f>IFERROR(INDEX('Schedule_Data_Option_A'!E:E,MATCH($A168,'Schedule_Data_Option_A'!$C:$C,0)),"")</f>
        <v/>
      </c>
      <c r="D168" s="20">
        <f>IFERROR(INDEX('Schedule_Data_Option_A'!G:G,MATCH($A168,'Schedule_Data_Option_A'!$C:$C,0)),"")</f>
        <v/>
      </c>
      <c r="E168" s="20">
        <f>IFERROR(INDEX('Schedule_Data_Option_A'!H:H,MATCH($A168,'Schedule_Data_Option_A'!$C:$C,0)),"")</f>
        <v/>
      </c>
      <c r="F168" s="18">
        <f>IFERROR(INDEX('Schedule_Data_Option_A'!I:I,MATCH($A168,'Schedule_Data_Option_A'!$C:$C,0)),"")</f>
        <v/>
      </c>
      <c r="G168" s="18">
        <f>IFERROR(INDEX('Schedule_Data_Option_B'!D:D,MATCH($A168,'Schedule_Data_Option_B'!$C:$C,0)),"")</f>
        <v/>
      </c>
      <c r="H168" s="18">
        <f>IFERROR(INDEX('Schedule_Data_Option_B'!E:E,MATCH($A168,'Schedule_Data_Option_B'!$C:$C,0)),"")</f>
        <v/>
      </c>
      <c r="I168" s="20">
        <f>IFERROR(INDEX('Schedule_Data_Option_B'!G:G,MATCH($A168,'Schedule_Data_Option_B'!$C:$C,0)),"")</f>
        <v/>
      </c>
      <c r="J168" s="20">
        <f>IFERROR(INDEX('Schedule_Data_Option_B'!H:H,MATCH($A168,'Schedule_Data_Option_B'!$C:$C,0)),"")</f>
        <v/>
      </c>
      <c r="K168" s="18">
        <f>IFERROR(INDEX('Schedule_Data_Option_B'!I:I,MATCH($A168,'Schedule_Data_Option_B'!$C:$C,0)),"")</f>
        <v/>
      </c>
      <c r="L168" s="45">
        <f>IF(AND(D168&lt;&gt;"",I168&lt;&gt;""),I168-D168,"")</f>
        <v/>
      </c>
      <c r="M168" s="45">
        <f>IF(AND(E168&lt;&gt;"",J168&lt;&gt;""),J168-E168,"")</f>
        <v/>
      </c>
      <c r="N168" s="45">
        <f>IF(AND(F168&lt;&gt;"",K168&lt;&gt;""),K168-F168,"")</f>
        <v/>
      </c>
    </row>
    <row r="169">
      <c r="A169" s="18" t="inlineStr">
        <is>
          <t>A1689</t>
        </is>
      </c>
      <c r="B169" s="18">
        <f>IFERROR(INDEX('Schedule_Data_Option_A'!D:D,MATCH($A169,'Schedule_Data_Option_A'!$C:$C,0)),"")</f>
        <v/>
      </c>
      <c r="C169" s="18">
        <f>IFERROR(INDEX('Schedule_Data_Option_A'!E:E,MATCH($A169,'Schedule_Data_Option_A'!$C:$C,0)),"")</f>
        <v/>
      </c>
      <c r="D169" s="20">
        <f>IFERROR(INDEX('Schedule_Data_Option_A'!G:G,MATCH($A169,'Schedule_Data_Option_A'!$C:$C,0)),"")</f>
        <v/>
      </c>
      <c r="E169" s="20">
        <f>IFERROR(INDEX('Schedule_Data_Option_A'!H:H,MATCH($A169,'Schedule_Data_Option_A'!$C:$C,0)),"")</f>
        <v/>
      </c>
      <c r="F169" s="18">
        <f>IFERROR(INDEX('Schedule_Data_Option_A'!I:I,MATCH($A169,'Schedule_Data_Option_A'!$C:$C,0)),"")</f>
        <v/>
      </c>
      <c r="G169" s="18">
        <f>IFERROR(INDEX('Schedule_Data_Option_B'!D:D,MATCH($A169,'Schedule_Data_Option_B'!$C:$C,0)),"")</f>
        <v/>
      </c>
      <c r="H169" s="18">
        <f>IFERROR(INDEX('Schedule_Data_Option_B'!E:E,MATCH($A169,'Schedule_Data_Option_B'!$C:$C,0)),"")</f>
        <v/>
      </c>
      <c r="I169" s="20">
        <f>IFERROR(INDEX('Schedule_Data_Option_B'!G:G,MATCH($A169,'Schedule_Data_Option_B'!$C:$C,0)),"")</f>
        <v/>
      </c>
      <c r="J169" s="20">
        <f>IFERROR(INDEX('Schedule_Data_Option_B'!H:H,MATCH($A169,'Schedule_Data_Option_B'!$C:$C,0)),"")</f>
        <v/>
      </c>
      <c r="K169" s="18">
        <f>IFERROR(INDEX('Schedule_Data_Option_B'!I:I,MATCH($A169,'Schedule_Data_Option_B'!$C:$C,0)),"")</f>
        <v/>
      </c>
      <c r="L169" s="45">
        <f>IF(AND(D169&lt;&gt;"",I169&lt;&gt;""),I169-D169,"")</f>
        <v/>
      </c>
      <c r="M169" s="45">
        <f>IF(AND(E169&lt;&gt;"",J169&lt;&gt;""),J169-E169,"")</f>
        <v/>
      </c>
      <c r="N169" s="45">
        <f>IF(AND(F169&lt;&gt;"",K169&lt;&gt;""),K169-F169,"")</f>
        <v/>
      </c>
    </row>
    <row r="170">
      <c r="A170" s="18" t="inlineStr">
        <is>
          <t>A1699</t>
        </is>
      </c>
      <c r="B170" s="18">
        <f>IFERROR(INDEX('Schedule_Data_Option_A'!D:D,MATCH($A170,'Schedule_Data_Option_A'!$C:$C,0)),"")</f>
        <v/>
      </c>
      <c r="C170" s="18">
        <f>IFERROR(INDEX('Schedule_Data_Option_A'!E:E,MATCH($A170,'Schedule_Data_Option_A'!$C:$C,0)),"")</f>
        <v/>
      </c>
      <c r="D170" s="20">
        <f>IFERROR(INDEX('Schedule_Data_Option_A'!G:G,MATCH($A170,'Schedule_Data_Option_A'!$C:$C,0)),"")</f>
        <v/>
      </c>
      <c r="E170" s="20">
        <f>IFERROR(INDEX('Schedule_Data_Option_A'!H:H,MATCH($A170,'Schedule_Data_Option_A'!$C:$C,0)),"")</f>
        <v/>
      </c>
      <c r="F170" s="18">
        <f>IFERROR(INDEX('Schedule_Data_Option_A'!I:I,MATCH($A170,'Schedule_Data_Option_A'!$C:$C,0)),"")</f>
        <v/>
      </c>
      <c r="G170" s="18">
        <f>IFERROR(INDEX('Schedule_Data_Option_B'!D:D,MATCH($A170,'Schedule_Data_Option_B'!$C:$C,0)),"")</f>
        <v/>
      </c>
      <c r="H170" s="18">
        <f>IFERROR(INDEX('Schedule_Data_Option_B'!E:E,MATCH($A170,'Schedule_Data_Option_B'!$C:$C,0)),"")</f>
        <v/>
      </c>
      <c r="I170" s="20">
        <f>IFERROR(INDEX('Schedule_Data_Option_B'!G:G,MATCH($A170,'Schedule_Data_Option_B'!$C:$C,0)),"")</f>
        <v/>
      </c>
      <c r="J170" s="20">
        <f>IFERROR(INDEX('Schedule_Data_Option_B'!H:H,MATCH($A170,'Schedule_Data_Option_B'!$C:$C,0)),"")</f>
        <v/>
      </c>
      <c r="K170" s="18">
        <f>IFERROR(INDEX('Schedule_Data_Option_B'!I:I,MATCH($A170,'Schedule_Data_Option_B'!$C:$C,0)),"")</f>
        <v/>
      </c>
      <c r="L170" s="45">
        <f>IF(AND(D170&lt;&gt;"",I170&lt;&gt;""),I170-D170,"")</f>
        <v/>
      </c>
      <c r="M170" s="45">
        <f>IF(AND(E170&lt;&gt;"",J170&lt;&gt;""),J170-E170,"")</f>
        <v/>
      </c>
      <c r="N170" s="45">
        <f>IF(AND(F170&lt;&gt;"",K170&lt;&gt;""),K170-F170,"")</f>
        <v/>
      </c>
    </row>
    <row r="171">
      <c r="A171" s="18" t="inlineStr">
        <is>
          <t>A1709</t>
        </is>
      </c>
      <c r="B171" s="18">
        <f>IFERROR(INDEX('Schedule_Data_Option_A'!D:D,MATCH($A171,'Schedule_Data_Option_A'!$C:$C,0)),"")</f>
        <v/>
      </c>
      <c r="C171" s="18">
        <f>IFERROR(INDEX('Schedule_Data_Option_A'!E:E,MATCH($A171,'Schedule_Data_Option_A'!$C:$C,0)),"")</f>
        <v/>
      </c>
      <c r="D171" s="20">
        <f>IFERROR(INDEX('Schedule_Data_Option_A'!G:G,MATCH($A171,'Schedule_Data_Option_A'!$C:$C,0)),"")</f>
        <v/>
      </c>
      <c r="E171" s="20">
        <f>IFERROR(INDEX('Schedule_Data_Option_A'!H:H,MATCH($A171,'Schedule_Data_Option_A'!$C:$C,0)),"")</f>
        <v/>
      </c>
      <c r="F171" s="18">
        <f>IFERROR(INDEX('Schedule_Data_Option_A'!I:I,MATCH($A171,'Schedule_Data_Option_A'!$C:$C,0)),"")</f>
        <v/>
      </c>
      <c r="G171" s="18">
        <f>IFERROR(INDEX('Schedule_Data_Option_B'!D:D,MATCH($A171,'Schedule_Data_Option_B'!$C:$C,0)),"")</f>
        <v/>
      </c>
      <c r="H171" s="18">
        <f>IFERROR(INDEX('Schedule_Data_Option_B'!E:E,MATCH($A171,'Schedule_Data_Option_B'!$C:$C,0)),"")</f>
        <v/>
      </c>
      <c r="I171" s="20">
        <f>IFERROR(INDEX('Schedule_Data_Option_B'!G:G,MATCH($A171,'Schedule_Data_Option_B'!$C:$C,0)),"")</f>
        <v/>
      </c>
      <c r="J171" s="20">
        <f>IFERROR(INDEX('Schedule_Data_Option_B'!H:H,MATCH($A171,'Schedule_Data_Option_B'!$C:$C,0)),"")</f>
        <v/>
      </c>
      <c r="K171" s="18">
        <f>IFERROR(INDEX('Schedule_Data_Option_B'!I:I,MATCH($A171,'Schedule_Data_Option_B'!$C:$C,0)),"")</f>
        <v/>
      </c>
      <c r="L171" s="45">
        <f>IF(AND(D171&lt;&gt;"",I171&lt;&gt;""),I171-D171,"")</f>
        <v/>
      </c>
      <c r="M171" s="45">
        <f>IF(AND(E171&lt;&gt;"",J171&lt;&gt;""),J171-E171,"")</f>
        <v/>
      </c>
      <c r="N171" s="45">
        <f>IF(AND(F171&lt;&gt;"",K171&lt;&gt;""),K171-F171,"")</f>
        <v/>
      </c>
    </row>
    <row r="172">
      <c r="A172" s="18" t="inlineStr">
        <is>
          <t>A1719</t>
        </is>
      </c>
      <c r="B172" s="18">
        <f>IFERROR(INDEX('Schedule_Data_Option_A'!D:D,MATCH($A172,'Schedule_Data_Option_A'!$C:$C,0)),"")</f>
        <v/>
      </c>
      <c r="C172" s="18">
        <f>IFERROR(INDEX('Schedule_Data_Option_A'!E:E,MATCH($A172,'Schedule_Data_Option_A'!$C:$C,0)),"")</f>
        <v/>
      </c>
      <c r="D172" s="20">
        <f>IFERROR(INDEX('Schedule_Data_Option_A'!G:G,MATCH($A172,'Schedule_Data_Option_A'!$C:$C,0)),"")</f>
        <v/>
      </c>
      <c r="E172" s="20">
        <f>IFERROR(INDEX('Schedule_Data_Option_A'!H:H,MATCH($A172,'Schedule_Data_Option_A'!$C:$C,0)),"")</f>
        <v/>
      </c>
      <c r="F172" s="18">
        <f>IFERROR(INDEX('Schedule_Data_Option_A'!I:I,MATCH($A172,'Schedule_Data_Option_A'!$C:$C,0)),"")</f>
        <v/>
      </c>
      <c r="G172" s="18">
        <f>IFERROR(INDEX('Schedule_Data_Option_B'!D:D,MATCH($A172,'Schedule_Data_Option_B'!$C:$C,0)),"")</f>
        <v/>
      </c>
      <c r="H172" s="18">
        <f>IFERROR(INDEX('Schedule_Data_Option_B'!E:E,MATCH($A172,'Schedule_Data_Option_B'!$C:$C,0)),"")</f>
        <v/>
      </c>
      <c r="I172" s="20">
        <f>IFERROR(INDEX('Schedule_Data_Option_B'!G:G,MATCH($A172,'Schedule_Data_Option_B'!$C:$C,0)),"")</f>
        <v/>
      </c>
      <c r="J172" s="20">
        <f>IFERROR(INDEX('Schedule_Data_Option_B'!H:H,MATCH($A172,'Schedule_Data_Option_B'!$C:$C,0)),"")</f>
        <v/>
      </c>
      <c r="K172" s="18">
        <f>IFERROR(INDEX('Schedule_Data_Option_B'!I:I,MATCH($A172,'Schedule_Data_Option_B'!$C:$C,0)),"")</f>
        <v/>
      </c>
      <c r="L172" s="45">
        <f>IF(AND(D172&lt;&gt;"",I172&lt;&gt;""),I172-D172,"")</f>
        <v/>
      </c>
      <c r="M172" s="45">
        <f>IF(AND(E172&lt;&gt;"",J172&lt;&gt;""),J172-E172,"")</f>
        <v/>
      </c>
      <c r="N172" s="45">
        <f>IF(AND(F172&lt;&gt;"",K172&lt;&gt;""),K172-F172,"")</f>
        <v/>
      </c>
    </row>
    <row r="173">
      <c r="A173" s="18" t="inlineStr">
        <is>
          <t>A1729</t>
        </is>
      </c>
      <c r="B173" s="18">
        <f>IFERROR(INDEX('Schedule_Data_Option_A'!D:D,MATCH($A173,'Schedule_Data_Option_A'!$C:$C,0)),"")</f>
        <v/>
      </c>
      <c r="C173" s="18">
        <f>IFERROR(INDEX('Schedule_Data_Option_A'!E:E,MATCH($A173,'Schedule_Data_Option_A'!$C:$C,0)),"")</f>
        <v/>
      </c>
      <c r="D173" s="20">
        <f>IFERROR(INDEX('Schedule_Data_Option_A'!G:G,MATCH($A173,'Schedule_Data_Option_A'!$C:$C,0)),"")</f>
        <v/>
      </c>
      <c r="E173" s="20">
        <f>IFERROR(INDEX('Schedule_Data_Option_A'!H:H,MATCH($A173,'Schedule_Data_Option_A'!$C:$C,0)),"")</f>
        <v/>
      </c>
      <c r="F173" s="18">
        <f>IFERROR(INDEX('Schedule_Data_Option_A'!I:I,MATCH($A173,'Schedule_Data_Option_A'!$C:$C,0)),"")</f>
        <v/>
      </c>
      <c r="G173" s="18">
        <f>IFERROR(INDEX('Schedule_Data_Option_B'!D:D,MATCH($A173,'Schedule_Data_Option_B'!$C:$C,0)),"")</f>
        <v/>
      </c>
      <c r="H173" s="18">
        <f>IFERROR(INDEX('Schedule_Data_Option_B'!E:E,MATCH($A173,'Schedule_Data_Option_B'!$C:$C,0)),"")</f>
        <v/>
      </c>
      <c r="I173" s="20">
        <f>IFERROR(INDEX('Schedule_Data_Option_B'!G:G,MATCH($A173,'Schedule_Data_Option_B'!$C:$C,0)),"")</f>
        <v/>
      </c>
      <c r="J173" s="20">
        <f>IFERROR(INDEX('Schedule_Data_Option_B'!H:H,MATCH($A173,'Schedule_Data_Option_B'!$C:$C,0)),"")</f>
        <v/>
      </c>
      <c r="K173" s="18">
        <f>IFERROR(INDEX('Schedule_Data_Option_B'!I:I,MATCH($A173,'Schedule_Data_Option_B'!$C:$C,0)),"")</f>
        <v/>
      </c>
      <c r="L173" s="45">
        <f>IF(AND(D173&lt;&gt;"",I173&lt;&gt;""),I173-D173,"")</f>
        <v/>
      </c>
      <c r="M173" s="45">
        <f>IF(AND(E173&lt;&gt;"",J173&lt;&gt;""),J173-E173,"")</f>
        <v/>
      </c>
      <c r="N173" s="45">
        <f>IF(AND(F173&lt;&gt;"",K173&lt;&gt;""),K173-F173,"")</f>
        <v/>
      </c>
    </row>
    <row r="174">
      <c r="A174" s="18" t="inlineStr">
        <is>
          <t>A1739</t>
        </is>
      </c>
      <c r="B174" s="18">
        <f>IFERROR(INDEX('Schedule_Data_Option_A'!D:D,MATCH($A174,'Schedule_Data_Option_A'!$C:$C,0)),"")</f>
        <v/>
      </c>
      <c r="C174" s="18">
        <f>IFERROR(INDEX('Schedule_Data_Option_A'!E:E,MATCH($A174,'Schedule_Data_Option_A'!$C:$C,0)),"")</f>
        <v/>
      </c>
      <c r="D174" s="20">
        <f>IFERROR(INDEX('Schedule_Data_Option_A'!G:G,MATCH($A174,'Schedule_Data_Option_A'!$C:$C,0)),"")</f>
        <v/>
      </c>
      <c r="E174" s="20">
        <f>IFERROR(INDEX('Schedule_Data_Option_A'!H:H,MATCH($A174,'Schedule_Data_Option_A'!$C:$C,0)),"")</f>
        <v/>
      </c>
      <c r="F174" s="18">
        <f>IFERROR(INDEX('Schedule_Data_Option_A'!I:I,MATCH($A174,'Schedule_Data_Option_A'!$C:$C,0)),"")</f>
        <v/>
      </c>
      <c r="G174" s="18">
        <f>IFERROR(INDEX('Schedule_Data_Option_B'!D:D,MATCH($A174,'Schedule_Data_Option_B'!$C:$C,0)),"")</f>
        <v/>
      </c>
      <c r="H174" s="18">
        <f>IFERROR(INDEX('Schedule_Data_Option_B'!E:E,MATCH($A174,'Schedule_Data_Option_B'!$C:$C,0)),"")</f>
        <v/>
      </c>
      <c r="I174" s="20">
        <f>IFERROR(INDEX('Schedule_Data_Option_B'!G:G,MATCH($A174,'Schedule_Data_Option_B'!$C:$C,0)),"")</f>
        <v/>
      </c>
      <c r="J174" s="20">
        <f>IFERROR(INDEX('Schedule_Data_Option_B'!H:H,MATCH($A174,'Schedule_Data_Option_B'!$C:$C,0)),"")</f>
        <v/>
      </c>
      <c r="K174" s="18">
        <f>IFERROR(INDEX('Schedule_Data_Option_B'!I:I,MATCH($A174,'Schedule_Data_Option_B'!$C:$C,0)),"")</f>
        <v/>
      </c>
      <c r="L174" s="45">
        <f>IF(AND(D174&lt;&gt;"",I174&lt;&gt;""),I174-D174,"")</f>
        <v/>
      </c>
      <c r="M174" s="45">
        <f>IF(AND(E174&lt;&gt;"",J174&lt;&gt;""),J174-E174,"")</f>
        <v/>
      </c>
      <c r="N174" s="45">
        <f>IF(AND(F174&lt;&gt;"",K174&lt;&gt;""),K174-F174,"")</f>
        <v/>
      </c>
    </row>
    <row r="175">
      <c r="A175" s="18" t="inlineStr">
        <is>
          <t>A1749</t>
        </is>
      </c>
      <c r="B175" s="18">
        <f>IFERROR(INDEX('Schedule_Data_Option_A'!D:D,MATCH($A175,'Schedule_Data_Option_A'!$C:$C,0)),"")</f>
        <v/>
      </c>
      <c r="C175" s="18">
        <f>IFERROR(INDEX('Schedule_Data_Option_A'!E:E,MATCH($A175,'Schedule_Data_Option_A'!$C:$C,0)),"")</f>
        <v/>
      </c>
      <c r="D175" s="20">
        <f>IFERROR(INDEX('Schedule_Data_Option_A'!G:G,MATCH($A175,'Schedule_Data_Option_A'!$C:$C,0)),"")</f>
        <v/>
      </c>
      <c r="E175" s="20">
        <f>IFERROR(INDEX('Schedule_Data_Option_A'!H:H,MATCH($A175,'Schedule_Data_Option_A'!$C:$C,0)),"")</f>
        <v/>
      </c>
      <c r="F175" s="18">
        <f>IFERROR(INDEX('Schedule_Data_Option_A'!I:I,MATCH($A175,'Schedule_Data_Option_A'!$C:$C,0)),"")</f>
        <v/>
      </c>
      <c r="G175" s="18">
        <f>IFERROR(INDEX('Schedule_Data_Option_B'!D:D,MATCH($A175,'Schedule_Data_Option_B'!$C:$C,0)),"")</f>
        <v/>
      </c>
      <c r="H175" s="18">
        <f>IFERROR(INDEX('Schedule_Data_Option_B'!E:E,MATCH($A175,'Schedule_Data_Option_B'!$C:$C,0)),"")</f>
        <v/>
      </c>
      <c r="I175" s="20">
        <f>IFERROR(INDEX('Schedule_Data_Option_B'!G:G,MATCH($A175,'Schedule_Data_Option_B'!$C:$C,0)),"")</f>
        <v/>
      </c>
      <c r="J175" s="20">
        <f>IFERROR(INDEX('Schedule_Data_Option_B'!H:H,MATCH($A175,'Schedule_Data_Option_B'!$C:$C,0)),"")</f>
        <v/>
      </c>
      <c r="K175" s="18">
        <f>IFERROR(INDEX('Schedule_Data_Option_B'!I:I,MATCH($A175,'Schedule_Data_Option_B'!$C:$C,0)),"")</f>
        <v/>
      </c>
      <c r="L175" s="45">
        <f>IF(AND(D175&lt;&gt;"",I175&lt;&gt;""),I175-D175,"")</f>
        <v/>
      </c>
      <c r="M175" s="45">
        <f>IF(AND(E175&lt;&gt;"",J175&lt;&gt;""),J175-E175,"")</f>
        <v/>
      </c>
      <c r="N175" s="45">
        <f>IF(AND(F175&lt;&gt;"",K175&lt;&gt;""),K175-F175,"")</f>
        <v/>
      </c>
    </row>
    <row r="176">
      <c r="A176" s="18" t="inlineStr">
        <is>
          <t>A1759</t>
        </is>
      </c>
      <c r="B176" s="18">
        <f>IFERROR(INDEX('Schedule_Data_Option_A'!D:D,MATCH($A176,'Schedule_Data_Option_A'!$C:$C,0)),"")</f>
        <v/>
      </c>
      <c r="C176" s="18">
        <f>IFERROR(INDEX('Schedule_Data_Option_A'!E:E,MATCH($A176,'Schedule_Data_Option_A'!$C:$C,0)),"")</f>
        <v/>
      </c>
      <c r="D176" s="20">
        <f>IFERROR(INDEX('Schedule_Data_Option_A'!G:G,MATCH($A176,'Schedule_Data_Option_A'!$C:$C,0)),"")</f>
        <v/>
      </c>
      <c r="E176" s="20">
        <f>IFERROR(INDEX('Schedule_Data_Option_A'!H:H,MATCH($A176,'Schedule_Data_Option_A'!$C:$C,0)),"")</f>
        <v/>
      </c>
      <c r="F176" s="18">
        <f>IFERROR(INDEX('Schedule_Data_Option_A'!I:I,MATCH($A176,'Schedule_Data_Option_A'!$C:$C,0)),"")</f>
        <v/>
      </c>
      <c r="G176" s="18">
        <f>IFERROR(INDEX('Schedule_Data_Option_B'!D:D,MATCH($A176,'Schedule_Data_Option_B'!$C:$C,0)),"")</f>
        <v/>
      </c>
      <c r="H176" s="18">
        <f>IFERROR(INDEX('Schedule_Data_Option_B'!E:E,MATCH($A176,'Schedule_Data_Option_B'!$C:$C,0)),"")</f>
        <v/>
      </c>
      <c r="I176" s="20">
        <f>IFERROR(INDEX('Schedule_Data_Option_B'!G:G,MATCH($A176,'Schedule_Data_Option_B'!$C:$C,0)),"")</f>
        <v/>
      </c>
      <c r="J176" s="20">
        <f>IFERROR(INDEX('Schedule_Data_Option_B'!H:H,MATCH($A176,'Schedule_Data_Option_B'!$C:$C,0)),"")</f>
        <v/>
      </c>
      <c r="K176" s="18">
        <f>IFERROR(INDEX('Schedule_Data_Option_B'!I:I,MATCH($A176,'Schedule_Data_Option_B'!$C:$C,0)),"")</f>
        <v/>
      </c>
      <c r="L176" s="45">
        <f>IF(AND(D176&lt;&gt;"",I176&lt;&gt;""),I176-D176,"")</f>
        <v/>
      </c>
      <c r="M176" s="45">
        <f>IF(AND(E176&lt;&gt;"",J176&lt;&gt;""),J176-E176,"")</f>
        <v/>
      </c>
      <c r="N176" s="45">
        <f>IF(AND(F176&lt;&gt;"",K176&lt;&gt;""),K176-F176,"")</f>
        <v/>
      </c>
    </row>
    <row r="177">
      <c r="A177" s="18" t="inlineStr">
        <is>
          <t>A1769</t>
        </is>
      </c>
      <c r="B177" s="18">
        <f>IFERROR(INDEX('Schedule_Data_Option_A'!D:D,MATCH($A177,'Schedule_Data_Option_A'!$C:$C,0)),"")</f>
        <v/>
      </c>
      <c r="C177" s="18">
        <f>IFERROR(INDEX('Schedule_Data_Option_A'!E:E,MATCH($A177,'Schedule_Data_Option_A'!$C:$C,0)),"")</f>
        <v/>
      </c>
      <c r="D177" s="20">
        <f>IFERROR(INDEX('Schedule_Data_Option_A'!G:G,MATCH($A177,'Schedule_Data_Option_A'!$C:$C,0)),"")</f>
        <v/>
      </c>
      <c r="E177" s="20">
        <f>IFERROR(INDEX('Schedule_Data_Option_A'!H:H,MATCH($A177,'Schedule_Data_Option_A'!$C:$C,0)),"")</f>
        <v/>
      </c>
      <c r="F177" s="18">
        <f>IFERROR(INDEX('Schedule_Data_Option_A'!I:I,MATCH($A177,'Schedule_Data_Option_A'!$C:$C,0)),"")</f>
        <v/>
      </c>
      <c r="G177" s="18">
        <f>IFERROR(INDEX('Schedule_Data_Option_B'!D:D,MATCH($A177,'Schedule_Data_Option_B'!$C:$C,0)),"")</f>
        <v/>
      </c>
      <c r="H177" s="18">
        <f>IFERROR(INDEX('Schedule_Data_Option_B'!E:E,MATCH($A177,'Schedule_Data_Option_B'!$C:$C,0)),"")</f>
        <v/>
      </c>
      <c r="I177" s="20">
        <f>IFERROR(INDEX('Schedule_Data_Option_B'!G:G,MATCH($A177,'Schedule_Data_Option_B'!$C:$C,0)),"")</f>
        <v/>
      </c>
      <c r="J177" s="20">
        <f>IFERROR(INDEX('Schedule_Data_Option_B'!H:H,MATCH($A177,'Schedule_Data_Option_B'!$C:$C,0)),"")</f>
        <v/>
      </c>
      <c r="K177" s="18">
        <f>IFERROR(INDEX('Schedule_Data_Option_B'!I:I,MATCH($A177,'Schedule_Data_Option_B'!$C:$C,0)),"")</f>
        <v/>
      </c>
      <c r="L177" s="45">
        <f>IF(AND(D177&lt;&gt;"",I177&lt;&gt;""),I177-D177,"")</f>
        <v/>
      </c>
      <c r="M177" s="45">
        <f>IF(AND(E177&lt;&gt;"",J177&lt;&gt;""),J177-E177,"")</f>
        <v/>
      </c>
      <c r="N177" s="45">
        <f>IF(AND(F177&lt;&gt;"",K177&lt;&gt;""),K177-F177,"")</f>
        <v/>
      </c>
    </row>
    <row r="178">
      <c r="A178" s="18" t="inlineStr">
        <is>
          <t>A1779</t>
        </is>
      </c>
      <c r="B178" s="18">
        <f>IFERROR(INDEX('Schedule_Data_Option_A'!D:D,MATCH($A178,'Schedule_Data_Option_A'!$C:$C,0)),"")</f>
        <v/>
      </c>
      <c r="C178" s="18">
        <f>IFERROR(INDEX('Schedule_Data_Option_A'!E:E,MATCH($A178,'Schedule_Data_Option_A'!$C:$C,0)),"")</f>
        <v/>
      </c>
      <c r="D178" s="20">
        <f>IFERROR(INDEX('Schedule_Data_Option_A'!G:G,MATCH($A178,'Schedule_Data_Option_A'!$C:$C,0)),"")</f>
        <v/>
      </c>
      <c r="E178" s="20">
        <f>IFERROR(INDEX('Schedule_Data_Option_A'!H:H,MATCH($A178,'Schedule_Data_Option_A'!$C:$C,0)),"")</f>
        <v/>
      </c>
      <c r="F178" s="18">
        <f>IFERROR(INDEX('Schedule_Data_Option_A'!I:I,MATCH($A178,'Schedule_Data_Option_A'!$C:$C,0)),"")</f>
        <v/>
      </c>
      <c r="G178" s="18">
        <f>IFERROR(INDEX('Schedule_Data_Option_B'!D:D,MATCH($A178,'Schedule_Data_Option_B'!$C:$C,0)),"")</f>
        <v/>
      </c>
      <c r="H178" s="18">
        <f>IFERROR(INDEX('Schedule_Data_Option_B'!E:E,MATCH($A178,'Schedule_Data_Option_B'!$C:$C,0)),"")</f>
        <v/>
      </c>
      <c r="I178" s="20">
        <f>IFERROR(INDEX('Schedule_Data_Option_B'!G:G,MATCH($A178,'Schedule_Data_Option_B'!$C:$C,0)),"")</f>
        <v/>
      </c>
      <c r="J178" s="20">
        <f>IFERROR(INDEX('Schedule_Data_Option_B'!H:H,MATCH($A178,'Schedule_Data_Option_B'!$C:$C,0)),"")</f>
        <v/>
      </c>
      <c r="K178" s="18">
        <f>IFERROR(INDEX('Schedule_Data_Option_B'!I:I,MATCH($A178,'Schedule_Data_Option_B'!$C:$C,0)),"")</f>
        <v/>
      </c>
      <c r="L178" s="45">
        <f>IF(AND(D178&lt;&gt;"",I178&lt;&gt;""),I178-D178,"")</f>
        <v/>
      </c>
      <c r="M178" s="45">
        <f>IF(AND(E178&lt;&gt;"",J178&lt;&gt;""),J178-E178,"")</f>
        <v/>
      </c>
      <c r="N178" s="45">
        <f>IF(AND(F178&lt;&gt;"",K178&lt;&gt;""),K178-F178,"")</f>
        <v/>
      </c>
    </row>
    <row r="179">
      <c r="A179" s="18" t="inlineStr">
        <is>
          <t>A1789</t>
        </is>
      </c>
      <c r="B179" s="18">
        <f>IFERROR(INDEX('Schedule_Data_Option_A'!D:D,MATCH($A179,'Schedule_Data_Option_A'!$C:$C,0)),"")</f>
        <v/>
      </c>
      <c r="C179" s="18">
        <f>IFERROR(INDEX('Schedule_Data_Option_A'!E:E,MATCH($A179,'Schedule_Data_Option_A'!$C:$C,0)),"")</f>
        <v/>
      </c>
      <c r="D179" s="20">
        <f>IFERROR(INDEX('Schedule_Data_Option_A'!G:G,MATCH($A179,'Schedule_Data_Option_A'!$C:$C,0)),"")</f>
        <v/>
      </c>
      <c r="E179" s="20">
        <f>IFERROR(INDEX('Schedule_Data_Option_A'!H:H,MATCH($A179,'Schedule_Data_Option_A'!$C:$C,0)),"")</f>
        <v/>
      </c>
      <c r="F179" s="18">
        <f>IFERROR(INDEX('Schedule_Data_Option_A'!I:I,MATCH($A179,'Schedule_Data_Option_A'!$C:$C,0)),"")</f>
        <v/>
      </c>
      <c r="G179" s="18">
        <f>IFERROR(INDEX('Schedule_Data_Option_B'!D:D,MATCH($A179,'Schedule_Data_Option_B'!$C:$C,0)),"")</f>
        <v/>
      </c>
      <c r="H179" s="18">
        <f>IFERROR(INDEX('Schedule_Data_Option_B'!E:E,MATCH($A179,'Schedule_Data_Option_B'!$C:$C,0)),"")</f>
        <v/>
      </c>
      <c r="I179" s="20">
        <f>IFERROR(INDEX('Schedule_Data_Option_B'!G:G,MATCH($A179,'Schedule_Data_Option_B'!$C:$C,0)),"")</f>
        <v/>
      </c>
      <c r="J179" s="20">
        <f>IFERROR(INDEX('Schedule_Data_Option_B'!H:H,MATCH($A179,'Schedule_Data_Option_B'!$C:$C,0)),"")</f>
        <v/>
      </c>
      <c r="K179" s="18">
        <f>IFERROR(INDEX('Schedule_Data_Option_B'!I:I,MATCH($A179,'Schedule_Data_Option_B'!$C:$C,0)),"")</f>
        <v/>
      </c>
      <c r="L179" s="45">
        <f>IF(AND(D179&lt;&gt;"",I179&lt;&gt;""),I179-D179,"")</f>
        <v/>
      </c>
      <c r="M179" s="45">
        <f>IF(AND(E179&lt;&gt;"",J179&lt;&gt;""),J179-E179,"")</f>
        <v/>
      </c>
      <c r="N179" s="45">
        <f>IF(AND(F179&lt;&gt;"",K179&lt;&gt;""),K179-F179,"")</f>
        <v/>
      </c>
    </row>
    <row r="180">
      <c r="A180" s="18" t="inlineStr">
        <is>
          <t>A1799</t>
        </is>
      </c>
      <c r="B180" s="18">
        <f>IFERROR(INDEX('Schedule_Data_Option_A'!D:D,MATCH($A180,'Schedule_Data_Option_A'!$C:$C,0)),"")</f>
        <v/>
      </c>
      <c r="C180" s="18">
        <f>IFERROR(INDEX('Schedule_Data_Option_A'!E:E,MATCH($A180,'Schedule_Data_Option_A'!$C:$C,0)),"")</f>
        <v/>
      </c>
      <c r="D180" s="20">
        <f>IFERROR(INDEX('Schedule_Data_Option_A'!G:G,MATCH($A180,'Schedule_Data_Option_A'!$C:$C,0)),"")</f>
        <v/>
      </c>
      <c r="E180" s="20">
        <f>IFERROR(INDEX('Schedule_Data_Option_A'!H:H,MATCH($A180,'Schedule_Data_Option_A'!$C:$C,0)),"")</f>
        <v/>
      </c>
      <c r="F180" s="18">
        <f>IFERROR(INDEX('Schedule_Data_Option_A'!I:I,MATCH($A180,'Schedule_Data_Option_A'!$C:$C,0)),"")</f>
        <v/>
      </c>
      <c r="G180" s="18">
        <f>IFERROR(INDEX('Schedule_Data_Option_B'!D:D,MATCH($A180,'Schedule_Data_Option_B'!$C:$C,0)),"")</f>
        <v/>
      </c>
      <c r="H180" s="18">
        <f>IFERROR(INDEX('Schedule_Data_Option_B'!E:E,MATCH($A180,'Schedule_Data_Option_B'!$C:$C,0)),"")</f>
        <v/>
      </c>
      <c r="I180" s="20">
        <f>IFERROR(INDEX('Schedule_Data_Option_B'!G:G,MATCH($A180,'Schedule_Data_Option_B'!$C:$C,0)),"")</f>
        <v/>
      </c>
      <c r="J180" s="20">
        <f>IFERROR(INDEX('Schedule_Data_Option_B'!H:H,MATCH($A180,'Schedule_Data_Option_B'!$C:$C,0)),"")</f>
        <v/>
      </c>
      <c r="K180" s="18">
        <f>IFERROR(INDEX('Schedule_Data_Option_B'!I:I,MATCH($A180,'Schedule_Data_Option_B'!$C:$C,0)),"")</f>
        <v/>
      </c>
      <c r="L180" s="45">
        <f>IF(AND(D180&lt;&gt;"",I180&lt;&gt;""),I180-D180,"")</f>
        <v/>
      </c>
      <c r="M180" s="45">
        <f>IF(AND(E180&lt;&gt;"",J180&lt;&gt;""),J180-E180,"")</f>
        <v/>
      </c>
      <c r="N180" s="45">
        <f>IF(AND(F180&lt;&gt;"",K180&lt;&gt;""),K180-F180,"")</f>
        <v/>
      </c>
    </row>
    <row r="181">
      <c r="A181" s="18" t="inlineStr">
        <is>
          <t>A1809</t>
        </is>
      </c>
      <c r="B181" s="18">
        <f>IFERROR(INDEX('Schedule_Data_Option_A'!D:D,MATCH($A181,'Schedule_Data_Option_A'!$C:$C,0)),"")</f>
        <v/>
      </c>
      <c r="C181" s="18">
        <f>IFERROR(INDEX('Schedule_Data_Option_A'!E:E,MATCH($A181,'Schedule_Data_Option_A'!$C:$C,0)),"")</f>
        <v/>
      </c>
      <c r="D181" s="20">
        <f>IFERROR(INDEX('Schedule_Data_Option_A'!G:G,MATCH($A181,'Schedule_Data_Option_A'!$C:$C,0)),"")</f>
        <v/>
      </c>
      <c r="E181" s="20">
        <f>IFERROR(INDEX('Schedule_Data_Option_A'!H:H,MATCH($A181,'Schedule_Data_Option_A'!$C:$C,0)),"")</f>
        <v/>
      </c>
      <c r="F181" s="18">
        <f>IFERROR(INDEX('Schedule_Data_Option_A'!I:I,MATCH($A181,'Schedule_Data_Option_A'!$C:$C,0)),"")</f>
        <v/>
      </c>
      <c r="G181" s="18">
        <f>IFERROR(INDEX('Schedule_Data_Option_B'!D:D,MATCH($A181,'Schedule_Data_Option_B'!$C:$C,0)),"")</f>
        <v/>
      </c>
      <c r="H181" s="18">
        <f>IFERROR(INDEX('Schedule_Data_Option_B'!E:E,MATCH($A181,'Schedule_Data_Option_B'!$C:$C,0)),"")</f>
        <v/>
      </c>
      <c r="I181" s="20">
        <f>IFERROR(INDEX('Schedule_Data_Option_B'!G:G,MATCH($A181,'Schedule_Data_Option_B'!$C:$C,0)),"")</f>
        <v/>
      </c>
      <c r="J181" s="20">
        <f>IFERROR(INDEX('Schedule_Data_Option_B'!H:H,MATCH($A181,'Schedule_Data_Option_B'!$C:$C,0)),"")</f>
        <v/>
      </c>
      <c r="K181" s="18">
        <f>IFERROR(INDEX('Schedule_Data_Option_B'!I:I,MATCH($A181,'Schedule_Data_Option_B'!$C:$C,0)),"")</f>
        <v/>
      </c>
      <c r="L181" s="45">
        <f>IF(AND(D181&lt;&gt;"",I181&lt;&gt;""),I181-D181,"")</f>
        <v/>
      </c>
      <c r="M181" s="45">
        <f>IF(AND(E181&lt;&gt;"",J181&lt;&gt;""),J181-E181,"")</f>
        <v/>
      </c>
      <c r="N181" s="45">
        <f>IF(AND(F181&lt;&gt;"",K181&lt;&gt;""),K181-F181,"")</f>
        <v/>
      </c>
    </row>
    <row r="182">
      <c r="A182" s="18" t="inlineStr">
        <is>
          <t>A1819</t>
        </is>
      </c>
      <c r="B182" s="18">
        <f>IFERROR(INDEX('Schedule_Data_Option_A'!D:D,MATCH($A182,'Schedule_Data_Option_A'!$C:$C,0)),"")</f>
        <v/>
      </c>
      <c r="C182" s="18">
        <f>IFERROR(INDEX('Schedule_Data_Option_A'!E:E,MATCH($A182,'Schedule_Data_Option_A'!$C:$C,0)),"")</f>
        <v/>
      </c>
      <c r="D182" s="20">
        <f>IFERROR(INDEX('Schedule_Data_Option_A'!G:G,MATCH($A182,'Schedule_Data_Option_A'!$C:$C,0)),"")</f>
        <v/>
      </c>
      <c r="E182" s="20">
        <f>IFERROR(INDEX('Schedule_Data_Option_A'!H:H,MATCH($A182,'Schedule_Data_Option_A'!$C:$C,0)),"")</f>
        <v/>
      </c>
      <c r="F182" s="18">
        <f>IFERROR(INDEX('Schedule_Data_Option_A'!I:I,MATCH($A182,'Schedule_Data_Option_A'!$C:$C,0)),"")</f>
        <v/>
      </c>
      <c r="G182" s="18">
        <f>IFERROR(INDEX('Schedule_Data_Option_B'!D:D,MATCH($A182,'Schedule_Data_Option_B'!$C:$C,0)),"")</f>
        <v/>
      </c>
      <c r="H182" s="18">
        <f>IFERROR(INDEX('Schedule_Data_Option_B'!E:E,MATCH($A182,'Schedule_Data_Option_B'!$C:$C,0)),"")</f>
        <v/>
      </c>
      <c r="I182" s="20">
        <f>IFERROR(INDEX('Schedule_Data_Option_B'!G:G,MATCH($A182,'Schedule_Data_Option_B'!$C:$C,0)),"")</f>
        <v/>
      </c>
      <c r="J182" s="20">
        <f>IFERROR(INDEX('Schedule_Data_Option_B'!H:H,MATCH($A182,'Schedule_Data_Option_B'!$C:$C,0)),"")</f>
        <v/>
      </c>
      <c r="K182" s="18">
        <f>IFERROR(INDEX('Schedule_Data_Option_B'!I:I,MATCH($A182,'Schedule_Data_Option_B'!$C:$C,0)),"")</f>
        <v/>
      </c>
      <c r="L182" s="45">
        <f>IF(AND(D182&lt;&gt;"",I182&lt;&gt;""),I182-D182,"")</f>
        <v/>
      </c>
      <c r="M182" s="45">
        <f>IF(AND(E182&lt;&gt;"",J182&lt;&gt;""),J182-E182,"")</f>
        <v/>
      </c>
      <c r="N182" s="45">
        <f>IF(AND(F182&lt;&gt;"",K182&lt;&gt;""),K182-F182,"")</f>
        <v/>
      </c>
    </row>
    <row r="183">
      <c r="A183" s="18" t="inlineStr">
        <is>
          <t>A1829</t>
        </is>
      </c>
      <c r="B183" s="18">
        <f>IFERROR(INDEX('Schedule_Data_Option_A'!D:D,MATCH($A183,'Schedule_Data_Option_A'!$C:$C,0)),"")</f>
        <v/>
      </c>
      <c r="C183" s="18">
        <f>IFERROR(INDEX('Schedule_Data_Option_A'!E:E,MATCH($A183,'Schedule_Data_Option_A'!$C:$C,0)),"")</f>
        <v/>
      </c>
      <c r="D183" s="20">
        <f>IFERROR(INDEX('Schedule_Data_Option_A'!G:G,MATCH($A183,'Schedule_Data_Option_A'!$C:$C,0)),"")</f>
        <v/>
      </c>
      <c r="E183" s="20">
        <f>IFERROR(INDEX('Schedule_Data_Option_A'!H:H,MATCH($A183,'Schedule_Data_Option_A'!$C:$C,0)),"")</f>
        <v/>
      </c>
      <c r="F183" s="18">
        <f>IFERROR(INDEX('Schedule_Data_Option_A'!I:I,MATCH($A183,'Schedule_Data_Option_A'!$C:$C,0)),"")</f>
        <v/>
      </c>
      <c r="G183" s="18">
        <f>IFERROR(INDEX('Schedule_Data_Option_B'!D:D,MATCH($A183,'Schedule_Data_Option_B'!$C:$C,0)),"")</f>
        <v/>
      </c>
      <c r="H183" s="18">
        <f>IFERROR(INDEX('Schedule_Data_Option_B'!E:E,MATCH($A183,'Schedule_Data_Option_B'!$C:$C,0)),"")</f>
        <v/>
      </c>
      <c r="I183" s="20">
        <f>IFERROR(INDEX('Schedule_Data_Option_B'!G:G,MATCH($A183,'Schedule_Data_Option_B'!$C:$C,0)),"")</f>
        <v/>
      </c>
      <c r="J183" s="20">
        <f>IFERROR(INDEX('Schedule_Data_Option_B'!H:H,MATCH($A183,'Schedule_Data_Option_B'!$C:$C,0)),"")</f>
        <v/>
      </c>
      <c r="K183" s="18">
        <f>IFERROR(INDEX('Schedule_Data_Option_B'!I:I,MATCH($A183,'Schedule_Data_Option_B'!$C:$C,0)),"")</f>
        <v/>
      </c>
      <c r="L183" s="45">
        <f>IF(AND(D183&lt;&gt;"",I183&lt;&gt;""),I183-D183,"")</f>
        <v/>
      </c>
      <c r="M183" s="45">
        <f>IF(AND(E183&lt;&gt;"",J183&lt;&gt;""),J183-E183,"")</f>
        <v/>
      </c>
      <c r="N183" s="45">
        <f>IF(AND(F183&lt;&gt;"",K183&lt;&gt;""),K183-F183,"")</f>
        <v/>
      </c>
    </row>
    <row r="184">
      <c r="A184" s="18" t="inlineStr">
        <is>
          <t>A1839</t>
        </is>
      </c>
      <c r="B184" s="18">
        <f>IFERROR(INDEX('Schedule_Data_Option_A'!D:D,MATCH($A184,'Schedule_Data_Option_A'!$C:$C,0)),"")</f>
        <v/>
      </c>
      <c r="C184" s="18">
        <f>IFERROR(INDEX('Schedule_Data_Option_A'!E:E,MATCH($A184,'Schedule_Data_Option_A'!$C:$C,0)),"")</f>
        <v/>
      </c>
      <c r="D184" s="20">
        <f>IFERROR(INDEX('Schedule_Data_Option_A'!G:G,MATCH($A184,'Schedule_Data_Option_A'!$C:$C,0)),"")</f>
        <v/>
      </c>
      <c r="E184" s="20">
        <f>IFERROR(INDEX('Schedule_Data_Option_A'!H:H,MATCH($A184,'Schedule_Data_Option_A'!$C:$C,0)),"")</f>
        <v/>
      </c>
      <c r="F184" s="18">
        <f>IFERROR(INDEX('Schedule_Data_Option_A'!I:I,MATCH($A184,'Schedule_Data_Option_A'!$C:$C,0)),"")</f>
        <v/>
      </c>
      <c r="G184" s="18">
        <f>IFERROR(INDEX('Schedule_Data_Option_B'!D:D,MATCH($A184,'Schedule_Data_Option_B'!$C:$C,0)),"")</f>
        <v/>
      </c>
      <c r="H184" s="18">
        <f>IFERROR(INDEX('Schedule_Data_Option_B'!E:E,MATCH($A184,'Schedule_Data_Option_B'!$C:$C,0)),"")</f>
        <v/>
      </c>
      <c r="I184" s="20">
        <f>IFERROR(INDEX('Schedule_Data_Option_B'!G:G,MATCH($A184,'Schedule_Data_Option_B'!$C:$C,0)),"")</f>
        <v/>
      </c>
      <c r="J184" s="20">
        <f>IFERROR(INDEX('Schedule_Data_Option_B'!H:H,MATCH($A184,'Schedule_Data_Option_B'!$C:$C,0)),"")</f>
        <v/>
      </c>
      <c r="K184" s="18">
        <f>IFERROR(INDEX('Schedule_Data_Option_B'!I:I,MATCH($A184,'Schedule_Data_Option_B'!$C:$C,0)),"")</f>
        <v/>
      </c>
      <c r="L184" s="45">
        <f>IF(AND(D184&lt;&gt;"",I184&lt;&gt;""),I184-D184,"")</f>
        <v/>
      </c>
      <c r="M184" s="45">
        <f>IF(AND(E184&lt;&gt;"",J184&lt;&gt;""),J184-E184,"")</f>
        <v/>
      </c>
      <c r="N184" s="45">
        <f>IF(AND(F184&lt;&gt;"",K184&lt;&gt;""),K184-F184,"")</f>
        <v/>
      </c>
    </row>
    <row r="185">
      <c r="A185" s="18" t="inlineStr">
        <is>
          <t>A1909</t>
        </is>
      </c>
      <c r="B185" s="18">
        <f>IFERROR(INDEX('Schedule_Data_Option_A'!D:D,MATCH($A185,'Schedule_Data_Option_A'!$C:$C,0)),"")</f>
        <v/>
      </c>
      <c r="C185" s="18">
        <f>IFERROR(INDEX('Schedule_Data_Option_A'!E:E,MATCH($A185,'Schedule_Data_Option_A'!$C:$C,0)),"")</f>
        <v/>
      </c>
      <c r="D185" s="20">
        <f>IFERROR(INDEX('Schedule_Data_Option_A'!G:G,MATCH($A185,'Schedule_Data_Option_A'!$C:$C,0)),"")</f>
        <v/>
      </c>
      <c r="E185" s="20">
        <f>IFERROR(INDEX('Schedule_Data_Option_A'!H:H,MATCH($A185,'Schedule_Data_Option_A'!$C:$C,0)),"")</f>
        <v/>
      </c>
      <c r="F185" s="18">
        <f>IFERROR(INDEX('Schedule_Data_Option_A'!I:I,MATCH($A185,'Schedule_Data_Option_A'!$C:$C,0)),"")</f>
        <v/>
      </c>
      <c r="G185" s="18">
        <f>IFERROR(INDEX('Schedule_Data_Option_B'!D:D,MATCH($A185,'Schedule_Data_Option_B'!$C:$C,0)),"")</f>
        <v/>
      </c>
      <c r="H185" s="18">
        <f>IFERROR(INDEX('Schedule_Data_Option_B'!E:E,MATCH($A185,'Schedule_Data_Option_B'!$C:$C,0)),"")</f>
        <v/>
      </c>
      <c r="I185" s="20">
        <f>IFERROR(INDEX('Schedule_Data_Option_B'!G:G,MATCH($A185,'Schedule_Data_Option_B'!$C:$C,0)),"")</f>
        <v/>
      </c>
      <c r="J185" s="20">
        <f>IFERROR(INDEX('Schedule_Data_Option_B'!H:H,MATCH($A185,'Schedule_Data_Option_B'!$C:$C,0)),"")</f>
        <v/>
      </c>
      <c r="K185" s="18">
        <f>IFERROR(INDEX('Schedule_Data_Option_B'!I:I,MATCH($A185,'Schedule_Data_Option_B'!$C:$C,0)),"")</f>
        <v/>
      </c>
      <c r="L185" s="45">
        <f>IF(AND(D185&lt;&gt;"",I185&lt;&gt;""),I185-D185,"")</f>
        <v/>
      </c>
      <c r="M185" s="45">
        <f>IF(AND(E185&lt;&gt;"",J185&lt;&gt;""),J185-E185,"")</f>
        <v/>
      </c>
      <c r="N185" s="45">
        <f>IF(AND(F185&lt;&gt;"",K185&lt;&gt;""),K185-F185,"")</f>
        <v/>
      </c>
    </row>
    <row r="186">
      <c r="A186" s="18" t="inlineStr">
        <is>
          <t>A1919</t>
        </is>
      </c>
      <c r="B186" s="18">
        <f>IFERROR(INDEX('Schedule_Data_Option_A'!D:D,MATCH($A186,'Schedule_Data_Option_A'!$C:$C,0)),"")</f>
        <v/>
      </c>
      <c r="C186" s="18">
        <f>IFERROR(INDEX('Schedule_Data_Option_A'!E:E,MATCH($A186,'Schedule_Data_Option_A'!$C:$C,0)),"")</f>
        <v/>
      </c>
      <c r="D186" s="20">
        <f>IFERROR(INDEX('Schedule_Data_Option_A'!G:G,MATCH($A186,'Schedule_Data_Option_A'!$C:$C,0)),"")</f>
        <v/>
      </c>
      <c r="E186" s="20">
        <f>IFERROR(INDEX('Schedule_Data_Option_A'!H:H,MATCH($A186,'Schedule_Data_Option_A'!$C:$C,0)),"")</f>
        <v/>
      </c>
      <c r="F186" s="18">
        <f>IFERROR(INDEX('Schedule_Data_Option_A'!I:I,MATCH($A186,'Schedule_Data_Option_A'!$C:$C,0)),"")</f>
        <v/>
      </c>
      <c r="G186" s="18">
        <f>IFERROR(INDEX('Schedule_Data_Option_B'!D:D,MATCH($A186,'Schedule_Data_Option_B'!$C:$C,0)),"")</f>
        <v/>
      </c>
      <c r="H186" s="18">
        <f>IFERROR(INDEX('Schedule_Data_Option_B'!E:E,MATCH($A186,'Schedule_Data_Option_B'!$C:$C,0)),"")</f>
        <v/>
      </c>
      <c r="I186" s="20">
        <f>IFERROR(INDEX('Schedule_Data_Option_B'!G:G,MATCH($A186,'Schedule_Data_Option_B'!$C:$C,0)),"")</f>
        <v/>
      </c>
      <c r="J186" s="20">
        <f>IFERROR(INDEX('Schedule_Data_Option_B'!H:H,MATCH($A186,'Schedule_Data_Option_B'!$C:$C,0)),"")</f>
        <v/>
      </c>
      <c r="K186" s="18">
        <f>IFERROR(INDEX('Schedule_Data_Option_B'!I:I,MATCH($A186,'Schedule_Data_Option_B'!$C:$C,0)),"")</f>
        <v/>
      </c>
      <c r="L186" s="45">
        <f>IF(AND(D186&lt;&gt;"",I186&lt;&gt;""),I186-D186,"")</f>
        <v/>
      </c>
      <c r="M186" s="45">
        <f>IF(AND(E186&lt;&gt;"",J186&lt;&gt;""),J186-E186,"")</f>
        <v/>
      </c>
      <c r="N186" s="45">
        <f>IF(AND(F186&lt;&gt;"",K186&lt;&gt;""),K186-F186,"")</f>
        <v/>
      </c>
    </row>
    <row r="187">
      <c r="A187" s="18" t="inlineStr">
        <is>
          <t>A1929</t>
        </is>
      </c>
      <c r="B187" s="18">
        <f>IFERROR(INDEX('Schedule_Data_Option_A'!D:D,MATCH($A187,'Schedule_Data_Option_A'!$C:$C,0)),"")</f>
        <v/>
      </c>
      <c r="C187" s="18">
        <f>IFERROR(INDEX('Schedule_Data_Option_A'!E:E,MATCH($A187,'Schedule_Data_Option_A'!$C:$C,0)),"")</f>
        <v/>
      </c>
      <c r="D187" s="20">
        <f>IFERROR(INDEX('Schedule_Data_Option_A'!G:G,MATCH($A187,'Schedule_Data_Option_A'!$C:$C,0)),"")</f>
        <v/>
      </c>
      <c r="E187" s="20">
        <f>IFERROR(INDEX('Schedule_Data_Option_A'!H:H,MATCH($A187,'Schedule_Data_Option_A'!$C:$C,0)),"")</f>
        <v/>
      </c>
      <c r="F187" s="18">
        <f>IFERROR(INDEX('Schedule_Data_Option_A'!I:I,MATCH($A187,'Schedule_Data_Option_A'!$C:$C,0)),"")</f>
        <v/>
      </c>
      <c r="G187" s="18">
        <f>IFERROR(INDEX('Schedule_Data_Option_B'!D:D,MATCH($A187,'Schedule_Data_Option_B'!$C:$C,0)),"")</f>
        <v/>
      </c>
      <c r="H187" s="18">
        <f>IFERROR(INDEX('Schedule_Data_Option_B'!E:E,MATCH($A187,'Schedule_Data_Option_B'!$C:$C,0)),"")</f>
        <v/>
      </c>
      <c r="I187" s="20">
        <f>IFERROR(INDEX('Schedule_Data_Option_B'!G:G,MATCH($A187,'Schedule_Data_Option_B'!$C:$C,0)),"")</f>
        <v/>
      </c>
      <c r="J187" s="20">
        <f>IFERROR(INDEX('Schedule_Data_Option_B'!H:H,MATCH($A187,'Schedule_Data_Option_B'!$C:$C,0)),"")</f>
        <v/>
      </c>
      <c r="K187" s="18">
        <f>IFERROR(INDEX('Schedule_Data_Option_B'!I:I,MATCH($A187,'Schedule_Data_Option_B'!$C:$C,0)),"")</f>
        <v/>
      </c>
      <c r="L187" s="45">
        <f>IF(AND(D187&lt;&gt;"",I187&lt;&gt;""),I187-D187,"")</f>
        <v/>
      </c>
      <c r="M187" s="45">
        <f>IF(AND(E187&lt;&gt;"",J187&lt;&gt;""),J187-E187,"")</f>
        <v/>
      </c>
      <c r="N187" s="45">
        <f>IF(AND(F187&lt;&gt;"",K187&lt;&gt;""),K187-F187,"")</f>
        <v/>
      </c>
    </row>
    <row r="188">
      <c r="A188" s="18" t="inlineStr">
        <is>
          <t>A1939</t>
        </is>
      </c>
      <c r="B188" s="18">
        <f>IFERROR(INDEX('Schedule_Data_Option_A'!D:D,MATCH($A188,'Schedule_Data_Option_A'!$C:$C,0)),"")</f>
        <v/>
      </c>
      <c r="C188" s="18">
        <f>IFERROR(INDEX('Schedule_Data_Option_A'!E:E,MATCH($A188,'Schedule_Data_Option_A'!$C:$C,0)),"")</f>
        <v/>
      </c>
      <c r="D188" s="20">
        <f>IFERROR(INDEX('Schedule_Data_Option_A'!G:G,MATCH($A188,'Schedule_Data_Option_A'!$C:$C,0)),"")</f>
        <v/>
      </c>
      <c r="E188" s="20">
        <f>IFERROR(INDEX('Schedule_Data_Option_A'!H:H,MATCH($A188,'Schedule_Data_Option_A'!$C:$C,0)),"")</f>
        <v/>
      </c>
      <c r="F188" s="18">
        <f>IFERROR(INDEX('Schedule_Data_Option_A'!I:I,MATCH($A188,'Schedule_Data_Option_A'!$C:$C,0)),"")</f>
        <v/>
      </c>
      <c r="G188" s="18">
        <f>IFERROR(INDEX('Schedule_Data_Option_B'!D:D,MATCH($A188,'Schedule_Data_Option_B'!$C:$C,0)),"")</f>
        <v/>
      </c>
      <c r="H188" s="18">
        <f>IFERROR(INDEX('Schedule_Data_Option_B'!E:E,MATCH($A188,'Schedule_Data_Option_B'!$C:$C,0)),"")</f>
        <v/>
      </c>
      <c r="I188" s="20">
        <f>IFERROR(INDEX('Schedule_Data_Option_B'!G:G,MATCH($A188,'Schedule_Data_Option_B'!$C:$C,0)),"")</f>
        <v/>
      </c>
      <c r="J188" s="20">
        <f>IFERROR(INDEX('Schedule_Data_Option_B'!H:H,MATCH($A188,'Schedule_Data_Option_B'!$C:$C,0)),"")</f>
        <v/>
      </c>
      <c r="K188" s="18">
        <f>IFERROR(INDEX('Schedule_Data_Option_B'!I:I,MATCH($A188,'Schedule_Data_Option_B'!$C:$C,0)),"")</f>
        <v/>
      </c>
      <c r="L188" s="45">
        <f>IF(AND(D188&lt;&gt;"",I188&lt;&gt;""),I188-D188,"")</f>
        <v/>
      </c>
      <c r="M188" s="45">
        <f>IF(AND(E188&lt;&gt;"",J188&lt;&gt;""),J188-E188,"")</f>
        <v/>
      </c>
      <c r="N188" s="45">
        <f>IF(AND(F188&lt;&gt;"",K188&lt;&gt;""),K188-F188,"")</f>
        <v/>
      </c>
    </row>
    <row r="189">
      <c r="A189" s="18" t="inlineStr">
        <is>
          <t>A1949</t>
        </is>
      </c>
      <c r="B189" s="18">
        <f>IFERROR(INDEX('Schedule_Data_Option_A'!D:D,MATCH($A189,'Schedule_Data_Option_A'!$C:$C,0)),"")</f>
        <v/>
      </c>
      <c r="C189" s="18">
        <f>IFERROR(INDEX('Schedule_Data_Option_A'!E:E,MATCH($A189,'Schedule_Data_Option_A'!$C:$C,0)),"")</f>
        <v/>
      </c>
      <c r="D189" s="20">
        <f>IFERROR(INDEX('Schedule_Data_Option_A'!G:G,MATCH($A189,'Schedule_Data_Option_A'!$C:$C,0)),"")</f>
        <v/>
      </c>
      <c r="E189" s="20">
        <f>IFERROR(INDEX('Schedule_Data_Option_A'!H:H,MATCH($A189,'Schedule_Data_Option_A'!$C:$C,0)),"")</f>
        <v/>
      </c>
      <c r="F189" s="18">
        <f>IFERROR(INDEX('Schedule_Data_Option_A'!I:I,MATCH($A189,'Schedule_Data_Option_A'!$C:$C,0)),"")</f>
        <v/>
      </c>
      <c r="G189" s="18">
        <f>IFERROR(INDEX('Schedule_Data_Option_B'!D:D,MATCH($A189,'Schedule_Data_Option_B'!$C:$C,0)),"")</f>
        <v/>
      </c>
      <c r="H189" s="18">
        <f>IFERROR(INDEX('Schedule_Data_Option_B'!E:E,MATCH($A189,'Schedule_Data_Option_B'!$C:$C,0)),"")</f>
        <v/>
      </c>
      <c r="I189" s="20">
        <f>IFERROR(INDEX('Schedule_Data_Option_B'!G:G,MATCH($A189,'Schedule_Data_Option_B'!$C:$C,0)),"")</f>
        <v/>
      </c>
      <c r="J189" s="20">
        <f>IFERROR(INDEX('Schedule_Data_Option_B'!H:H,MATCH($A189,'Schedule_Data_Option_B'!$C:$C,0)),"")</f>
        <v/>
      </c>
      <c r="K189" s="18">
        <f>IFERROR(INDEX('Schedule_Data_Option_B'!I:I,MATCH($A189,'Schedule_Data_Option_B'!$C:$C,0)),"")</f>
        <v/>
      </c>
      <c r="L189" s="45">
        <f>IF(AND(D189&lt;&gt;"",I189&lt;&gt;""),I189-D189,"")</f>
        <v/>
      </c>
      <c r="M189" s="45">
        <f>IF(AND(E189&lt;&gt;"",J189&lt;&gt;""),J189-E189,"")</f>
        <v/>
      </c>
      <c r="N189" s="45">
        <f>IF(AND(F189&lt;&gt;"",K189&lt;&gt;""),K189-F189,"")</f>
        <v/>
      </c>
    </row>
    <row r="190">
      <c r="A190" s="18" t="inlineStr">
        <is>
          <t>A1969</t>
        </is>
      </c>
      <c r="B190" s="18">
        <f>IFERROR(INDEX('Schedule_Data_Option_A'!D:D,MATCH($A190,'Schedule_Data_Option_A'!$C:$C,0)),"")</f>
        <v/>
      </c>
      <c r="C190" s="18">
        <f>IFERROR(INDEX('Schedule_Data_Option_A'!E:E,MATCH($A190,'Schedule_Data_Option_A'!$C:$C,0)),"")</f>
        <v/>
      </c>
      <c r="D190" s="20">
        <f>IFERROR(INDEX('Schedule_Data_Option_A'!G:G,MATCH($A190,'Schedule_Data_Option_A'!$C:$C,0)),"")</f>
        <v/>
      </c>
      <c r="E190" s="20">
        <f>IFERROR(INDEX('Schedule_Data_Option_A'!H:H,MATCH($A190,'Schedule_Data_Option_A'!$C:$C,0)),"")</f>
        <v/>
      </c>
      <c r="F190" s="18">
        <f>IFERROR(INDEX('Schedule_Data_Option_A'!I:I,MATCH($A190,'Schedule_Data_Option_A'!$C:$C,0)),"")</f>
        <v/>
      </c>
      <c r="G190" s="18">
        <f>IFERROR(INDEX('Schedule_Data_Option_B'!D:D,MATCH($A190,'Schedule_Data_Option_B'!$C:$C,0)),"")</f>
        <v/>
      </c>
      <c r="H190" s="18">
        <f>IFERROR(INDEX('Schedule_Data_Option_B'!E:E,MATCH($A190,'Schedule_Data_Option_B'!$C:$C,0)),"")</f>
        <v/>
      </c>
      <c r="I190" s="20">
        <f>IFERROR(INDEX('Schedule_Data_Option_B'!G:G,MATCH($A190,'Schedule_Data_Option_B'!$C:$C,0)),"")</f>
        <v/>
      </c>
      <c r="J190" s="20">
        <f>IFERROR(INDEX('Schedule_Data_Option_B'!H:H,MATCH($A190,'Schedule_Data_Option_B'!$C:$C,0)),"")</f>
        <v/>
      </c>
      <c r="K190" s="18">
        <f>IFERROR(INDEX('Schedule_Data_Option_B'!I:I,MATCH($A190,'Schedule_Data_Option_B'!$C:$C,0)),"")</f>
        <v/>
      </c>
      <c r="L190" s="45">
        <f>IF(AND(D190&lt;&gt;"",I190&lt;&gt;""),I190-D190,"")</f>
        <v/>
      </c>
      <c r="M190" s="45">
        <f>IF(AND(E190&lt;&gt;"",J190&lt;&gt;""),J190-E190,"")</f>
        <v/>
      </c>
      <c r="N190" s="45">
        <f>IF(AND(F190&lt;&gt;"",K190&lt;&gt;""),K190-F190,"")</f>
        <v/>
      </c>
    </row>
    <row r="191">
      <c r="A191" s="18" t="inlineStr">
        <is>
          <t>A1979</t>
        </is>
      </c>
      <c r="B191" s="18">
        <f>IFERROR(INDEX('Schedule_Data_Option_A'!D:D,MATCH($A191,'Schedule_Data_Option_A'!$C:$C,0)),"")</f>
        <v/>
      </c>
      <c r="C191" s="18">
        <f>IFERROR(INDEX('Schedule_Data_Option_A'!E:E,MATCH($A191,'Schedule_Data_Option_A'!$C:$C,0)),"")</f>
        <v/>
      </c>
      <c r="D191" s="20">
        <f>IFERROR(INDEX('Schedule_Data_Option_A'!G:G,MATCH($A191,'Schedule_Data_Option_A'!$C:$C,0)),"")</f>
        <v/>
      </c>
      <c r="E191" s="20">
        <f>IFERROR(INDEX('Schedule_Data_Option_A'!H:H,MATCH($A191,'Schedule_Data_Option_A'!$C:$C,0)),"")</f>
        <v/>
      </c>
      <c r="F191" s="18">
        <f>IFERROR(INDEX('Schedule_Data_Option_A'!I:I,MATCH($A191,'Schedule_Data_Option_A'!$C:$C,0)),"")</f>
        <v/>
      </c>
      <c r="G191" s="18">
        <f>IFERROR(INDEX('Schedule_Data_Option_B'!D:D,MATCH($A191,'Schedule_Data_Option_B'!$C:$C,0)),"")</f>
        <v/>
      </c>
      <c r="H191" s="18">
        <f>IFERROR(INDEX('Schedule_Data_Option_B'!E:E,MATCH($A191,'Schedule_Data_Option_B'!$C:$C,0)),"")</f>
        <v/>
      </c>
      <c r="I191" s="20">
        <f>IFERROR(INDEX('Schedule_Data_Option_B'!G:G,MATCH($A191,'Schedule_Data_Option_B'!$C:$C,0)),"")</f>
        <v/>
      </c>
      <c r="J191" s="20">
        <f>IFERROR(INDEX('Schedule_Data_Option_B'!H:H,MATCH($A191,'Schedule_Data_Option_B'!$C:$C,0)),"")</f>
        <v/>
      </c>
      <c r="K191" s="18">
        <f>IFERROR(INDEX('Schedule_Data_Option_B'!I:I,MATCH($A191,'Schedule_Data_Option_B'!$C:$C,0)),"")</f>
        <v/>
      </c>
      <c r="L191" s="45">
        <f>IF(AND(D191&lt;&gt;"",I191&lt;&gt;""),I191-D191,"")</f>
        <v/>
      </c>
      <c r="M191" s="45">
        <f>IF(AND(E191&lt;&gt;"",J191&lt;&gt;""),J191-E191,"")</f>
        <v/>
      </c>
      <c r="N191" s="45">
        <f>IF(AND(F191&lt;&gt;"",K191&lt;&gt;""),K191-F191,"")</f>
        <v/>
      </c>
    </row>
    <row r="192">
      <c r="A192" s="18" t="inlineStr">
        <is>
          <t>A1989</t>
        </is>
      </c>
      <c r="B192" s="18">
        <f>IFERROR(INDEX('Schedule_Data_Option_A'!D:D,MATCH($A192,'Schedule_Data_Option_A'!$C:$C,0)),"")</f>
        <v/>
      </c>
      <c r="C192" s="18">
        <f>IFERROR(INDEX('Schedule_Data_Option_A'!E:E,MATCH($A192,'Schedule_Data_Option_A'!$C:$C,0)),"")</f>
        <v/>
      </c>
      <c r="D192" s="20">
        <f>IFERROR(INDEX('Schedule_Data_Option_A'!G:G,MATCH($A192,'Schedule_Data_Option_A'!$C:$C,0)),"")</f>
        <v/>
      </c>
      <c r="E192" s="20">
        <f>IFERROR(INDEX('Schedule_Data_Option_A'!H:H,MATCH($A192,'Schedule_Data_Option_A'!$C:$C,0)),"")</f>
        <v/>
      </c>
      <c r="F192" s="18">
        <f>IFERROR(INDEX('Schedule_Data_Option_A'!I:I,MATCH($A192,'Schedule_Data_Option_A'!$C:$C,0)),"")</f>
        <v/>
      </c>
      <c r="G192" s="18">
        <f>IFERROR(INDEX('Schedule_Data_Option_B'!D:D,MATCH($A192,'Schedule_Data_Option_B'!$C:$C,0)),"")</f>
        <v/>
      </c>
      <c r="H192" s="18">
        <f>IFERROR(INDEX('Schedule_Data_Option_B'!E:E,MATCH($A192,'Schedule_Data_Option_B'!$C:$C,0)),"")</f>
        <v/>
      </c>
      <c r="I192" s="20">
        <f>IFERROR(INDEX('Schedule_Data_Option_B'!G:G,MATCH($A192,'Schedule_Data_Option_B'!$C:$C,0)),"")</f>
        <v/>
      </c>
      <c r="J192" s="20">
        <f>IFERROR(INDEX('Schedule_Data_Option_B'!H:H,MATCH($A192,'Schedule_Data_Option_B'!$C:$C,0)),"")</f>
        <v/>
      </c>
      <c r="K192" s="18">
        <f>IFERROR(INDEX('Schedule_Data_Option_B'!I:I,MATCH($A192,'Schedule_Data_Option_B'!$C:$C,0)),"")</f>
        <v/>
      </c>
      <c r="L192" s="45">
        <f>IF(AND(D192&lt;&gt;"",I192&lt;&gt;""),I192-D192,"")</f>
        <v/>
      </c>
      <c r="M192" s="45">
        <f>IF(AND(E192&lt;&gt;"",J192&lt;&gt;""),J192-E192,"")</f>
        <v/>
      </c>
      <c r="N192" s="45">
        <f>IF(AND(F192&lt;&gt;"",K192&lt;&gt;""),K192-F192,"")</f>
        <v/>
      </c>
    </row>
    <row r="193">
      <c r="A193" s="18" t="inlineStr">
        <is>
          <t>A1999</t>
        </is>
      </c>
      <c r="B193" s="18">
        <f>IFERROR(INDEX('Schedule_Data_Option_A'!D:D,MATCH($A193,'Schedule_Data_Option_A'!$C:$C,0)),"")</f>
        <v/>
      </c>
      <c r="C193" s="18">
        <f>IFERROR(INDEX('Schedule_Data_Option_A'!E:E,MATCH($A193,'Schedule_Data_Option_A'!$C:$C,0)),"")</f>
        <v/>
      </c>
      <c r="D193" s="20">
        <f>IFERROR(INDEX('Schedule_Data_Option_A'!G:G,MATCH($A193,'Schedule_Data_Option_A'!$C:$C,0)),"")</f>
        <v/>
      </c>
      <c r="E193" s="20">
        <f>IFERROR(INDEX('Schedule_Data_Option_A'!H:H,MATCH($A193,'Schedule_Data_Option_A'!$C:$C,0)),"")</f>
        <v/>
      </c>
      <c r="F193" s="18">
        <f>IFERROR(INDEX('Schedule_Data_Option_A'!I:I,MATCH($A193,'Schedule_Data_Option_A'!$C:$C,0)),"")</f>
        <v/>
      </c>
      <c r="G193" s="18">
        <f>IFERROR(INDEX('Schedule_Data_Option_B'!D:D,MATCH($A193,'Schedule_Data_Option_B'!$C:$C,0)),"")</f>
        <v/>
      </c>
      <c r="H193" s="18">
        <f>IFERROR(INDEX('Schedule_Data_Option_B'!E:E,MATCH($A193,'Schedule_Data_Option_B'!$C:$C,0)),"")</f>
        <v/>
      </c>
      <c r="I193" s="20">
        <f>IFERROR(INDEX('Schedule_Data_Option_B'!G:G,MATCH($A193,'Schedule_Data_Option_B'!$C:$C,0)),"")</f>
        <v/>
      </c>
      <c r="J193" s="20">
        <f>IFERROR(INDEX('Schedule_Data_Option_B'!H:H,MATCH($A193,'Schedule_Data_Option_B'!$C:$C,0)),"")</f>
        <v/>
      </c>
      <c r="K193" s="18">
        <f>IFERROR(INDEX('Schedule_Data_Option_B'!I:I,MATCH($A193,'Schedule_Data_Option_B'!$C:$C,0)),"")</f>
        <v/>
      </c>
      <c r="L193" s="45">
        <f>IF(AND(D193&lt;&gt;"",I193&lt;&gt;""),I193-D193,"")</f>
        <v/>
      </c>
      <c r="M193" s="45">
        <f>IF(AND(E193&lt;&gt;"",J193&lt;&gt;""),J193-E193,"")</f>
        <v/>
      </c>
      <c r="N193" s="45">
        <f>IF(AND(F193&lt;&gt;"",K193&lt;&gt;""),K193-F193,"")</f>
        <v/>
      </c>
    </row>
  </sheetData>
  <mergeCells count="1">
    <mergeCell ref="A1:N1"/>
  </mergeCells>
  <conditionalFormatting sqref="L8:N193">
    <cfRule type="cellIs" priority="1" operator="greaterThan" dxfId="0">
      <formula>0</formula>
    </cfRule>
    <cfRule type="cellIs" priority="2" operator="lessThan" dxfId="1">
      <formula>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</cols>
  <sheetData>
    <row r="1">
      <c r="A1" s="49" t="inlineStr">
        <is>
          <t>UAE Winter Weather Analysis - Jan 2026</t>
        </is>
      </c>
    </row>
    <row r="3">
      <c r="A3" s="50" t="inlineStr">
        <is>
          <t>Parameter</t>
        </is>
      </c>
      <c r="B3" s="50" t="inlineStr">
        <is>
          <t>Jan 26-Feb 04</t>
        </is>
      </c>
      <c r="C3" s="50" t="inlineStr">
        <is>
          <t>Feb 05-14</t>
        </is>
      </c>
      <c r="D3" s="50" t="inlineStr">
        <is>
          <t>Feb 15-24</t>
        </is>
      </c>
      <c r="E3" s="50" t="inlineStr">
        <is>
          <t>Feb 25-28</t>
        </is>
      </c>
      <c r="F3" s="50" t="inlineStr">
        <is>
          <t>Notes</t>
        </is>
      </c>
    </row>
    <row r="4">
      <c r="A4" s="18" t="inlineStr">
        <is>
          <t>Avg Wind (kt)</t>
        </is>
      </c>
      <c r="B4" s="18" t="inlineStr">
        <is>
          <t>16-21</t>
        </is>
      </c>
      <c r="C4" s="18" t="inlineStr">
        <is>
          <t>16-21</t>
        </is>
      </c>
      <c r="D4" s="18" t="inlineStr">
        <is>
          <t>16-21</t>
        </is>
      </c>
      <c r="E4" s="18" t="inlineStr">
        <is>
          <t>16-21</t>
        </is>
      </c>
      <c r="F4" s="18" t="inlineStr">
        <is>
          <t>Peak Shamal: Jan 15-Apr 30</t>
        </is>
      </c>
    </row>
    <row r="5">
      <c r="A5" s="18" t="inlineStr">
        <is>
          <t>Max Gust (kt)</t>
        </is>
      </c>
      <c r="B5" s="18" t="inlineStr">
        <is>
          <t>25-30</t>
        </is>
      </c>
      <c r="C5" s="18" t="inlineStr">
        <is>
          <t>25-30</t>
        </is>
      </c>
      <c r="D5" s="18" t="inlineStr">
        <is>
          <t>25-30</t>
        </is>
      </c>
      <c r="E5" s="18" t="inlineStr">
        <is>
          <t>25-30</t>
        </is>
      </c>
      <c r="F5" s="18" t="inlineStr">
        <is>
          <t>NO-GO if &gt;22kt gust</t>
        </is>
      </c>
    </row>
    <row r="6">
      <c r="A6" s="18" t="inlineStr">
        <is>
          <t>Wave Height (m)</t>
        </is>
      </c>
      <c r="B6" s="18" t="inlineStr">
        <is>
          <t>0.8-1.2</t>
        </is>
      </c>
      <c r="C6" s="18" t="inlineStr">
        <is>
          <t>0.8-1.2</t>
        </is>
      </c>
      <c r="D6" s="18" t="inlineStr">
        <is>
          <t>0.8-1.2</t>
        </is>
      </c>
      <c r="E6" s="18" t="inlineStr">
        <is>
          <t>0.8-1.2</t>
        </is>
      </c>
      <c r="F6" s="18" t="inlineStr">
        <is>
          <t>HOLD if &gt;0.8m</t>
        </is>
      </c>
    </row>
    <row r="7">
      <c r="A7" s="18" t="inlineStr">
        <is>
          <t>Visibility (km)</t>
        </is>
      </c>
      <c r="B7" s="18" t="inlineStr">
        <is>
          <t>2-5</t>
        </is>
      </c>
      <c r="C7" s="18" t="inlineStr">
        <is>
          <t>2-5</t>
        </is>
      </c>
      <c r="D7" s="18" t="inlineStr">
        <is>
          <t>2-5</t>
        </is>
      </c>
      <c r="E7" s="18" t="inlineStr">
        <is>
          <t>2-5</t>
        </is>
      </c>
      <c r="F7" s="18" t="inlineStr">
        <is>
          <t>Reduced during Shamal</t>
        </is>
      </c>
    </row>
    <row r="8">
      <c r="A8" s="18" t="inlineStr">
        <is>
          <t>Risk Level</t>
        </is>
      </c>
      <c r="B8" s="43" t="inlineStr">
        <is>
          <t>HIGH</t>
        </is>
      </c>
      <c r="C8" s="43" t="inlineStr">
        <is>
          <t>HIGH</t>
        </is>
      </c>
      <c r="D8" s="43" t="inlineStr">
        <is>
          <t>HIGH</t>
        </is>
      </c>
      <c r="E8" s="43" t="inlineStr">
        <is>
          <t>HIGH</t>
        </is>
      </c>
      <c r="F8" s="18" t="inlineStr"/>
    </row>
    <row r="9">
      <c r="A9" s="18" t="inlineStr">
        <is>
          <t>Recommendation</t>
        </is>
      </c>
      <c r="B9" s="43" t="inlineStr">
        <is>
          <t>NO-GO</t>
        </is>
      </c>
      <c r="C9" s="43" t="inlineStr">
        <is>
          <t>NO-GO</t>
        </is>
      </c>
      <c r="D9" s="43" t="inlineStr">
        <is>
          <t>NO-GO</t>
        </is>
      </c>
      <c r="E9" s="43" t="inlineStr">
        <is>
          <t>NO-GO</t>
        </is>
      </c>
      <c r="F9" s="18" t="inlineStr"/>
    </row>
  </sheetData>
  <mergeCells count="1">
    <mergeCell ref="A1:F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9"/>
  <sheetViews>
    <sheetView workbookViewId="0">
      <selection activeCell="A1" sqref="A1"/>
    </sheetView>
  </sheetViews>
  <sheetFormatPr baseColWidth="8" defaultRowHeight="15"/>
  <cols>
    <col width="20" customWidth="1" min="1" max="1"/>
    <col width="30" customWidth="1" min="2" max="2"/>
  </cols>
  <sheetData>
    <row r="1">
      <c r="A1" s="49" t="inlineStr">
        <is>
          <t>AGI HVDC Transformer Transportation - Project Summary</t>
        </is>
      </c>
    </row>
    <row r="3">
      <c r="A3" s="5" t="inlineStr">
        <is>
          <t>Key Parameters</t>
        </is>
      </c>
      <c r="B3" t="inlineStr"/>
    </row>
    <row r="4">
      <c r="A4" s="51" t="inlineStr">
        <is>
          <t>Total Transformers</t>
        </is>
      </c>
      <c r="B4" t="inlineStr">
        <is>
          <t>7 units (TR1-TR7)</t>
        </is>
      </c>
    </row>
    <row r="5">
      <c r="A5" s="51" t="inlineStr">
        <is>
          <t>Weight per TR</t>
        </is>
      </c>
      <c r="B5" t="inlineStr">
        <is>
          <t>217-271 tons</t>
        </is>
      </c>
    </row>
    <row r="6">
      <c r="A6" s="51" t="inlineStr">
        <is>
          <t>Total Voyages</t>
        </is>
      </c>
      <c r="B6" t="inlineStr">
        <is>
          <t>7 (1 TR per voyage)</t>
        </is>
      </c>
    </row>
    <row r="7">
      <c r="A7" s="51" t="inlineStr">
        <is>
          <t>Jack-down Events</t>
        </is>
      </c>
      <c r="B7" t="inlineStr">
        <is>
          <t>4 (after V2, V4, V6, V7)</t>
        </is>
      </c>
    </row>
    <row r="8">
      <c r="A8" s="51" t="inlineStr">
        <is>
          <t>Vessel</t>
        </is>
      </c>
      <c r="B8" t="inlineStr">
        <is>
          <t>LCT BUSHRA</t>
        </is>
      </c>
    </row>
    <row r="9">
      <c r="A9" s="51" t="inlineStr">
        <is>
          <t>Route</t>
        </is>
      </c>
      <c r="B9" t="inlineStr">
        <is>
          <t>Mina Zayed Port ↔ AGI Site</t>
        </is>
      </c>
    </row>
    <row r="10">
      <c r="A10" s="51" t="inlineStr"/>
      <c r="B10" t="inlineStr"/>
    </row>
    <row r="11">
      <c r="A11" s="5" t="inlineStr">
        <is>
          <t>Schedule Summary</t>
        </is>
      </c>
      <c r="B11" t="inlineStr"/>
    </row>
    <row r="12">
      <c r="A12" s="51" t="inlineStr">
        <is>
          <t>Project Start</t>
        </is>
      </c>
      <c r="B12" s="46">
        <f>PROJECT_START</f>
        <v/>
      </c>
    </row>
    <row r="13">
      <c r="A13" s="51" t="inlineStr">
        <is>
          <t>Target End</t>
        </is>
      </c>
      <c r="B13" s="46">
        <f>TARGET_END</f>
        <v/>
      </c>
    </row>
    <row r="14">
      <c r="A14" s="51" t="inlineStr">
        <is>
          <t>Mobilization</t>
        </is>
      </c>
      <c r="B14" t="inlineStr">
        <is>
          <t>Day -11--10</t>
        </is>
      </c>
    </row>
    <row r="15">
      <c r="A15" s="51" t="inlineStr">
        <is>
          <t>Voyage 1 (TR1 Transport (single))</t>
        </is>
      </c>
      <c r="B15" t="inlineStr">
        <is>
          <t>Day -8--4</t>
        </is>
      </c>
    </row>
    <row r="16">
      <c r="A16" s="51" t="inlineStr">
        <is>
          <t>Voyage 2 (TR2 Transport + JD-1)</t>
        </is>
      </c>
      <c r="B16" t="inlineStr">
        <is>
          <t>Day 0-12</t>
        </is>
      </c>
    </row>
    <row r="17">
      <c r="A17" s="51" t="inlineStr">
        <is>
          <t>Voyage 3 (TR3 Transport)</t>
        </is>
      </c>
      <c r="B17" t="inlineStr">
        <is>
          <t>Day 21-26</t>
        </is>
      </c>
    </row>
    <row r="18">
      <c r="A18" s="51" t="inlineStr">
        <is>
          <t>Voyage 4 (TR4 Transport + JD-2)</t>
        </is>
      </c>
      <c r="B18" t="inlineStr">
        <is>
          <t>Day 28-34</t>
        </is>
      </c>
    </row>
    <row r="19">
      <c r="A19" s="51" t="inlineStr">
        <is>
          <t>Voyage 5 (TR5 Transport)</t>
        </is>
      </c>
      <c r="B19" t="inlineStr">
        <is>
          <t>Day 35-39</t>
        </is>
      </c>
    </row>
    <row r="20">
      <c r="A20" s="51" t="inlineStr">
        <is>
          <t>Voyage 6 (TR6 Transport + JD-3)</t>
        </is>
      </c>
      <c r="B20" t="inlineStr">
        <is>
          <t>Day 42-54</t>
        </is>
      </c>
    </row>
    <row r="21">
      <c r="A21" s="51" t="inlineStr">
        <is>
          <t>Voyage 7 (TR7 Transport + JD-4)</t>
        </is>
      </c>
      <c r="B21" t="inlineStr">
        <is>
          <t>Day 57-67</t>
        </is>
      </c>
    </row>
    <row r="22">
      <c r="A22" s="51" t="inlineStr">
        <is>
          <t>Project Complete</t>
        </is>
      </c>
      <c r="B22" s="46">
        <f>MAX(Schedule_Data_Option_A!H:H,Schedule_Data_Option_B!H:H)</f>
        <v/>
      </c>
    </row>
    <row r="23">
      <c r="A23" s="51" t="inlineStr"/>
      <c r="B23" t="inlineStr"/>
    </row>
    <row r="24">
      <c r="A24" s="5" t="inlineStr">
        <is>
          <t>Weather Constraints</t>
        </is>
      </c>
      <c r="B24" t="inlineStr"/>
    </row>
    <row r="25">
      <c r="A25" s="51" t="inlineStr">
        <is>
          <t>Shamal Period</t>
        </is>
      </c>
      <c r="B25" t="inlineStr">
        <is>
          <t>Jan 15-Apr 30, 2026</t>
        </is>
      </c>
    </row>
    <row r="26">
      <c r="A26" s="51" t="inlineStr">
        <is>
          <t>Tide Requirement</t>
        </is>
      </c>
      <c r="B26" t="inlineStr">
        <is>
          <t>≥1.90m for LO/ARR</t>
        </is>
      </c>
    </row>
    <row r="27">
      <c r="A27" s="51" t="inlineStr">
        <is>
          <t>Wind Limit</t>
        </is>
      </c>
      <c r="B27" t="inlineStr">
        <is>
          <t>≤18kt sustained, ≤22kt gust</t>
        </is>
      </c>
    </row>
    <row r="28">
      <c r="A28" s="51" t="inlineStr">
        <is>
          <t>Wave Limit</t>
        </is>
      </c>
      <c r="B28" t="inlineStr">
        <is>
          <t>≤0.8m (HOLD), ≤1.0m (NO-GO)</t>
        </is>
      </c>
    </row>
    <row r="29">
      <c r="A29" s="51" t="inlineStr">
        <is>
          <t>AGI Draft Limit</t>
        </is>
      </c>
      <c r="B29" t="inlineStr">
        <is>
          <t>≤2.70m forward draft</t>
        </is>
      </c>
    </row>
  </sheetData>
  <mergeCells count="1">
    <mergeCell ref="A1:B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378"/>
  <sheetViews>
    <sheetView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49" t="inlineStr">
        <is>
          <t>📋 VBA 코드 - Alt+F11 → Module에 붙여넣기 → .xlsm으로 저장</t>
        </is>
      </c>
    </row>
    <row r="3">
      <c r="A3" s="52" t="inlineStr">
        <is>
          <t>Option Explicit</t>
        </is>
      </c>
    </row>
    <row r="4">
      <c r="A4" s="52" t="inlineStr"/>
    </row>
    <row r="5">
      <c r="A5" s="52" t="inlineStr">
        <is>
          <t>' ============================================</t>
        </is>
      </c>
    </row>
    <row r="6">
      <c r="A6" s="52" t="inlineStr">
        <is>
          <t>' AGI TR Multi-Scenario Master Gantt - VBA Macros</t>
        </is>
      </c>
    </row>
    <row r="7">
      <c r="A7" s="52" t="inlineStr">
        <is>
          <t>' ============================================</t>
        </is>
      </c>
    </row>
    <row r="8">
      <c r="A8" s="52" t="inlineStr">
        <is>
          <t>' 사용법</t>
        </is>
      </c>
    </row>
    <row r="9">
      <c r="A9" s="52" t="inlineStr">
        <is>
          <t>' 1) Alt+F11 → Module 삽입 → 이 코드 붙여넣기</t>
        </is>
      </c>
    </row>
    <row r="10">
      <c r="A10" s="52" t="inlineStr">
        <is>
          <t>' 2) Control_Panel 시트 코드영역 + ThisWorkbook에도 아래 이벤트 코드 추가</t>
        </is>
      </c>
    </row>
    <row r="11">
      <c r="A11" s="52" t="inlineStr">
        <is>
          <t>' 3) .xlsm으로 저장</t>
        </is>
      </c>
    </row>
    <row r="12">
      <c r="A12" s="52" t="inlineStr">
        <is>
          <t>' ============================================</t>
        </is>
      </c>
    </row>
    <row r="13">
      <c r="A13" s="52" t="inlineStr"/>
    </row>
    <row r="14">
      <c r="A14" s="52" t="inlineStr">
        <is>
          <t>' ----------------------------</t>
        </is>
      </c>
    </row>
    <row r="15">
      <c r="A15" s="52" t="inlineStr">
        <is>
          <t>' App State (성능/안정성)</t>
        </is>
      </c>
    </row>
    <row r="16">
      <c r="A16" s="52" t="inlineStr">
        <is>
          <t>' ----------------------------</t>
        </is>
      </c>
    </row>
    <row r="17">
      <c r="A17" s="52" t="inlineStr">
        <is>
          <t>Private Type TAppState</t>
        </is>
      </c>
    </row>
    <row r="18">
      <c r="A18" s="52" t="inlineStr">
        <is>
          <t xml:space="preserve">    Calculation As XlCalculation</t>
        </is>
      </c>
    </row>
    <row r="19">
      <c r="A19" s="52" t="inlineStr">
        <is>
          <t xml:space="preserve">    ScreenUpdating As Boolean</t>
        </is>
      </c>
    </row>
    <row r="20">
      <c r="A20" s="52" t="inlineStr">
        <is>
          <t xml:space="preserve">    EnableEvents As Boolean</t>
        </is>
      </c>
    </row>
    <row r="21">
      <c r="A21" s="52" t="inlineStr">
        <is>
          <t xml:space="preserve">    DisplayStatusBar As Boolean</t>
        </is>
      </c>
    </row>
    <row r="22">
      <c r="A22" s="52" t="inlineStr">
        <is>
          <t>End Type</t>
        </is>
      </c>
    </row>
    <row r="23">
      <c r="A23" s="52" t="inlineStr"/>
    </row>
    <row r="24">
      <c r="A24" s="52" t="inlineStr">
        <is>
          <t>Private gState As TAppState</t>
        </is>
      </c>
    </row>
    <row r="25">
      <c r="A25" s="52" t="inlineStr"/>
    </row>
    <row r="26">
      <c r="A26" s="52" t="inlineStr">
        <is>
          <t>Private Sub BeginFastMode()</t>
        </is>
      </c>
    </row>
    <row r="27">
      <c r="A27" s="52" t="inlineStr">
        <is>
          <t xml:space="preserve">    With Application</t>
        </is>
      </c>
    </row>
    <row r="28">
      <c r="A28" s="52" t="inlineStr">
        <is>
          <t xml:space="preserve">        gState.Calculation = .Calculation</t>
        </is>
      </c>
    </row>
    <row r="29">
      <c r="A29" s="52" t="inlineStr">
        <is>
          <t xml:space="preserve">        gState.ScreenUpdating = .ScreenUpdating</t>
        </is>
      </c>
    </row>
    <row r="30">
      <c r="A30" s="52" t="inlineStr">
        <is>
          <t xml:space="preserve">        gState.EnableEvents = .EnableEvents</t>
        </is>
      </c>
    </row>
    <row r="31">
      <c r="A31" s="52" t="inlineStr">
        <is>
          <t xml:space="preserve">        gState.DisplayStatusBar = .DisplayStatusBar</t>
        </is>
      </c>
    </row>
    <row r="32">
      <c r="A32" s="52" t="inlineStr"/>
    </row>
    <row r="33">
      <c r="A33" s="52" t="inlineStr">
        <is>
          <t xml:space="preserve">        .ScreenUpdating = False</t>
        </is>
      </c>
    </row>
    <row r="34">
      <c r="A34" s="52" t="inlineStr">
        <is>
          <t xml:space="preserve">        .EnableEvents = False</t>
        </is>
      </c>
    </row>
    <row r="35">
      <c r="A35" s="52" t="inlineStr">
        <is>
          <t xml:space="preserve">        .DisplayStatusBar = True</t>
        </is>
      </c>
    </row>
    <row r="36">
      <c r="A36" s="52" t="inlineStr">
        <is>
          <t xml:space="preserve">        .Calculation = xlCalculationManual</t>
        </is>
      </c>
    </row>
    <row r="37">
      <c r="A37" s="52" t="inlineStr">
        <is>
          <t xml:space="preserve">    End With</t>
        </is>
      </c>
    </row>
    <row r="38">
      <c r="A38" s="52" t="inlineStr">
        <is>
          <t>End Sub</t>
        </is>
      </c>
    </row>
    <row r="39">
      <c r="A39" s="52" t="inlineStr"/>
    </row>
    <row r="40">
      <c r="A40" s="52" t="inlineStr">
        <is>
          <t>Private Sub EndFastMode()</t>
        </is>
      </c>
    </row>
    <row r="41">
      <c r="A41" s="52" t="inlineStr">
        <is>
          <t xml:space="preserve">    With Application</t>
        </is>
      </c>
    </row>
    <row r="42">
      <c r="A42" s="52" t="inlineStr">
        <is>
          <t xml:space="preserve">        .Calculation = gState.Calculation</t>
        </is>
      </c>
    </row>
    <row r="43">
      <c r="A43" s="52" t="inlineStr">
        <is>
          <t xml:space="preserve">        .ScreenUpdating = gState.ScreenUpdating</t>
        </is>
      </c>
    </row>
    <row r="44">
      <c r="A44" s="52" t="inlineStr">
        <is>
          <t xml:space="preserve">        .EnableEvents = gState.EnableEvents</t>
        </is>
      </c>
    </row>
    <row r="45">
      <c r="A45" s="52" t="inlineStr">
        <is>
          <t xml:space="preserve">        .DisplayStatusBar = gState.DisplayStatusBar</t>
        </is>
      </c>
    </row>
    <row r="46">
      <c r="A46" s="52" t="inlineStr">
        <is>
          <t xml:space="preserve">    End With</t>
        </is>
      </c>
    </row>
    <row r="47">
      <c r="A47" s="52" t="inlineStr">
        <is>
          <t>End Sub</t>
        </is>
      </c>
    </row>
    <row r="48">
      <c r="A48" s="52" t="inlineStr"/>
    </row>
    <row r="49">
      <c r="A49" s="52" t="inlineStr">
        <is>
          <t>' 안전장치: 이벤트/계산이 꺼진 채로 남았을 때 수동 복구</t>
        </is>
      </c>
    </row>
    <row r="50">
      <c r="A50" s="52" t="inlineStr">
        <is>
          <t>Public Sub ResetAppState()</t>
        </is>
      </c>
    </row>
    <row r="51">
      <c r="A51" s="52" t="inlineStr">
        <is>
          <t xml:space="preserve">    Application.ScreenUpdating = True</t>
        </is>
      </c>
    </row>
    <row r="52">
      <c r="A52" s="52" t="inlineStr">
        <is>
          <t xml:space="preserve">    Application.EnableEvents = True</t>
        </is>
      </c>
    </row>
    <row r="53">
      <c r="A53" s="52" t="inlineStr">
        <is>
          <t xml:space="preserve">    Application.Calculation = xlCalculationAutomatic</t>
        </is>
      </c>
    </row>
    <row r="54">
      <c r="A54" s="52" t="inlineStr">
        <is>
          <t>End Sub</t>
        </is>
      </c>
    </row>
    <row r="55">
      <c r="A55" s="52" t="inlineStr"/>
    </row>
    <row r="56">
      <c r="A56" s="52" t="inlineStr">
        <is>
          <t>' ----------------------------</t>
        </is>
      </c>
    </row>
    <row r="57">
      <c r="A57" s="52" t="inlineStr">
        <is>
          <t>' Date Coercion (여러 타입의 날짜 대응)</t>
        </is>
      </c>
    </row>
    <row r="58">
      <c r="A58" s="52" t="inlineStr">
        <is>
          <t>' ----------------------------</t>
        </is>
      </c>
    </row>
    <row r="59">
      <c r="A59" s="52" t="inlineStr">
        <is>
          <t>Private Function CoerceDate(ByVal v As Variant, Optional ByVal baseDate As Date = 0) As Date</t>
        </is>
      </c>
    </row>
    <row r="60">
      <c r="A60" s="52" t="inlineStr">
        <is>
          <t xml:space="preserve">    On Error GoTo Fail</t>
        </is>
      </c>
    </row>
    <row r="61">
      <c r="A61" s="52" t="inlineStr"/>
    </row>
    <row r="62">
      <c r="A62" s="52" t="inlineStr">
        <is>
          <t xml:space="preserve">    If IsDate(v) Then</t>
        </is>
      </c>
    </row>
    <row r="63">
      <c r="A63" s="52" t="inlineStr">
        <is>
          <t xml:space="preserve">        CoerceDate = CDate(v)</t>
        </is>
      </c>
    </row>
    <row r="64">
      <c r="A64" s="52" t="inlineStr">
        <is>
          <t xml:space="preserve">        Exit Function</t>
        </is>
      </c>
    </row>
    <row r="65">
      <c r="A65" s="52" t="inlineStr">
        <is>
          <t xml:space="preserve">    End If</t>
        </is>
      </c>
    </row>
    <row r="66">
      <c r="A66" s="52" t="inlineStr"/>
    </row>
    <row r="67">
      <c r="A67" s="52" t="inlineStr">
        <is>
          <t xml:space="preserve">    ' Excel serial number (Double/Long)</t>
        </is>
      </c>
    </row>
    <row r="68">
      <c r="A68" s="52" t="inlineStr">
        <is>
          <t xml:space="preserve">    If IsNumeric(v) Then</t>
        </is>
      </c>
    </row>
    <row r="69">
      <c r="A69" s="52" t="inlineStr">
        <is>
          <t xml:space="preserve">        CoerceDate = DateSerial(1899, 12, 30) + CDbl(v)</t>
        </is>
      </c>
    </row>
    <row r="70">
      <c r="A70" s="52" t="inlineStr">
        <is>
          <t xml:space="preserve">        Exit Function</t>
        </is>
      </c>
    </row>
    <row r="71">
      <c r="A71" s="52" t="inlineStr">
        <is>
          <t xml:space="preserve">    End If</t>
        </is>
      </c>
    </row>
    <row r="72">
      <c r="A72" s="52" t="inlineStr"/>
    </row>
    <row r="73">
      <c r="A73" s="52" t="inlineStr">
        <is>
          <t xml:space="preserve">    Dim s As String</t>
        </is>
      </c>
    </row>
    <row r="74">
      <c r="A74" s="52" t="inlineStr">
        <is>
          <t xml:space="preserve">    s = Trim$(CStr(v))</t>
        </is>
      </c>
    </row>
    <row r="75">
      <c r="A75" s="52" t="inlineStr">
        <is>
          <t xml:space="preserve">    If s = "" Then Exit Function</t>
        </is>
      </c>
    </row>
    <row r="76">
      <c r="A76" s="52" t="inlineStr"/>
    </row>
    <row r="77">
      <c r="A77" s="52" t="inlineStr">
        <is>
          <t xml:space="preserve">    If baseDate = 0 Then baseDate = Date</t>
        </is>
      </c>
    </row>
    <row r="78">
      <c r="A78" s="52" t="inlineStr"/>
    </row>
    <row r="79">
      <c r="A79" s="52" t="inlineStr">
        <is>
          <t xml:space="preserve">    ' dd-mmm (no year) → baseDate 연도 적용</t>
        </is>
      </c>
    </row>
    <row r="80">
      <c r="A80" s="52" t="inlineStr">
        <is>
          <t xml:space="preserve">    If InStr(1, s, "-", vbTextCompare) &gt; 0 And Len(s) &lt;= 6 Then</t>
        </is>
      </c>
    </row>
    <row r="81">
      <c r="A81" s="52" t="inlineStr">
        <is>
          <t xml:space="preserve">        Dim dd As Integer, monText As String</t>
        </is>
      </c>
    </row>
    <row r="82">
      <c r="A82" s="52" t="inlineStr">
        <is>
          <t xml:space="preserve">        dd = CInt(Left$(s, InStr(1, s, "-") - 1))</t>
        </is>
      </c>
    </row>
    <row r="83">
      <c r="A83" s="52" t="inlineStr">
        <is>
          <t xml:space="preserve">        monText = Mid$(s, InStr(1, s, "-") + 1)</t>
        </is>
      </c>
    </row>
    <row r="84">
      <c r="A84" s="52" t="inlineStr">
        <is>
          <t xml:space="preserve">        CoerceDate = DateSerial(Year(baseDate), Month(DateValue("1-" &amp; monText)), dd)</t>
        </is>
      </c>
    </row>
    <row r="85">
      <c r="A85" s="52" t="inlineStr">
        <is>
          <t xml:space="preserve">        Exit Function</t>
        </is>
      </c>
    </row>
    <row r="86">
      <c r="A86" s="52" t="inlineStr">
        <is>
          <t xml:space="preserve">    End If</t>
        </is>
      </c>
    </row>
    <row r="87">
      <c r="A87" s="52" t="inlineStr"/>
    </row>
    <row r="88">
      <c r="A88" s="52" t="inlineStr">
        <is>
          <t xml:space="preserve">    CoerceDate = DateValue(s)</t>
        </is>
      </c>
    </row>
    <row r="89">
      <c r="A89" s="52" t="inlineStr">
        <is>
          <t xml:space="preserve">    Exit Function</t>
        </is>
      </c>
    </row>
    <row r="90">
      <c r="A90" s="52" t="inlineStr"/>
    </row>
    <row r="91">
      <c r="A91" s="52" t="inlineStr">
        <is>
          <t>Fail:</t>
        </is>
      </c>
    </row>
    <row r="92">
      <c r="A92" s="52" t="inlineStr">
        <is>
          <t xml:space="preserve">    CoerceDate = 0</t>
        </is>
      </c>
    </row>
    <row r="93">
      <c r="A93" s="52" t="inlineStr">
        <is>
          <t>End Function</t>
        </is>
      </c>
    </row>
    <row r="94">
      <c r="A94" s="52" t="inlineStr"/>
    </row>
    <row r="95">
      <c r="A95" s="52" t="inlineStr">
        <is>
          <t>' ============================================</t>
        </is>
      </c>
    </row>
    <row r="96">
      <c r="A96" s="52" t="inlineStr">
        <is>
          <t>' 1) 통합 업데이트</t>
        </is>
      </c>
    </row>
    <row r="97">
      <c r="A97" s="52" t="inlineStr">
        <is>
          <t>' ============================================</t>
        </is>
      </c>
    </row>
    <row r="98">
      <c r="A98" s="52" t="inlineStr">
        <is>
          <t>Public Sub UpdateAllScenarios()</t>
        </is>
      </c>
    </row>
    <row r="99">
      <c r="A99" s="52" t="inlineStr">
        <is>
          <t xml:space="preserve">    On Error GoTo CleanUp</t>
        </is>
      </c>
    </row>
    <row r="100">
      <c r="A100" s="52" t="inlineStr">
        <is>
          <t xml:space="preserve">    BeginFastMode</t>
        </is>
      </c>
    </row>
    <row r="101">
      <c r="A101" s="52" t="inlineStr"/>
    </row>
    <row r="102">
      <c r="A102" s="52" t="inlineStr">
        <is>
          <t xml:space="preserve">    ' 계산 먼저</t>
        </is>
      </c>
    </row>
    <row r="103">
      <c r="A103" s="52" t="inlineStr">
        <is>
          <t xml:space="preserve">    Sheets("Schedule_Data_Option_A").Calculate</t>
        </is>
      </c>
    </row>
    <row r="104">
      <c r="A104" s="52" t="inlineStr">
        <is>
          <t xml:space="preserve">    Sheets("Schedule_Data_Option_B").Calculate</t>
        </is>
      </c>
    </row>
    <row r="105">
      <c r="A105" s="52" t="inlineStr">
        <is>
          <t xml:space="preserve">    Sheets("Gantt_Chart_Option_A").Calculate</t>
        </is>
      </c>
    </row>
    <row r="106">
      <c r="A106" s="52" t="inlineStr">
        <is>
          <t xml:space="preserve">    Sheets("Gantt_Chart_Option_B").Calculate</t>
        </is>
      </c>
    </row>
    <row r="107">
      <c r="A107" s="52" t="inlineStr"/>
    </row>
    <row r="108">
      <c r="A108" s="52" t="inlineStr">
        <is>
          <t xml:space="preserve">    On Error Resume Next</t>
        </is>
      </c>
    </row>
    <row r="109">
      <c r="A109" s="52" t="inlineStr">
        <is>
          <t xml:space="preserve">    Sheets("Scenario_Comparison").Calculate</t>
        </is>
      </c>
    </row>
    <row r="110">
      <c r="A110" s="52" t="inlineStr">
        <is>
          <t xml:space="preserve">    Sheets("Option_Compare").Calculate</t>
        </is>
      </c>
    </row>
    <row r="111">
      <c r="A111" s="52" t="inlineStr">
        <is>
          <t xml:space="preserve">    Sheets("Tide_Data").Calculate</t>
        </is>
      </c>
    </row>
    <row r="112">
      <c r="A112" s="52" t="inlineStr">
        <is>
          <t xml:space="preserve">    Sheets("Weather_Analysis").Calculate</t>
        </is>
      </c>
    </row>
    <row r="113">
      <c r="A113" s="52" t="inlineStr">
        <is>
          <t xml:space="preserve">    Sheets("Summary").Calculate</t>
        </is>
      </c>
    </row>
    <row r="114">
      <c r="A114" s="52" t="inlineStr">
        <is>
          <t xml:space="preserve">    Sheets("Control_Panel").Calculate</t>
        </is>
      </c>
    </row>
    <row r="115">
      <c r="A115" s="52" t="inlineStr">
        <is>
          <t xml:space="preserve">    On Error GoTo CleanUp</t>
        </is>
      </c>
    </row>
    <row r="116">
      <c r="A116" s="52" t="inlineStr"/>
    </row>
    <row r="117">
      <c r="A117" s="52" t="inlineStr">
        <is>
          <t xml:space="preserve">    ' 시각 갱신</t>
        </is>
      </c>
    </row>
    <row r="118">
      <c r="A118" s="52" t="inlineStr">
        <is>
          <t xml:space="preserve">    RefreshAllGanttCharts</t>
        </is>
      </c>
    </row>
    <row r="119">
      <c r="A119" s="52" t="inlineStr">
        <is>
          <t xml:space="preserve">    RefreshTideData</t>
        </is>
      </c>
    </row>
    <row r="120">
      <c r="A120" s="52" t="inlineStr"/>
    </row>
    <row r="121">
      <c r="A121" s="52" t="inlineStr">
        <is>
          <t>CleanUp:</t>
        </is>
      </c>
    </row>
    <row r="122">
      <c r="A122" s="52" t="inlineStr">
        <is>
          <t xml:space="preserve">    EndFastMode</t>
        </is>
      </c>
    </row>
    <row r="123">
      <c r="A123" s="52" t="inlineStr"/>
    </row>
    <row r="124">
      <c r="A124" s="52" t="inlineStr">
        <is>
          <t xml:space="preserve">    If Err.Number &lt;&gt; 0 Then</t>
        </is>
      </c>
    </row>
    <row r="125">
      <c r="A125" s="52" t="inlineStr">
        <is>
          <t xml:space="preserve">        MsgBox "❌ 업데이트 실패: " &amp; Err.Description, vbExclamation, "UpdateAllScenarios"</t>
        </is>
      </c>
    </row>
    <row r="126">
      <c r="A126" s="52" t="inlineStr">
        <is>
          <t xml:space="preserve">    Else</t>
        </is>
      </c>
    </row>
    <row r="127">
      <c r="A127" s="52" t="inlineStr">
        <is>
          <t xml:space="preserve">        MsgBox "✅ Option A/B + Compare 업데이트 완료", vbInformation, "Update Complete"</t>
        </is>
      </c>
    </row>
    <row r="128">
      <c r="A128" s="52" t="inlineStr">
        <is>
          <t xml:space="preserve">    End If</t>
        </is>
      </c>
    </row>
    <row r="129">
      <c r="A129" s="52" t="inlineStr">
        <is>
          <t>End Sub</t>
        </is>
      </c>
    </row>
    <row r="130">
      <c r="A130" s="52" t="inlineStr"/>
    </row>
    <row r="131">
      <c r="A131" s="52" t="inlineStr">
        <is>
          <t>' ============================================</t>
        </is>
      </c>
    </row>
    <row r="132">
      <c r="A132" s="52" t="inlineStr">
        <is>
          <t>' 2) Gantt 색상 갱신 (공통 코어)</t>
        </is>
      </c>
    </row>
    <row r="133">
      <c r="A133" s="52" t="inlineStr">
        <is>
          <t>' ============================================</t>
        </is>
      </c>
    </row>
    <row r="134">
      <c r="A134" s="52" t="inlineStr">
        <is>
          <t>Public Sub RefreshAllGanttCharts()</t>
        </is>
      </c>
    </row>
    <row r="135">
      <c r="A135" s="52" t="inlineStr">
        <is>
          <t xml:space="preserve">    On Error GoTo CleanUp</t>
        </is>
      </c>
    </row>
    <row r="136">
      <c r="A136" s="52" t="inlineStr">
        <is>
          <t xml:space="preserve">    BeginFastMode</t>
        </is>
      </c>
    </row>
    <row r="137">
      <c r="A137" s="52" t="inlineStr"/>
    </row>
    <row r="138">
      <c r="A138" s="52" t="inlineStr">
        <is>
          <t xml:space="preserve">    RefreshGanttChart_Option_A</t>
        </is>
      </c>
    </row>
    <row r="139">
      <c r="A139" s="52" t="inlineStr">
        <is>
          <t xml:space="preserve">    RefreshGanttChart_Option_B</t>
        </is>
      </c>
    </row>
    <row r="140">
      <c r="A140" s="52" t="inlineStr"/>
    </row>
    <row r="141">
      <c r="A141" s="52" t="inlineStr">
        <is>
          <t>CleanUp:</t>
        </is>
      </c>
    </row>
    <row r="142">
      <c r="A142" s="52" t="inlineStr">
        <is>
          <t xml:space="preserve">    EndFastMode</t>
        </is>
      </c>
    </row>
    <row r="143">
      <c r="A143" s="52" t="inlineStr">
        <is>
          <t>End Sub</t>
        </is>
      </c>
    </row>
    <row r="144">
      <c r="A144" s="52" t="inlineStr"/>
    </row>
    <row r="145">
      <c r="A145" s="52" t="inlineStr">
        <is>
          <t>Private Sub RefreshGanttCore(ByVal ganttSheetName As String, ByVal schedSheetName As String)</t>
        </is>
      </c>
    </row>
    <row r="146">
      <c r="A146" s="52" t="inlineStr">
        <is>
          <t xml:space="preserve">    Dim ws As Worksheet, wsd As Worksheet</t>
        </is>
      </c>
    </row>
    <row r="147">
      <c r="A147" s="52" t="inlineStr">
        <is>
          <t xml:space="preserve">    Dim i As Long, j As Long, lastRow As Long</t>
        </is>
      </c>
    </row>
    <row r="148">
      <c r="A148" s="52" t="inlineStr">
        <is>
          <t xml:space="preserve">    Dim startD As Date, endD As Date</t>
        </is>
      </c>
    </row>
    <row r="149">
      <c r="A149" s="52" t="inlineStr">
        <is>
          <t xml:space="preserve">    Dim projStart As Date, cellDate As Date</t>
        </is>
      </c>
    </row>
    <row r="150">
      <c r="A150" s="52" t="inlineStr">
        <is>
          <t xml:space="preserve">    Dim phase As String</t>
        </is>
      </c>
    </row>
    <row r="151">
      <c r="A151" s="52" t="inlineStr">
        <is>
          <t xml:space="preserve">    Dim dc As Long, lastCol As Long, maxJ As Long</t>
        </is>
      </c>
    </row>
    <row r="152">
      <c r="A152" s="52" t="inlineStr">
        <is>
          <t xml:space="preserve">    Dim shamalStart As Date, shamalEnd As Date</t>
        </is>
      </c>
    </row>
    <row r="153">
      <c r="A153" s="52" t="inlineStr"/>
    </row>
    <row r="154">
      <c r="A154" s="52" t="inlineStr">
        <is>
          <t xml:space="preserve">    Set ws = Sheets(ganttSheetName)</t>
        </is>
      </c>
    </row>
    <row r="155">
      <c r="A155" s="52" t="inlineStr">
        <is>
          <t xml:space="preserve">    Set wsd = Sheets(schedSheetName)</t>
        </is>
      </c>
    </row>
    <row r="156">
      <c r="A156" s="52" t="inlineStr"/>
    </row>
    <row r="157">
      <c r="A157" s="52" t="inlineStr">
        <is>
          <t xml:space="preserve">    projStart = CoerceDate(Sheets("Control_Panel").Range("B4").Value)</t>
        </is>
      </c>
    </row>
    <row r="158">
      <c r="A158" s="52" t="inlineStr">
        <is>
          <t xml:space="preserve">    shamalStart = CoerceDate(Sheets("Control_Panel").Range("H5").Value, projStart)</t>
        </is>
      </c>
    </row>
    <row r="159">
      <c r="A159" s="52" t="inlineStr">
        <is>
          <t xml:space="preserve">    shamalEnd = CoerceDate(Sheets("Control_Panel").Range("H6").Value, projStart)</t>
        </is>
      </c>
    </row>
    <row r="160">
      <c r="A160" s="52" t="inlineStr"/>
    </row>
    <row r="161">
      <c r="A161" s="52" t="inlineStr">
        <is>
          <t xml:space="preserve">    dc = 5 ' Date columns start at E</t>
        </is>
      </c>
    </row>
    <row r="162">
      <c r="A162" s="52" t="inlineStr">
        <is>
          <t xml:space="preserve">    lastCol = ws.Cells(4, ws.Columns.Count).End(xlToLeft).Column</t>
        </is>
      </c>
    </row>
    <row r="163">
      <c r="A163" s="52" t="inlineStr">
        <is>
          <t xml:space="preserve">    maxJ = lastCol - dc</t>
        </is>
      </c>
    </row>
    <row r="164">
      <c r="A164" s="52" t="inlineStr">
        <is>
          <t xml:space="preserve">    lastRow = wsd.Cells(wsd.Rows.Count, 1).End(xlUp).Row</t>
        </is>
      </c>
    </row>
    <row r="165">
      <c r="A165" s="52" t="inlineStr"/>
    </row>
    <row r="166">
      <c r="A166" s="52" t="inlineStr">
        <is>
          <t xml:space="preserve">    ' Clear existing colors in date columns</t>
        </is>
      </c>
    </row>
    <row r="167">
      <c r="A167" s="52" t="inlineStr">
        <is>
          <t xml:space="preserve">    ws.Range(ws.Cells(5, dc), ws.Cells(lastRow, lastCol)).Interior.ColorIndex = xlNone</t>
        </is>
      </c>
    </row>
    <row r="168">
      <c r="A168" s="52" t="inlineStr"/>
    </row>
    <row r="169">
      <c r="A169" s="52" t="inlineStr">
        <is>
          <t xml:space="preserve">    ' Reset header colors + Shamal highlight</t>
        </is>
      </c>
    </row>
    <row r="170">
      <c r="A170" s="52" t="inlineStr">
        <is>
          <t xml:space="preserve">    For j = 0 To maxJ</t>
        </is>
      </c>
    </row>
    <row r="171">
      <c r="A171" s="52" t="inlineStr">
        <is>
          <t xml:space="preserve">        ws.Cells(4, dc + j).Interior.Color = RGB(31, 78, 121)</t>
        </is>
      </c>
    </row>
    <row r="172">
      <c r="A172" s="52" t="inlineStr">
        <is>
          <t xml:space="preserve">        cellDate = projStart + j</t>
        </is>
      </c>
    </row>
    <row r="173">
      <c r="A173" s="52" t="inlineStr">
        <is>
          <t xml:space="preserve">        If shamalStart &lt;&gt; 0 And shamalEnd &lt;&gt; 0 Then</t>
        </is>
      </c>
    </row>
    <row r="174">
      <c r="A174" s="52" t="inlineStr">
        <is>
          <t xml:space="preserve">            If cellDate &gt;= shamalStart And cellDate &lt;= shamalEnd Then</t>
        </is>
      </c>
    </row>
    <row r="175">
      <c r="A175" s="52" t="inlineStr">
        <is>
          <t xml:space="preserve">                ws.Cells(4, dc + j).Interior.Color = RGB(255, 152, 0)</t>
        </is>
      </c>
    </row>
    <row r="176">
      <c r="A176" s="52" t="inlineStr">
        <is>
          <t xml:space="preserve">            End If</t>
        </is>
      </c>
    </row>
    <row r="177">
      <c r="A177" s="52" t="inlineStr">
        <is>
          <t xml:space="preserve">        End If</t>
        </is>
      </c>
    </row>
    <row r="178">
      <c r="A178" s="52" t="inlineStr">
        <is>
          <t xml:space="preserve">    Next j</t>
        </is>
      </c>
    </row>
    <row r="179">
      <c r="A179" s="52" t="inlineStr"/>
    </row>
    <row r="180">
      <c r="A180" s="52" t="inlineStr">
        <is>
          <t xml:space="preserve">    ' Apply Gantt bars</t>
        </is>
      </c>
    </row>
    <row r="181">
      <c r="A181" s="52" t="inlineStr">
        <is>
          <t xml:space="preserve">    For i = 6 To lastRow</t>
        </is>
      </c>
    </row>
    <row r="182">
      <c r="A182" s="52" t="inlineStr">
        <is>
          <t xml:space="preserve">        If Trim$(CStr(wsd.Cells(i, 3).Value)) = "" Then GoTo NextRow</t>
        </is>
      </c>
    </row>
    <row r="183">
      <c r="A183" s="52" t="inlineStr"/>
    </row>
    <row r="184">
      <c r="A184" s="52" t="inlineStr">
        <is>
          <t xml:space="preserve">        startD = CoerceDate(wsd.Cells(i, 7).Value, projStart)</t>
        </is>
      </c>
    </row>
    <row r="185">
      <c r="A185" s="52" t="inlineStr">
        <is>
          <t xml:space="preserve">        endD = CoerceDate(wsd.Cells(i, 8).Value, projStart)</t>
        </is>
      </c>
    </row>
    <row r="186">
      <c r="A186" s="52" t="inlineStr">
        <is>
          <t xml:space="preserve">        If startD = 0 Then GoTo NextRow</t>
        </is>
      </c>
    </row>
    <row r="187">
      <c r="A187" s="52" t="inlineStr">
        <is>
          <t xml:space="preserve">        If endD = 0 Then endD = startD</t>
        </is>
      </c>
    </row>
    <row r="188">
      <c r="A188" s="52" t="inlineStr"/>
    </row>
    <row r="189">
      <c r="A189" s="52" t="inlineStr">
        <is>
          <t xml:space="preserve">        phase = CStr(wsd.Cells(i, 5).Value)</t>
        </is>
      </c>
    </row>
    <row r="190">
      <c r="A190" s="52" t="inlineStr"/>
    </row>
    <row r="191">
      <c r="A191" s="52" t="inlineStr">
        <is>
          <t xml:space="preserve">        Dim ganttRow As Long</t>
        </is>
      </c>
    </row>
    <row r="192">
      <c r="A192" s="52" t="inlineStr">
        <is>
          <t xml:space="preserve">        ganttRow = i - 1</t>
        </is>
      </c>
    </row>
    <row r="193">
      <c r="A193" s="52" t="inlineStr"/>
    </row>
    <row r="194">
      <c r="A194" s="52" t="inlineStr">
        <is>
          <t xml:space="preserve">        For j = 0 To maxJ</t>
        </is>
      </c>
    </row>
    <row r="195">
      <c r="A195" s="52" t="inlineStr">
        <is>
          <t xml:space="preserve">            cellDate = projStart + j</t>
        </is>
      </c>
    </row>
    <row r="196">
      <c r="A196" s="52" t="inlineStr">
        <is>
          <t xml:space="preserve">            If cellDate &gt;= startD And cellDate &lt; endD Then</t>
        </is>
      </c>
    </row>
    <row r="197">
      <c r="A197" s="52" t="inlineStr">
        <is>
          <t xml:space="preserve">                ws.Cells(ganttRow, dc + j).Interior.Color = GetPhaseColor(phase)</t>
        </is>
      </c>
    </row>
    <row r="198">
      <c r="A198" s="52" t="inlineStr">
        <is>
          <t xml:space="preserve">            ElseIf cellDate = startD And startD = endD Then</t>
        </is>
      </c>
    </row>
    <row r="199">
      <c r="A199" s="52" t="inlineStr">
        <is>
          <t xml:space="preserve">                With ws.Cells(ganttRow, dc + j)</t>
        </is>
      </c>
    </row>
    <row r="200">
      <c r="A200" s="52" t="inlineStr">
        <is>
          <t xml:space="preserve">                    .Interior.Color = GetPhaseColor(phase)</t>
        </is>
      </c>
    </row>
    <row r="201">
      <c r="A201" s="52" t="inlineStr">
        <is>
          <t xml:space="preserve">                    .Value = ChrW(9733)</t>
        </is>
      </c>
    </row>
    <row r="202">
      <c r="A202" s="52" t="inlineStr">
        <is>
          <t xml:space="preserve">                    .HorizontalAlignment = xlCenter</t>
        </is>
      </c>
    </row>
    <row r="203">
      <c r="A203" s="52" t="inlineStr">
        <is>
          <t xml:space="preserve">                    .Font.Size = 8</t>
        </is>
      </c>
    </row>
    <row r="204">
      <c r="A204" s="52" t="inlineStr">
        <is>
          <t xml:space="preserve">                End With</t>
        </is>
      </c>
    </row>
    <row r="205">
      <c r="A205" s="52" t="inlineStr">
        <is>
          <t xml:space="preserve">            End If</t>
        </is>
      </c>
    </row>
    <row r="206">
      <c r="A206" s="52" t="inlineStr">
        <is>
          <t xml:space="preserve">        Next j</t>
        </is>
      </c>
    </row>
    <row r="207">
      <c r="A207" s="52" t="inlineStr"/>
    </row>
    <row r="208">
      <c r="A208" s="52" t="inlineStr">
        <is>
          <t>NextRow:</t>
        </is>
      </c>
    </row>
    <row r="209">
      <c r="A209" s="52" t="inlineStr">
        <is>
          <t xml:space="preserve">    Next i</t>
        </is>
      </c>
    </row>
    <row r="210">
      <c r="A210" s="52" t="inlineStr">
        <is>
          <t>End Sub</t>
        </is>
      </c>
    </row>
    <row r="211">
      <c r="A211" s="52" t="inlineStr"/>
    </row>
    <row r="212">
      <c r="A212" s="52" t="inlineStr">
        <is>
          <t>Public Sub RefreshGanttChart_Option_A()</t>
        </is>
      </c>
    </row>
    <row r="213">
      <c r="A213" s="52" t="inlineStr">
        <is>
          <t xml:space="preserve">    RefreshGanttCore "Gantt_Chart_Option_A", "Schedule_Data_Option_A"</t>
        </is>
      </c>
    </row>
    <row r="214">
      <c r="A214" s="52" t="inlineStr">
        <is>
          <t>End Sub</t>
        </is>
      </c>
    </row>
    <row r="215">
      <c r="A215" s="52" t="inlineStr"/>
    </row>
    <row r="216">
      <c r="A216" s="52" t="inlineStr">
        <is>
          <t>Public Sub RefreshGanttChart_Option_B()</t>
        </is>
      </c>
    </row>
    <row r="217">
      <c r="A217" s="52" t="inlineStr">
        <is>
          <t xml:space="preserve">    RefreshGanttCore "Gantt_Chart_Option_B", "Schedule_Data_Option_B"</t>
        </is>
      </c>
    </row>
    <row r="218">
      <c r="A218" s="52" t="inlineStr">
        <is>
          <t>End Sub</t>
        </is>
      </c>
    </row>
    <row r="219">
      <c r="A219" s="52" t="inlineStr"/>
    </row>
    <row r="220">
      <c r="A220" s="52" t="inlineStr">
        <is>
          <t>' ============================================</t>
        </is>
      </c>
    </row>
    <row r="221">
      <c r="A221" s="52" t="inlineStr">
        <is>
          <t>' 3) 조석 데이터 강조 (매 실행 시 초기화 포함)</t>
        </is>
      </c>
    </row>
    <row r="222">
      <c r="A222" s="52" t="inlineStr">
        <is>
          <t>' ============================================</t>
        </is>
      </c>
    </row>
    <row r="223">
      <c r="A223" s="52" t="inlineStr">
        <is>
          <t>Public Sub RefreshTideData()</t>
        </is>
      </c>
    </row>
    <row r="224">
      <c r="A224" s="52" t="inlineStr">
        <is>
          <t xml:space="preserve">    Dim ws As Worksheet</t>
        </is>
      </c>
    </row>
    <row r="225">
      <c r="A225" s="52" t="inlineStr">
        <is>
          <t xml:space="preserve">    Dim i As Long</t>
        </is>
      </c>
    </row>
    <row r="226">
      <c r="A226" s="52" t="inlineStr">
        <is>
          <t xml:space="preserve">    Dim tideThreshold As Double</t>
        </is>
      </c>
    </row>
    <row r="227">
      <c r="A227" s="52" t="inlineStr"/>
    </row>
    <row r="228">
      <c r="A228" s="52" t="inlineStr">
        <is>
          <t xml:space="preserve">    Set ws = Sheets("Tide_Data")</t>
        </is>
      </c>
    </row>
    <row r="229">
      <c r="A229" s="52" t="inlineStr">
        <is>
          <t xml:space="preserve">    tideThreshold = 0</t>
        </is>
      </c>
    </row>
    <row r="230">
      <c r="A230" s="52" t="inlineStr">
        <is>
          <t xml:space="preserve">    On Error Resume Next</t>
        </is>
      </c>
    </row>
    <row r="231">
      <c r="A231" s="52" t="inlineStr">
        <is>
          <t xml:space="preserve">    tideThreshold = CDbl(Sheets("Control_Panel").Range("H7").Value)</t>
        </is>
      </c>
    </row>
    <row r="232">
      <c r="A232" s="52" t="inlineStr">
        <is>
          <t xml:space="preserve">    On Error GoTo 0</t>
        </is>
      </c>
    </row>
    <row r="233">
      <c r="A233" s="52" t="inlineStr">
        <is>
          <t xml:space="preserve">    If tideThreshold = 0 Then tideThreshold = 1.9</t>
        </is>
      </c>
    </row>
    <row r="234">
      <c r="A234" s="52" t="inlineStr"/>
    </row>
    <row r="235">
      <c r="A235" s="52" t="inlineStr">
        <is>
          <t xml:space="preserve">    ' Reset formatting (A:D, data rows)</t>
        </is>
      </c>
    </row>
    <row r="236">
      <c r="A236" s="52" t="inlineStr">
        <is>
          <t xml:space="preserve">    Dim lastRow As Long</t>
        </is>
      </c>
    </row>
    <row r="237">
      <c r="A237" s="52" t="inlineStr">
        <is>
          <t xml:space="preserve">    lastRow = ws.Cells(ws.Rows.Count, 1).End(xlUp).Row</t>
        </is>
      </c>
    </row>
    <row r="238">
      <c r="A238" s="52" t="inlineStr">
        <is>
          <t xml:space="preserve">    If lastRow &lt; 5 Then Exit Sub</t>
        </is>
      </c>
    </row>
    <row r="239">
      <c r="A239" s="52" t="inlineStr"/>
    </row>
    <row r="240">
      <c r="A240" s="52" t="inlineStr">
        <is>
          <t xml:space="preserve">    ws.Range(ws.Cells(5, 1), ws.Cells(lastRow, 4)).Font.Bold = False</t>
        </is>
      </c>
    </row>
    <row r="241">
      <c r="A241" s="52" t="inlineStr">
        <is>
          <t xml:space="preserve">    ws.Range(ws.Cells(5, 1), ws.Cells(lastRow, 4)).Font.Color = RGB(0, 0, 0)</t>
        </is>
      </c>
    </row>
    <row r="242">
      <c r="A242" s="52" t="inlineStr">
        <is>
          <t xml:space="preserve">    ws.Range(ws.Cells(5, 1), ws.Cells(lastRow, 1)).Interior.ColorIndex = xlNone</t>
        </is>
      </c>
    </row>
    <row r="243">
      <c r="A243" s="52" t="inlineStr"/>
    </row>
    <row r="244">
      <c r="A244" s="52" t="inlineStr">
        <is>
          <t xml:space="preserve">    For i = 5 To lastRow</t>
        </is>
      </c>
    </row>
    <row r="245">
      <c r="A245" s="52" t="inlineStr">
        <is>
          <t xml:space="preserve">        If IsNumeric(ws.Cells(i, 3).Value) Then</t>
        </is>
      </c>
    </row>
    <row r="246">
      <c r="A246" s="52" t="inlineStr">
        <is>
          <t xml:space="preserve">            If CDbl(ws.Cells(i, 3).Value) &gt;= tideThreshold Then</t>
        </is>
      </c>
    </row>
    <row r="247">
      <c r="A247" s="52" t="inlineStr">
        <is>
          <t xml:space="preserve">                ws.Cells(i, 3).Font.Bold = True</t>
        </is>
      </c>
    </row>
    <row r="248">
      <c r="A248" s="52" t="inlineStr">
        <is>
          <t xml:space="preserve">                ws.Cells(i, 3).Font.Color = RGB(0, 102, 204)</t>
        </is>
      </c>
    </row>
    <row r="249">
      <c r="A249" s="52" t="inlineStr">
        <is>
          <t xml:space="preserve">                ws.Cells(i, 1).Interior.Color = RGB(227, 242, 253)</t>
        </is>
      </c>
    </row>
    <row r="250">
      <c r="A250" s="52" t="inlineStr">
        <is>
          <t xml:space="preserve">            End If</t>
        </is>
      </c>
    </row>
    <row r="251">
      <c r="A251" s="52" t="inlineStr">
        <is>
          <t xml:space="preserve">        End If</t>
        </is>
      </c>
    </row>
    <row r="252">
      <c r="A252" s="52" t="inlineStr">
        <is>
          <t xml:space="preserve">    Next i</t>
        </is>
      </c>
    </row>
    <row r="253">
      <c r="A253" s="52" t="inlineStr">
        <is>
          <t>End Sub</t>
        </is>
      </c>
    </row>
    <row r="254">
      <c r="A254" s="52" t="inlineStr"/>
    </row>
    <row r="255">
      <c r="A255" s="52" t="inlineStr">
        <is>
          <t>' ============================================</t>
        </is>
      </c>
    </row>
    <row r="256">
      <c r="A256" s="52" t="inlineStr">
        <is>
          <t>' 4) Phase Color Helper</t>
        </is>
      </c>
    </row>
    <row r="257">
      <c r="A257" s="52" t="inlineStr">
        <is>
          <t>' ============================================</t>
        </is>
      </c>
    </row>
    <row r="258">
      <c r="A258" s="52" t="inlineStr">
        <is>
          <t>Public Function GetPhaseColor(phase As String) As Long</t>
        </is>
      </c>
    </row>
    <row r="259">
      <c r="A259" s="52" t="inlineStr">
        <is>
          <t xml:space="preserve">    Select Case phase</t>
        </is>
      </c>
    </row>
    <row r="260">
      <c r="A260" s="52" t="inlineStr">
        <is>
          <t xml:space="preserve">        Case "MOBILIZATION": GetPhaseColor = RGB(142, 124, 195)</t>
        </is>
      </c>
    </row>
    <row r="261">
      <c r="A261" s="52" t="inlineStr">
        <is>
          <t xml:space="preserve">        Case "DECK_PREP": GetPhaseColor = RGB(111, 168, 220)</t>
        </is>
      </c>
    </row>
    <row r="262">
      <c r="A262" s="52" t="inlineStr">
        <is>
          <t xml:space="preserve">        Case "LOADOUT": GetPhaseColor = RGB(147, 196, 125)</t>
        </is>
      </c>
    </row>
    <row r="263">
      <c r="A263" s="52" t="inlineStr">
        <is>
          <t xml:space="preserve">        Case "SEAFAST": GetPhaseColor = RGB(118, 165, 175)</t>
        </is>
      </c>
    </row>
    <row r="264">
      <c r="A264" s="52" t="inlineStr">
        <is>
          <t xml:space="preserve">        Case "SAIL": GetPhaseColor = RGB(164, 194, 244)</t>
        </is>
      </c>
    </row>
    <row r="265">
      <c r="A265" s="52" t="inlineStr">
        <is>
          <t xml:space="preserve">        Case "AGI_UNLOAD": GetPhaseColor = RGB(246, 178, 107)</t>
        </is>
      </c>
    </row>
    <row r="266">
      <c r="A266" s="52" t="inlineStr">
        <is>
          <t xml:space="preserve">        Case "TURNING": GetPhaseColor = RGB(255, 217, 102)</t>
        </is>
      </c>
    </row>
    <row r="267">
      <c r="A267" s="52" t="inlineStr">
        <is>
          <t xml:space="preserve">        Case "JACKDOWN": GetPhaseColor = RGB(224, 102, 102)</t>
        </is>
      </c>
    </row>
    <row r="268">
      <c r="A268" s="52" t="inlineStr">
        <is>
          <t xml:space="preserve">        Case "RETURN": GetPhaseColor = RGB(153, 153, 153)</t>
        </is>
      </c>
    </row>
    <row r="269">
      <c r="A269" s="52" t="inlineStr">
        <is>
          <t xml:space="preserve">        Case "BUFFER": GetPhaseColor = RGB(217, 217, 217)</t>
        </is>
      </c>
    </row>
    <row r="270">
      <c r="A270" s="52" t="inlineStr">
        <is>
          <t xml:space="preserve">        Case "MILESTONE": GetPhaseColor = RGB(255, 0, 0)</t>
        </is>
      </c>
    </row>
    <row r="271">
      <c r="A271" s="52" t="inlineStr">
        <is>
          <t xml:space="preserve">        Case Else: GetPhaseColor = RGB(255, 255, 255)</t>
        </is>
      </c>
    </row>
    <row r="272">
      <c r="A272" s="52" t="inlineStr">
        <is>
          <t xml:space="preserve">    End Select</t>
        </is>
      </c>
    </row>
    <row r="273">
      <c r="A273" s="52" t="inlineStr">
        <is>
          <t>End Function</t>
        </is>
      </c>
    </row>
    <row r="274">
      <c r="A274" s="52" t="inlineStr"/>
    </row>
    <row r="275">
      <c r="A275" s="52" t="inlineStr">
        <is>
          <t>' ============================================</t>
        </is>
      </c>
    </row>
    <row r="276">
      <c r="A276" s="52" t="inlineStr">
        <is>
          <t>' 5) PDF 내보내기 (핵심 시트만)</t>
        </is>
      </c>
    </row>
    <row r="277">
      <c r="A277" s="52" t="inlineStr">
        <is>
          <t>' ============================================</t>
        </is>
      </c>
    </row>
    <row r="278">
      <c r="A278" s="52" t="inlineStr">
        <is>
          <t>Public Sub ExportToPDF()</t>
        </is>
      </c>
    </row>
    <row r="279">
      <c r="A279" s="52" t="inlineStr">
        <is>
          <t xml:space="preserve">    Dim fp As String</t>
        </is>
      </c>
    </row>
    <row r="280">
      <c r="A280" s="52" t="inlineStr">
        <is>
          <t xml:space="preserve">    fp = ThisWorkbook.Path &amp; "\AGI_TR_Gantt_" &amp; Format(Date, "YYYYMMDD") &amp; ".pdf"</t>
        </is>
      </c>
    </row>
    <row r="281">
      <c r="A281" s="52" t="inlineStr"/>
    </row>
    <row r="282">
      <c r="A282" s="52" t="inlineStr">
        <is>
          <t xml:space="preserve">    Sheets(Array("Control_Panel", "Scenario_Comparison", "Option_Compare", "Gantt_Chart_Option_A", "Gantt_Chart_Option_B")).Select</t>
        </is>
      </c>
    </row>
    <row r="283">
      <c r="A283" s="52" t="inlineStr">
        <is>
          <t xml:space="preserve">    ActiveSheet.ExportAsFixedFormat xlTypePDF, fp, xlQualityStandard, True</t>
        </is>
      </c>
    </row>
    <row r="284">
      <c r="A284" s="52" t="inlineStr">
        <is>
          <t xml:space="preserve">    Sheets("Control_Panel").Select</t>
        </is>
      </c>
    </row>
    <row r="285">
      <c r="A285" s="52" t="inlineStr"/>
    </row>
    <row r="286">
      <c r="A286" s="52" t="inlineStr">
        <is>
          <t xml:space="preserve">    MsgBox "✅ PDF 저장 완료:" &amp; vbCrLf &amp; fp, vbInformation, "Export Complete"</t>
        </is>
      </c>
    </row>
    <row r="287">
      <c r="A287" s="52" t="inlineStr">
        <is>
          <t>End Sub</t>
        </is>
      </c>
    </row>
    <row r="288">
      <c r="A288" s="52" t="inlineStr"/>
    </row>
    <row r="289">
      <c r="A289" s="52" t="inlineStr">
        <is>
          <t>' ============================================</t>
        </is>
      </c>
    </row>
    <row r="290">
      <c r="A290" s="52" t="inlineStr">
        <is>
          <t>' 6) 간단 리포트 (Option A/B 끝나는 날짜)</t>
        </is>
      </c>
    </row>
    <row r="291">
      <c r="A291" s="52" t="inlineStr">
        <is>
          <t>' ============================================</t>
        </is>
      </c>
    </row>
    <row r="292">
      <c r="A292" s="52" t="inlineStr">
        <is>
          <t>Public Sub GenerateReport()</t>
        </is>
      </c>
    </row>
    <row r="293">
      <c r="A293" s="52" t="inlineStr">
        <is>
          <t xml:space="preserve">    Dim endA As Date, endB As Date</t>
        </is>
      </c>
    </row>
    <row r="294">
      <c r="A294" s="52" t="inlineStr">
        <is>
          <t xml:space="preserve">    endA = WorksheetFunction.Max(Sheets("Schedule_Data_Option_A").Range("H:H"))</t>
        </is>
      </c>
    </row>
    <row r="295">
      <c r="A295" s="52" t="inlineStr">
        <is>
          <t xml:space="preserve">    endB = WorksheetFunction.Max(Sheets("Schedule_Data_Option_B").Range("H:H"))</t>
        </is>
      </c>
    </row>
    <row r="296">
      <c r="A296" s="52" t="inlineStr"/>
    </row>
    <row r="297">
      <c r="A297" s="52" t="inlineStr">
        <is>
          <t xml:space="preserve">    Dim msg As String</t>
        </is>
      </c>
    </row>
    <row r="298">
      <c r="A298" s="52" t="inlineStr">
        <is>
          <t xml:space="preserve">    msg = "Project Start: " &amp; Format(Sheets("Control_Panel").Range("B4").Value, "YYYY-MM-DD") &amp; vbCrLf &amp; _</t>
        </is>
      </c>
    </row>
    <row r="299">
      <c r="A299" s="52" t="inlineStr">
        <is>
          <t xml:space="preserve">          "Option A End: " &amp; Format(endA, "YYYY-MM-DD") &amp; vbCrLf &amp; _</t>
        </is>
      </c>
    </row>
    <row r="300">
      <c r="A300" s="52" t="inlineStr">
        <is>
          <t xml:space="preserve">          "Option B End: " &amp; Format(endB, "YYYY-MM-DD") &amp; vbCrLf &amp; _</t>
        </is>
      </c>
    </row>
    <row r="301">
      <c r="A301" s="52" t="inlineStr">
        <is>
          <t xml:space="preserve">          "Delta (B-A, days): " &amp; CStr(endB - endA)</t>
        </is>
      </c>
    </row>
    <row r="302">
      <c r="A302" s="52" t="inlineStr"/>
    </row>
    <row r="303">
      <c r="A303" s="52" t="inlineStr">
        <is>
          <t xml:space="preserve">    MsgBox msg, vbInformation, "Project Report"</t>
        </is>
      </c>
    </row>
    <row r="304">
      <c r="A304" s="52" t="inlineStr">
        <is>
          <t>End Sub</t>
        </is>
      </c>
    </row>
    <row r="305">
      <c r="A305" s="52" t="inlineStr"/>
    </row>
    <row r="306">
      <c r="A306" s="52" t="inlineStr">
        <is>
          <t>' ============================================</t>
        </is>
      </c>
    </row>
    <row r="307">
      <c r="A307" s="52" t="inlineStr">
        <is>
          <t>' 7) Shamal 기간 작업 점검 (Option A/B)</t>
        </is>
      </c>
    </row>
    <row r="308">
      <c r="A308" s="52" t="inlineStr">
        <is>
          <t>' ============================================</t>
        </is>
      </c>
    </row>
    <row r="309">
      <c r="A309" s="52" t="inlineStr">
        <is>
          <t>Public Sub CheckShamalRisk()</t>
        </is>
      </c>
    </row>
    <row r="310">
      <c r="A310" s="52" t="inlineStr">
        <is>
          <t xml:space="preserve">    Dim shamalStart As Date, shamalEnd As Date</t>
        </is>
      </c>
    </row>
    <row r="311">
      <c r="A311" s="52" t="inlineStr">
        <is>
          <t xml:space="preserve">    shamalStart = CoerceDate(Sheets("Control_Panel").Range("H5").Value)</t>
        </is>
      </c>
    </row>
    <row r="312">
      <c r="A312" s="52" t="inlineStr">
        <is>
          <t xml:space="preserve">    shamalEnd = CoerceDate(Sheets("Control_Panel").Range("H6").Value)</t>
        </is>
      </c>
    </row>
    <row r="313">
      <c r="A313" s="52" t="inlineStr"/>
    </row>
    <row r="314">
      <c r="A314" s="52" t="inlineStr">
        <is>
          <t xml:space="preserve">    Dim riskTasks As String</t>
        </is>
      </c>
    </row>
    <row r="315">
      <c r="A315" s="52" t="inlineStr">
        <is>
          <t xml:space="preserve">    Dim cnt As Long</t>
        </is>
      </c>
    </row>
    <row r="316">
      <c r="A316" s="52" t="inlineStr"/>
    </row>
    <row r="317">
      <c r="A317" s="52" t="inlineStr">
        <is>
          <t xml:space="preserve">    cnt = cnt + CheckShamalRiskOne("Schedule_Data_Option_A", shamalStart, shamalEnd, riskTasks)</t>
        </is>
      </c>
    </row>
    <row r="318">
      <c r="A318" s="52" t="inlineStr">
        <is>
          <t xml:space="preserve">    cnt = cnt + CheckShamalRiskOne("Schedule_Data_Option_B", shamalStart, shamalEnd, riskTasks)</t>
        </is>
      </c>
    </row>
    <row r="319">
      <c r="A319" s="52" t="inlineStr"/>
    </row>
    <row r="320">
      <c r="A320" s="52" t="inlineStr">
        <is>
          <t xml:space="preserve">    If cnt &gt; 0 Then</t>
        </is>
      </c>
    </row>
    <row r="321">
      <c r="A321" s="52" t="inlineStr">
        <is>
          <t xml:space="preserve">        MsgBox "⚠️ SHAMAL 위험 경고!" &amp; vbCrLf &amp; vbCrLf &amp; _</t>
        </is>
      </c>
    </row>
    <row r="322">
      <c r="A322" s="52" t="inlineStr">
        <is>
          <t xml:space="preserve">               "Shamal 기간 (" &amp; Format(shamalStart, "MM/DD") &amp; "-" &amp; Format(shamalEnd, "MM/DD") &amp; ") 중 " &amp; cnt &amp; "개 기상 민감 작업 발견:" &amp; vbCrLf &amp; _</t>
        </is>
      </c>
    </row>
    <row r="323">
      <c r="A323" s="52" t="inlineStr">
        <is>
          <t xml:space="preserve">               riskTasks, vbExclamation, "Weather Risk Alert"</t>
        </is>
      </c>
    </row>
    <row r="324">
      <c r="A324" s="52" t="inlineStr">
        <is>
          <t xml:space="preserve">    Else</t>
        </is>
      </c>
    </row>
    <row r="325">
      <c r="A325" s="52" t="inlineStr">
        <is>
          <t xml:space="preserve">        MsgBox "✅ Shamal 기간 중 기상 민감 작업 없음", vbInformation, "Weather Check OK"</t>
        </is>
      </c>
    </row>
    <row r="326">
      <c r="A326" s="52" t="inlineStr">
        <is>
          <t xml:space="preserve">    End If</t>
        </is>
      </c>
    </row>
    <row r="327">
      <c r="A327" s="52" t="inlineStr">
        <is>
          <t>End Sub</t>
        </is>
      </c>
    </row>
    <row r="328">
      <c r="A328" s="52" t="inlineStr"/>
    </row>
    <row r="329">
      <c r="A329" s="52" t="inlineStr">
        <is>
          <t>Private Function CheckShamalRiskOne(ByVal schedName As String, ByVal shamalStart As Date, ByVal shamalEnd As Date, ByRef outList As String) As Long</t>
        </is>
      </c>
    </row>
    <row r="330">
      <c r="A330" s="52" t="inlineStr">
        <is>
          <t xml:space="preserve">    Dim wsd As Worksheet</t>
        </is>
      </c>
    </row>
    <row r="331">
      <c r="A331" s="52" t="inlineStr">
        <is>
          <t xml:space="preserve">    Dim i As Long, lastRow As Long</t>
        </is>
      </c>
    </row>
    <row r="332">
      <c r="A332" s="52" t="inlineStr">
        <is>
          <t xml:space="preserve">    Dim taskDate As Date</t>
        </is>
      </c>
    </row>
    <row r="333">
      <c r="A333" s="52" t="inlineStr"/>
    </row>
    <row r="334">
      <c r="A334" s="52" t="inlineStr">
        <is>
          <t xml:space="preserve">    Set wsd = Sheets(schedName)</t>
        </is>
      </c>
    </row>
    <row r="335">
      <c r="A335" s="52" t="inlineStr">
        <is>
          <t xml:space="preserve">    lastRow = wsd.Cells(wsd.Rows.Count, 1).End(xlUp).Row</t>
        </is>
      </c>
    </row>
    <row r="336">
      <c r="A336" s="52" t="inlineStr"/>
    </row>
    <row r="337">
      <c r="A337" s="52" t="inlineStr">
        <is>
          <t xml:space="preserve">    For i = 6 To lastRow</t>
        </is>
      </c>
    </row>
    <row r="338">
      <c r="A338" s="52" t="inlineStr">
        <is>
          <t xml:space="preserve">        taskDate = CoerceDate(wsd.Cells(i, 7).Value)</t>
        </is>
      </c>
    </row>
    <row r="339">
      <c r="A339" s="52" t="inlineStr">
        <is>
          <t xml:space="preserve">        If taskDate &lt;&gt; 0 Then</t>
        </is>
      </c>
    </row>
    <row r="340">
      <c r="A340" s="52" t="inlineStr">
        <is>
          <t xml:space="preserve">            If taskDate &gt;= shamalStart And taskDate &lt;= shamalEnd Then</t>
        </is>
      </c>
    </row>
    <row r="341">
      <c r="A341" s="52" t="inlineStr">
        <is>
          <t xml:space="preserve">                If wsd.Cells(i, 5).Value = "SAIL" Or wsd.Cells(i, 5).Value = "LOADOUT" Then</t>
        </is>
      </c>
    </row>
    <row r="342">
      <c r="A342" s="52" t="inlineStr">
        <is>
          <t xml:space="preserve">                    CheckShamalRiskOne = CheckShamalRiskOne + 1</t>
        </is>
      </c>
    </row>
    <row r="343">
      <c r="A343" s="52" t="inlineStr">
        <is>
          <t xml:space="preserve">                    outList = outList &amp; vbCrLf &amp; "  - [" &amp; schedName &amp; "] " &amp; wsd.Cells(i, 3).Value &amp; ": " &amp; wsd.Cells(i, 4).Value</t>
        </is>
      </c>
    </row>
    <row r="344">
      <c r="A344" s="52" t="inlineStr">
        <is>
          <t xml:space="preserve">                End If</t>
        </is>
      </c>
    </row>
    <row r="345">
      <c r="A345" s="52" t="inlineStr">
        <is>
          <t xml:space="preserve">            End If</t>
        </is>
      </c>
    </row>
    <row r="346">
      <c r="A346" s="52" t="inlineStr">
        <is>
          <t xml:space="preserve">        End If</t>
        </is>
      </c>
    </row>
    <row r="347">
      <c r="A347" s="52" t="inlineStr">
        <is>
          <t xml:space="preserve">    Next i</t>
        </is>
      </c>
    </row>
    <row r="348">
      <c r="A348" s="52" t="inlineStr">
        <is>
          <t>End Function</t>
        </is>
      </c>
    </row>
    <row r="349">
      <c r="A349" s="52" t="inlineStr"/>
    </row>
    <row r="350">
      <c r="A350" s="52" t="inlineStr">
        <is>
          <t>' ============================================</t>
        </is>
      </c>
    </row>
    <row r="351">
      <c r="A351" s="52" t="inlineStr">
        <is>
          <t>' 8) Control Panel 설정 보기</t>
        </is>
      </c>
    </row>
    <row r="352">
      <c r="A352" s="52" t="inlineStr">
        <is>
          <t>' ============================================</t>
        </is>
      </c>
    </row>
    <row r="353">
      <c r="A353" s="52" t="inlineStr">
        <is>
          <t>Public Sub ShowControlPanelSettings()</t>
        </is>
      </c>
    </row>
    <row r="354">
      <c r="A354" s="52" t="inlineStr">
        <is>
          <t xml:space="preserve">    Dim msg As String</t>
        </is>
      </c>
    </row>
    <row r="355">
      <c r="A355" s="52" t="inlineStr">
        <is>
          <t xml:space="preserve">    msg = "Project Start: " &amp; Format(Sheets("Control_Panel").Range("B4").Value, "YYYY-MM-DD") &amp; vbCrLf &amp; _</t>
        </is>
      </c>
    </row>
    <row r="356">
      <c r="A356" s="52" t="inlineStr">
        <is>
          <t xml:space="preserve">          "Target End: " &amp; Format(Sheets("Control_Panel").Range("B5").Value, "YYYY-MM-DD") &amp; vbCrLf &amp; _</t>
        </is>
      </c>
    </row>
    <row r="357">
      <c r="A357" s="52" t="inlineStr">
        <is>
          <t xml:space="preserve">          "Shamal: " &amp; Format(Sheets("Control_Panel").Range("H5").Value, "YYYY-MM-DD") &amp; " ~ " &amp; Format(Sheets("Control_Panel").Range("H6").Value, "YYYY-MM-DD") &amp; vbCrLf &amp; _</t>
        </is>
      </c>
    </row>
    <row r="358">
      <c r="A358" s="52" t="inlineStr">
        <is>
          <t xml:space="preserve">          "Tide Threshold: " &amp; Format(Sheets("Control_Panel").Range("H7").Value, "0.00") &amp; "m"</t>
        </is>
      </c>
    </row>
    <row r="359">
      <c r="A359" s="52" t="inlineStr">
        <is>
          <t xml:space="preserve">    MsgBox msg, vbInformation, "Control Panel Settings"</t>
        </is>
      </c>
    </row>
    <row r="360">
      <c r="A360" s="52" t="inlineStr">
        <is>
          <t>End Sub</t>
        </is>
      </c>
    </row>
    <row r="361">
      <c r="A361" s="52" t="inlineStr"/>
    </row>
    <row r="362">
      <c r="A362" s="52" t="inlineStr">
        <is>
          <t>' ============================================</t>
        </is>
      </c>
    </row>
    <row r="363">
      <c r="A363" s="52" t="inlineStr">
        <is>
          <t>' 9) 이벤트 코드 (추가로 붙여넣기)</t>
        </is>
      </c>
    </row>
    <row r="364">
      <c r="A364" s="52" t="inlineStr">
        <is>
          <t>' ============================================</t>
        </is>
      </c>
    </row>
    <row r="365">
      <c r="A365" s="52" t="inlineStr">
        <is>
          <t>' [A] Control_Panel 시트 코드 영역에 추가:</t>
        </is>
      </c>
    </row>
    <row r="366">
      <c r="A366" s="52" t="inlineStr">
        <is>
          <t>' Private Sub Worksheet_Change(ByVal Target As Range)</t>
        </is>
      </c>
    </row>
    <row r="367">
      <c r="A367" s="52" t="inlineStr">
        <is>
          <t>'     On Error GoTo CleanUp</t>
        </is>
      </c>
    </row>
    <row r="368">
      <c r="A368" s="52" t="inlineStr">
        <is>
          <t>'     If Intersect(Target, Me.Range("B4:B5,H5:H7,H10:H11")) Is Nothing Then Exit Sub</t>
        </is>
      </c>
    </row>
    <row r="369">
      <c r="A369" s="52" t="inlineStr">
        <is>
          <t>'     Application.EnableEvents = False</t>
        </is>
      </c>
    </row>
    <row r="370">
      <c r="A370" s="52" t="inlineStr">
        <is>
          <t>'     UpdateAllScenarios</t>
        </is>
      </c>
    </row>
    <row r="371">
      <c r="A371" s="52" t="inlineStr">
        <is>
          <t>' CleanUp:</t>
        </is>
      </c>
    </row>
    <row r="372">
      <c r="A372" s="52" t="inlineStr">
        <is>
          <t>'     Application.EnableEvents = True</t>
        </is>
      </c>
    </row>
    <row r="373">
      <c r="A373" s="52" t="inlineStr">
        <is>
          <t>' End Sub</t>
        </is>
      </c>
    </row>
    <row r="374">
      <c r="A374" s="52" t="inlineStr"/>
    </row>
    <row r="375">
      <c r="A375" s="52" t="inlineStr">
        <is>
          <t>' [B] ThisWorkbook 코드 영역에 추가:</t>
        </is>
      </c>
    </row>
    <row r="376">
      <c r="A376" s="52" t="inlineStr">
        <is>
          <t>' Private Sub Workbook_Open()</t>
        </is>
      </c>
    </row>
    <row r="377">
      <c r="A377" s="52" t="inlineStr">
        <is>
          <t>'     Application.EnableEvents = True</t>
        </is>
      </c>
    </row>
    <row r="378">
      <c r="A378" s="52" t="inlineStr">
        <is>
          <t>' End Sub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2026-01-16T10:32:21Z</dcterms:created>
  <dcterms:modified xmlns:dcterms="http://purl.org/dc/terms/" xmlns:xsi="http://www.w3.org/2001/XMLSchema-instance" xsi:type="dcterms:W3CDTF">2026-01-16T10:32:33Z</dcterms:modified>
</cp:coreProperties>
</file>