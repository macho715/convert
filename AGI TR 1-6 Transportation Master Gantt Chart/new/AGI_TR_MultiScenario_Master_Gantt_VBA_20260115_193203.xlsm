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ky\Downloads\PDF_PARSER\MOBILIZATION\"/>
    </mc:Choice>
  </mc:AlternateContent>
  <xr:revisionPtr revIDLastSave="0" documentId="8_{E507FFEC-B202-4BE4-A9A1-9DAD4191FDCF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Control_Panel" sheetId="1" r:id="rId1"/>
    <sheet name="Schedule_Data_Mammoet_Orig" sheetId="2" r:id="rId2"/>
    <sheet name="Gantt_Chart_Mammoet_Orig" sheetId="3" r:id="rId3"/>
    <sheet name="Schedule_Data_Mammoet_ScnA" sheetId="4" r:id="rId4"/>
    <sheet name="Gantt_Chart_Mammoet_ScnA" sheetId="5" r:id="rId5"/>
    <sheet name="Schedule_Data_Mammoet_Alt" sheetId="6" r:id="rId6"/>
    <sheet name="Gantt_Chart_Mammoet_Alt" sheetId="7" r:id="rId7"/>
    <sheet name="Weather_Analysis" sheetId="8" r:id="rId8"/>
    <sheet name="Summary" sheetId="9" r:id="rId9"/>
    <sheet name="VBA_Code" sheetId="10" r:id="rId10"/>
  </sheets>
  <definedNames>
    <definedName name="DUR_BUF">Control_Panel!$E15</definedName>
    <definedName name="DUR_DECK">Control_Panel!$E6</definedName>
    <definedName name="DUR_JD">Control_Panel!$E13</definedName>
    <definedName name="DUR_LO">Control_Panel!$E7</definedName>
    <definedName name="DUR_MOB">Control_Panel!$E5</definedName>
    <definedName name="DUR_MWS">Control_Panel!$E9</definedName>
    <definedName name="DUR_RET">Control_Panel!$E14</definedName>
    <definedName name="DUR_SAIL">Control_Panel!$E10</definedName>
    <definedName name="DUR_SF">Control_Panel!$E8</definedName>
    <definedName name="DUR_TURN">Control_Panel!$E12</definedName>
    <definedName name="DUR_UL">Control_Panel!$E11</definedName>
    <definedName name="EARLY_RETURN">Control_Panel!$B$7</definedName>
    <definedName name="GANTT_BUFFER_DAYS">Control_Panel!$H$9</definedName>
    <definedName name="GANTT_MIN_DAYS">Control_Panel!$H$8</definedName>
    <definedName name="LCT_MAINT_END">Control_Panel!$H$11</definedName>
    <definedName name="LCT_MAINT_START">Control_Panel!$H$10</definedName>
    <definedName name="PROJECT_START">Control_Panel!$B$4</definedName>
    <definedName name="SHAMAL_END">Control_Panel!$H$6</definedName>
    <definedName name="SHAMAL_START">Control_Panel!$H$5</definedName>
    <definedName name="TARGET_END">Control_Panel!$B$5</definedName>
    <definedName name="TIDE_THRESHOLD">Control_Panel!$H$7</definedName>
    <definedName name="VOYAGE_PATTERN">Control_Panel!$B$6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9" l="1"/>
  <c r="B12" i="9"/>
  <c r="G118" i="7"/>
  <c r="D118" i="7"/>
  <c r="C118" i="7"/>
  <c r="B118" i="7"/>
  <c r="A118" i="7"/>
  <c r="G117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G113" i="7"/>
  <c r="D113" i="7"/>
  <c r="C113" i="7"/>
  <c r="B113" i="7"/>
  <c r="A113" i="7"/>
  <c r="G112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G109" i="7"/>
  <c r="E109" i="7"/>
  <c r="D109" i="7"/>
  <c r="C109" i="7"/>
  <c r="B109" i="7"/>
  <c r="A109" i="7"/>
  <c r="G108" i="7"/>
  <c r="E108" i="7"/>
  <c r="D108" i="7"/>
  <c r="C108" i="7"/>
  <c r="B108" i="7"/>
  <c r="A108" i="7"/>
  <c r="G107" i="7"/>
  <c r="E107" i="7"/>
  <c r="D107" i="7"/>
  <c r="C107" i="7"/>
  <c r="B107" i="7"/>
  <c r="A107" i="7"/>
  <c r="G106" i="7"/>
  <c r="E106" i="7"/>
  <c r="D106" i="7"/>
  <c r="C106" i="7"/>
  <c r="B106" i="7"/>
  <c r="A106" i="7"/>
  <c r="G105" i="7"/>
  <c r="E105" i="7"/>
  <c r="D105" i="7"/>
  <c r="C105" i="7"/>
  <c r="B105" i="7"/>
  <c r="A105" i="7"/>
  <c r="G104" i="7"/>
  <c r="E104" i="7"/>
  <c r="D104" i="7"/>
  <c r="C104" i="7"/>
  <c r="B104" i="7"/>
  <c r="A104" i="7"/>
  <c r="G103" i="7"/>
  <c r="E103" i="7"/>
  <c r="D103" i="7"/>
  <c r="C103" i="7"/>
  <c r="B103" i="7"/>
  <c r="A103" i="7"/>
  <c r="G102" i="7"/>
  <c r="E102" i="7"/>
  <c r="D102" i="7"/>
  <c r="C102" i="7"/>
  <c r="B102" i="7"/>
  <c r="A102" i="7"/>
  <c r="G101" i="7"/>
  <c r="E101" i="7"/>
  <c r="D101" i="7"/>
  <c r="C101" i="7"/>
  <c r="B101" i="7"/>
  <c r="A101" i="7"/>
  <c r="G100" i="7"/>
  <c r="E100" i="7"/>
  <c r="D100" i="7"/>
  <c r="C100" i="7"/>
  <c r="B100" i="7"/>
  <c r="A100" i="7"/>
  <c r="G99" i="7"/>
  <c r="E99" i="7"/>
  <c r="D99" i="7"/>
  <c r="C99" i="7"/>
  <c r="B99" i="7"/>
  <c r="A99" i="7"/>
  <c r="G98" i="7"/>
  <c r="E98" i="7"/>
  <c r="D98" i="7"/>
  <c r="C98" i="7"/>
  <c r="B98" i="7"/>
  <c r="A98" i="7"/>
  <c r="G97" i="7"/>
  <c r="E97" i="7"/>
  <c r="D97" i="7"/>
  <c r="C97" i="7"/>
  <c r="B97" i="7"/>
  <c r="A97" i="7"/>
  <c r="G96" i="7"/>
  <c r="E96" i="7"/>
  <c r="D96" i="7"/>
  <c r="C96" i="7"/>
  <c r="B96" i="7"/>
  <c r="A96" i="7"/>
  <c r="G95" i="7"/>
  <c r="E95" i="7"/>
  <c r="D95" i="7"/>
  <c r="C95" i="7"/>
  <c r="B95" i="7"/>
  <c r="A95" i="7"/>
  <c r="G94" i="7"/>
  <c r="E94" i="7"/>
  <c r="D94" i="7"/>
  <c r="C94" i="7"/>
  <c r="B94" i="7"/>
  <c r="A94" i="7"/>
  <c r="G93" i="7"/>
  <c r="E93" i="7"/>
  <c r="D93" i="7"/>
  <c r="C93" i="7"/>
  <c r="B93" i="7"/>
  <c r="A93" i="7"/>
  <c r="G92" i="7"/>
  <c r="E92" i="7"/>
  <c r="D92" i="7"/>
  <c r="C92" i="7"/>
  <c r="B92" i="7"/>
  <c r="A92" i="7"/>
  <c r="G91" i="7"/>
  <c r="E91" i="7"/>
  <c r="D91" i="7"/>
  <c r="C91" i="7"/>
  <c r="B91" i="7"/>
  <c r="A91" i="7"/>
  <c r="G90" i="7"/>
  <c r="E90" i="7"/>
  <c r="D90" i="7"/>
  <c r="C90" i="7"/>
  <c r="B90" i="7"/>
  <c r="A90" i="7"/>
  <c r="G89" i="7"/>
  <c r="E89" i="7"/>
  <c r="D89" i="7"/>
  <c r="C89" i="7"/>
  <c r="B89" i="7"/>
  <c r="A89" i="7"/>
  <c r="G88" i="7"/>
  <c r="E88" i="7"/>
  <c r="D88" i="7"/>
  <c r="C88" i="7"/>
  <c r="B88" i="7"/>
  <c r="A88" i="7"/>
  <c r="G87" i="7"/>
  <c r="E87" i="7"/>
  <c r="D87" i="7"/>
  <c r="C87" i="7"/>
  <c r="B87" i="7"/>
  <c r="A87" i="7"/>
  <c r="G86" i="7"/>
  <c r="E86" i="7"/>
  <c r="D86" i="7"/>
  <c r="C86" i="7"/>
  <c r="B86" i="7"/>
  <c r="A86" i="7"/>
  <c r="G85" i="7"/>
  <c r="E85" i="7"/>
  <c r="D85" i="7"/>
  <c r="C85" i="7"/>
  <c r="B85" i="7"/>
  <c r="A85" i="7"/>
  <c r="G84" i="7"/>
  <c r="E84" i="7"/>
  <c r="D84" i="7"/>
  <c r="C84" i="7"/>
  <c r="B84" i="7"/>
  <c r="A84" i="7"/>
  <c r="G83" i="7"/>
  <c r="E83" i="7"/>
  <c r="D83" i="7"/>
  <c r="C83" i="7"/>
  <c r="B83" i="7"/>
  <c r="A83" i="7"/>
  <c r="G82" i="7"/>
  <c r="E82" i="7"/>
  <c r="D82" i="7"/>
  <c r="C82" i="7"/>
  <c r="B82" i="7"/>
  <c r="A82" i="7"/>
  <c r="G81" i="7"/>
  <c r="E81" i="7"/>
  <c r="D81" i="7"/>
  <c r="C81" i="7"/>
  <c r="B81" i="7"/>
  <c r="A81" i="7"/>
  <c r="G80" i="7"/>
  <c r="E80" i="7"/>
  <c r="D80" i="7"/>
  <c r="C80" i="7"/>
  <c r="B80" i="7"/>
  <c r="A80" i="7"/>
  <c r="G79" i="7"/>
  <c r="E79" i="7"/>
  <c r="D79" i="7"/>
  <c r="C79" i="7"/>
  <c r="B79" i="7"/>
  <c r="A79" i="7"/>
  <c r="G78" i="7"/>
  <c r="E78" i="7"/>
  <c r="D78" i="7"/>
  <c r="C78" i="7"/>
  <c r="B78" i="7"/>
  <c r="A78" i="7"/>
  <c r="G77" i="7"/>
  <c r="E77" i="7"/>
  <c r="D77" i="7"/>
  <c r="C77" i="7"/>
  <c r="B77" i="7"/>
  <c r="A77" i="7"/>
  <c r="G76" i="7"/>
  <c r="E76" i="7"/>
  <c r="D76" i="7"/>
  <c r="C76" i="7"/>
  <c r="B76" i="7"/>
  <c r="A76" i="7"/>
  <c r="G75" i="7"/>
  <c r="E75" i="7"/>
  <c r="D75" i="7"/>
  <c r="C75" i="7"/>
  <c r="B75" i="7"/>
  <c r="A75" i="7"/>
  <c r="G74" i="7"/>
  <c r="E74" i="7"/>
  <c r="D74" i="7"/>
  <c r="C74" i="7"/>
  <c r="B74" i="7"/>
  <c r="A74" i="7"/>
  <c r="G73" i="7"/>
  <c r="E73" i="7"/>
  <c r="D73" i="7"/>
  <c r="C73" i="7"/>
  <c r="B73" i="7"/>
  <c r="A73" i="7"/>
  <c r="G72" i="7"/>
  <c r="E72" i="7"/>
  <c r="D72" i="7"/>
  <c r="C72" i="7"/>
  <c r="B72" i="7"/>
  <c r="A72" i="7"/>
  <c r="G71" i="7"/>
  <c r="E71" i="7"/>
  <c r="D71" i="7"/>
  <c r="C71" i="7"/>
  <c r="B71" i="7"/>
  <c r="A71" i="7"/>
  <c r="G70" i="7"/>
  <c r="E70" i="7"/>
  <c r="D70" i="7"/>
  <c r="C70" i="7"/>
  <c r="B70" i="7"/>
  <c r="A70" i="7"/>
  <c r="G69" i="7"/>
  <c r="E69" i="7"/>
  <c r="D69" i="7"/>
  <c r="C69" i="7"/>
  <c r="B69" i="7"/>
  <c r="A69" i="7"/>
  <c r="G68" i="7"/>
  <c r="E68" i="7"/>
  <c r="D68" i="7"/>
  <c r="C68" i="7"/>
  <c r="B68" i="7"/>
  <c r="A68" i="7"/>
  <c r="G67" i="7"/>
  <c r="E67" i="7"/>
  <c r="D67" i="7"/>
  <c r="C67" i="7"/>
  <c r="B67" i="7"/>
  <c r="A67" i="7"/>
  <c r="G66" i="7"/>
  <c r="E66" i="7"/>
  <c r="D66" i="7"/>
  <c r="C66" i="7"/>
  <c r="B66" i="7"/>
  <c r="A66" i="7"/>
  <c r="G65" i="7"/>
  <c r="E65" i="7"/>
  <c r="D65" i="7"/>
  <c r="C65" i="7"/>
  <c r="B65" i="7"/>
  <c r="A65" i="7"/>
  <c r="G64" i="7"/>
  <c r="E64" i="7"/>
  <c r="D64" i="7"/>
  <c r="C64" i="7"/>
  <c r="B64" i="7"/>
  <c r="A64" i="7"/>
  <c r="G63" i="7"/>
  <c r="E63" i="7"/>
  <c r="D63" i="7"/>
  <c r="C63" i="7"/>
  <c r="B63" i="7"/>
  <c r="A63" i="7"/>
  <c r="G62" i="7"/>
  <c r="E62" i="7"/>
  <c r="D62" i="7"/>
  <c r="C62" i="7"/>
  <c r="B62" i="7"/>
  <c r="A62" i="7"/>
  <c r="G61" i="7"/>
  <c r="E61" i="7"/>
  <c r="D61" i="7"/>
  <c r="C61" i="7"/>
  <c r="B61" i="7"/>
  <c r="A61" i="7"/>
  <c r="G60" i="7"/>
  <c r="E60" i="7"/>
  <c r="D60" i="7"/>
  <c r="C60" i="7"/>
  <c r="B60" i="7"/>
  <c r="A60" i="7"/>
  <c r="G59" i="7"/>
  <c r="E59" i="7"/>
  <c r="D59" i="7"/>
  <c r="C59" i="7"/>
  <c r="B59" i="7"/>
  <c r="A59" i="7"/>
  <c r="G58" i="7"/>
  <c r="E58" i="7"/>
  <c r="D58" i="7"/>
  <c r="C58" i="7"/>
  <c r="B58" i="7"/>
  <c r="A58" i="7"/>
  <c r="G57" i="7"/>
  <c r="E57" i="7"/>
  <c r="D57" i="7"/>
  <c r="C57" i="7"/>
  <c r="B57" i="7"/>
  <c r="A57" i="7"/>
  <c r="G56" i="7"/>
  <c r="E56" i="7"/>
  <c r="D56" i="7"/>
  <c r="C56" i="7"/>
  <c r="B56" i="7"/>
  <c r="A56" i="7"/>
  <c r="G55" i="7"/>
  <c r="E55" i="7"/>
  <c r="D55" i="7"/>
  <c r="C55" i="7"/>
  <c r="B55" i="7"/>
  <c r="A55" i="7"/>
  <c r="G54" i="7"/>
  <c r="E54" i="7"/>
  <c r="D54" i="7"/>
  <c r="C54" i="7"/>
  <c r="B54" i="7"/>
  <c r="A54" i="7"/>
  <c r="G53" i="7"/>
  <c r="E53" i="7"/>
  <c r="D53" i="7"/>
  <c r="C53" i="7"/>
  <c r="B53" i="7"/>
  <c r="A53" i="7"/>
  <c r="G52" i="7"/>
  <c r="E52" i="7"/>
  <c r="D52" i="7"/>
  <c r="C52" i="7"/>
  <c r="B52" i="7"/>
  <c r="A52" i="7"/>
  <c r="G51" i="7"/>
  <c r="E51" i="7"/>
  <c r="D51" i="7"/>
  <c r="C51" i="7"/>
  <c r="B51" i="7"/>
  <c r="A51" i="7"/>
  <c r="G50" i="7"/>
  <c r="E50" i="7"/>
  <c r="D50" i="7"/>
  <c r="C50" i="7"/>
  <c r="B50" i="7"/>
  <c r="A50" i="7"/>
  <c r="G49" i="7"/>
  <c r="E49" i="7"/>
  <c r="D49" i="7"/>
  <c r="C49" i="7"/>
  <c r="B49" i="7"/>
  <c r="A49" i="7"/>
  <c r="G48" i="7"/>
  <c r="E48" i="7"/>
  <c r="D48" i="7"/>
  <c r="C48" i="7"/>
  <c r="B48" i="7"/>
  <c r="A48" i="7"/>
  <c r="G47" i="7"/>
  <c r="E47" i="7"/>
  <c r="D47" i="7"/>
  <c r="C47" i="7"/>
  <c r="B47" i="7"/>
  <c r="A47" i="7"/>
  <c r="G46" i="7"/>
  <c r="E46" i="7"/>
  <c r="D46" i="7"/>
  <c r="C46" i="7"/>
  <c r="B46" i="7"/>
  <c r="A46" i="7"/>
  <c r="G45" i="7"/>
  <c r="E45" i="7"/>
  <c r="D45" i="7"/>
  <c r="C45" i="7"/>
  <c r="B45" i="7"/>
  <c r="A45" i="7"/>
  <c r="G44" i="7"/>
  <c r="E44" i="7"/>
  <c r="D44" i="7"/>
  <c r="C44" i="7"/>
  <c r="B44" i="7"/>
  <c r="A44" i="7"/>
  <c r="G43" i="7"/>
  <c r="F43" i="7"/>
  <c r="E43" i="7"/>
  <c r="D43" i="7"/>
  <c r="C43" i="7"/>
  <c r="B43" i="7"/>
  <c r="A43" i="7"/>
  <c r="G42" i="7"/>
  <c r="E42" i="7"/>
  <c r="D42" i="7"/>
  <c r="C42" i="7"/>
  <c r="B42" i="7"/>
  <c r="A42" i="7"/>
  <c r="G41" i="7"/>
  <c r="E41" i="7"/>
  <c r="D41" i="7"/>
  <c r="C41" i="7"/>
  <c r="B41" i="7"/>
  <c r="A41" i="7"/>
  <c r="G40" i="7"/>
  <c r="E40" i="7"/>
  <c r="D40" i="7"/>
  <c r="C40" i="7"/>
  <c r="B40" i="7"/>
  <c r="A40" i="7"/>
  <c r="G39" i="7"/>
  <c r="D39" i="7"/>
  <c r="C39" i="7"/>
  <c r="B39" i="7"/>
  <c r="A39" i="7"/>
  <c r="G38" i="7"/>
  <c r="E38" i="7"/>
  <c r="D38" i="7"/>
  <c r="C38" i="7"/>
  <c r="B38" i="7"/>
  <c r="A38" i="7"/>
  <c r="G37" i="7"/>
  <c r="E37" i="7"/>
  <c r="D37" i="7"/>
  <c r="C37" i="7"/>
  <c r="B37" i="7"/>
  <c r="A37" i="7"/>
  <c r="G36" i="7"/>
  <c r="E36" i="7"/>
  <c r="D36" i="7"/>
  <c r="C36" i="7"/>
  <c r="B36" i="7"/>
  <c r="A36" i="7"/>
  <c r="G35" i="7"/>
  <c r="E35" i="7"/>
  <c r="D35" i="7"/>
  <c r="C35" i="7"/>
  <c r="B35" i="7"/>
  <c r="A35" i="7"/>
  <c r="G34" i="7"/>
  <c r="E34" i="7"/>
  <c r="D34" i="7"/>
  <c r="C34" i="7"/>
  <c r="B34" i="7"/>
  <c r="A34" i="7"/>
  <c r="G33" i="7"/>
  <c r="E33" i="7"/>
  <c r="D33" i="7"/>
  <c r="C33" i="7"/>
  <c r="B33" i="7"/>
  <c r="A33" i="7"/>
  <c r="G32" i="7"/>
  <c r="E32" i="7"/>
  <c r="D32" i="7"/>
  <c r="C32" i="7"/>
  <c r="B32" i="7"/>
  <c r="A32" i="7"/>
  <c r="G31" i="7"/>
  <c r="E31" i="7"/>
  <c r="D31" i="7"/>
  <c r="C31" i="7"/>
  <c r="B31" i="7"/>
  <c r="A31" i="7"/>
  <c r="G30" i="7"/>
  <c r="E30" i="7"/>
  <c r="D30" i="7"/>
  <c r="C30" i="7"/>
  <c r="B30" i="7"/>
  <c r="A30" i="7"/>
  <c r="G29" i="7"/>
  <c r="E29" i="7"/>
  <c r="D29" i="7"/>
  <c r="C29" i="7"/>
  <c r="B29" i="7"/>
  <c r="A29" i="7"/>
  <c r="G28" i="7"/>
  <c r="E28" i="7"/>
  <c r="D28" i="7"/>
  <c r="C28" i="7"/>
  <c r="B28" i="7"/>
  <c r="A28" i="7"/>
  <c r="G27" i="7"/>
  <c r="E27" i="7"/>
  <c r="D27" i="7"/>
  <c r="C27" i="7"/>
  <c r="B27" i="7"/>
  <c r="A27" i="7"/>
  <c r="G26" i="7"/>
  <c r="E26" i="7"/>
  <c r="D26" i="7"/>
  <c r="C26" i="7"/>
  <c r="B26" i="7"/>
  <c r="A26" i="7"/>
  <c r="G25" i="7"/>
  <c r="E25" i="7"/>
  <c r="D25" i="7"/>
  <c r="C25" i="7"/>
  <c r="B25" i="7"/>
  <c r="A25" i="7"/>
  <c r="G24" i="7"/>
  <c r="E24" i="7"/>
  <c r="D24" i="7"/>
  <c r="C24" i="7"/>
  <c r="B24" i="7"/>
  <c r="A24" i="7"/>
  <c r="G23" i="7"/>
  <c r="E23" i="7"/>
  <c r="D23" i="7"/>
  <c r="C23" i="7"/>
  <c r="B23" i="7"/>
  <c r="A23" i="7"/>
  <c r="G22" i="7"/>
  <c r="E22" i="7"/>
  <c r="D22" i="7"/>
  <c r="C22" i="7"/>
  <c r="B22" i="7"/>
  <c r="A22" i="7"/>
  <c r="G21" i="7"/>
  <c r="E21" i="7"/>
  <c r="D21" i="7"/>
  <c r="C21" i="7"/>
  <c r="B21" i="7"/>
  <c r="A21" i="7"/>
  <c r="G20" i="7"/>
  <c r="E20" i="7"/>
  <c r="D20" i="7"/>
  <c r="C20" i="7"/>
  <c r="B20" i="7"/>
  <c r="A20" i="7"/>
  <c r="G19" i="7"/>
  <c r="E19" i="7"/>
  <c r="D19" i="7"/>
  <c r="C19" i="7"/>
  <c r="B19" i="7"/>
  <c r="A19" i="7"/>
  <c r="G18" i="7"/>
  <c r="E18" i="7"/>
  <c r="D18" i="7"/>
  <c r="C18" i="7"/>
  <c r="B18" i="7"/>
  <c r="A18" i="7"/>
  <c r="G17" i="7"/>
  <c r="E17" i="7"/>
  <c r="D17" i="7"/>
  <c r="C17" i="7"/>
  <c r="B17" i="7"/>
  <c r="A17" i="7"/>
  <c r="G16" i="7"/>
  <c r="E16" i="7"/>
  <c r="D16" i="7"/>
  <c r="C16" i="7"/>
  <c r="B16" i="7"/>
  <c r="A16" i="7"/>
  <c r="G15" i="7"/>
  <c r="E15" i="7"/>
  <c r="D15" i="7"/>
  <c r="C15" i="7"/>
  <c r="B15" i="7"/>
  <c r="A15" i="7"/>
  <c r="G14" i="7"/>
  <c r="E14" i="7"/>
  <c r="D14" i="7"/>
  <c r="C14" i="7"/>
  <c r="B14" i="7"/>
  <c r="A14" i="7"/>
  <c r="G13" i="7"/>
  <c r="E13" i="7"/>
  <c r="D13" i="7"/>
  <c r="C13" i="7"/>
  <c r="B13" i="7"/>
  <c r="A13" i="7"/>
  <c r="G12" i="7"/>
  <c r="E12" i="7"/>
  <c r="D12" i="7"/>
  <c r="C12" i="7"/>
  <c r="B12" i="7"/>
  <c r="A12" i="7"/>
  <c r="G11" i="7"/>
  <c r="E11" i="7"/>
  <c r="D11" i="7"/>
  <c r="C11" i="7"/>
  <c r="B11" i="7"/>
  <c r="A11" i="7"/>
  <c r="G10" i="7"/>
  <c r="E10" i="7"/>
  <c r="D10" i="7"/>
  <c r="C10" i="7"/>
  <c r="B10" i="7"/>
  <c r="A10" i="7"/>
  <c r="G9" i="7"/>
  <c r="E9" i="7"/>
  <c r="D9" i="7"/>
  <c r="C9" i="7"/>
  <c r="B9" i="7"/>
  <c r="A9" i="7"/>
  <c r="G8" i="7"/>
  <c r="E8" i="7"/>
  <c r="D8" i="7"/>
  <c r="C8" i="7"/>
  <c r="B8" i="7"/>
  <c r="A8" i="7"/>
  <c r="G7" i="7"/>
  <c r="E7" i="7"/>
  <c r="D7" i="7"/>
  <c r="C7" i="7"/>
  <c r="B7" i="7"/>
  <c r="A7" i="7"/>
  <c r="G6" i="7"/>
  <c r="E6" i="7"/>
  <c r="D6" i="7"/>
  <c r="C6" i="7"/>
  <c r="B6" i="7"/>
  <c r="A6" i="7"/>
  <c r="G5" i="7"/>
  <c r="E5" i="7"/>
  <c r="D5" i="7"/>
  <c r="C5" i="7"/>
  <c r="B5" i="7"/>
  <c r="A5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F119" i="6"/>
  <c r="F118" i="6"/>
  <c r="H117" i="6"/>
  <c r="G116" i="7" s="1"/>
  <c r="F117" i="6"/>
  <c r="H116" i="6"/>
  <c r="G115" i="7" s="1"/>
  <c r="F116" i="6"/>
  <c r="H115" i="6"/>
  <c r="G114" i="7" s="1"/>
  <c r="F115" i="6"/>
  <c r="F114" i="6"/>
  <c r="F113" i="6"/>
  <c r="H112" i="6"/>
  <c r="G111" i="7" s="1"/>
  <c r="F112" i="6"/>
  <c r="H111" i="6"/>
  <c r="G110" i="7" s="1"/>
  <c r="F111" i="6"/>
  <c r="H110" i="6"/>
  <c r="F110" i="6"/>
  <c r="G110" i="6" s="1"/>
  <c r="F109" i="7" s="1"/>
  <c r="H109" i="6"/>
  <c r="F109" i="6"/>
  <c r="G109" i="6" s="1"/>
  <c r="F108" i="7" s="1"/>
  <c r="H108" i="6"/>
  <c r="F108" i="6"/>
  <c r="G108" i="6" s="1"/>
  <c r="F107" i="7" s="1"/>
  <c r="F107" i="6"/>
  <c r="G107" i="6" s="1"/>
  <c r="F106" i="7" s="1"/>
  <c r="H106" i="6"/>
  <c r="F106" i="6"/>
  <c r="G106" i="6" s="1"/>
  <c r="F105" i="7" s="1"/>
  <c r="F105" i="6"/>
  <c r="G105" i="6" s="1"/>
  <c r="F104" i="7" s="1"/>
  <c r="F104" i="6"/>
  <c r="G104" i="6" s="1"/>
  <c r="F103" i="7" s="1"/>
  <c r="F103" i="6"/>
  <c r="G103" i="6" s="1"/>
  <c r="F102" i="7" s="1"/>
  <c r="H102" i="6"/>
  <c r="F102" i="6"/>
  <c r="G102" i="6" s="1"/>
  <c r="F101" i="7" s="1"/>
  <c r="F101" i="6"/>
  <c r="G101" i="6" s="1"/>
  <c r="F100" i="7" s="1"/>
  <c r="F100" i="6"/>
  <c r="G100" i="6" s="1"/>
  <c r="F99" i="7" s="1"/>
  <c r="H99" i="6"/>
  <c r="F99" i="6"/>
  <c r="G99" i="6" s="1"/>
  <c r="F98" i="7" s="1"/>
  <c r="H98" i="6"/>
  <c r="F98" i="6"/>
  <c r="G98" i="6" s="1"/>
  <c r="F97" i="7" s="1"/>
  <c r="H97" i="6"/>
  <c r="F97" i="6"/>
  <c r="G97" i="6" s="1"/>
  <c r="F96" i="7" s="1"/>
  <c r="F96" i="6"/>
  <c r="G96" i="6" s="1"/>
  <c r="F95" i="7" s="1"/>
  <c r="F95" i="6"/>
  <c r="G95" i="6" s="1"/>
  <c r="F94" i="7" s="1"/>
  <c r="H94" i="6"/>
  <c r="F94" i="6"/>
  <c r="G94" i="6" s="1"/>
  <c r="F93" i="7" s="1"/>
  <c r="H93" i="6"/>
  <c r="F93" i="6"/>
  <c r="G93" i="6" s="1"/>
  <c r="F92" i="7" s="1"/>
  <c r="F92" i="6"/>
  <c r="G92" i="6" s="1"/>
  <c r="F91" i="7" s="1"/>
  <c r="F91" i="6"/>
  <c r="G91" i="6" s="1"/>
  <c r="F90" i="7" s="1"/>
  <c r="H90" i="6"/>
  <c r="F90" i="6"/>
  <c r="G90" i="6" s="1"/>
  <c r="F89" i="7" s="1"/>
  <c r="H89" i="6"/>
  <c r="F89" i="6"/>
  <c r="G89" i="6" s="1"/>
  <c r="F88" i="7" s="1"/>
  <c r="H88" i="6"/>
  <c r="F88" i="6"/>
  <c r="G88" i="6" s="1"/>
  <c r="F87" i="7" s="1"/>
  <c r="H87" i="6"/>
  <c r="F87" i="6"/>
  <c r="G87" i="6" s="1"/>
  <c r="F86" i="7" s="1"/>
  <c r="H86" i="6"/>
  <c r="F86" i="6"/>
  <c r="G86" i="6" s="1"/>
  <c r="F85" i="7" s="1"/>
  <c r="H85" i="6"/>
  <c r="F85" i="6"/>
  <c r="G85" i="6" s="1"/>
  <c r="F84" i="7" s="1"/>
  <c r="F84" i="6"/>
  <c r="G84" i="6" s="1"/>
  <c r="F83" i="7" s="1"/>
  <c r="H83" i="6"/>
  <c r="F83" i="6"/>
  <c r="G83" i="6" s="1"/>
  <c r="F82" i="7" s="1"/>
  <c r="F82" i="6"/>
  <c r="G82" i="6" s="1"/>
  <c r="F81" i="7" s="1"/>
  <c r="F81" i="6"/>
  <c r="G81" i="6" s="1"/>
  <c r="F80" i="7" s="1"/>
  <c r="F80" i="6"/>
  <c r="G80" i="6" s="1"/>
  <c r="F79" i="7" s="1"/>
  <c r="H79" i="6"/>
  <c r="F79" i="6"/>
  <c r="G79" i="6" s="1"/>
  <c r="F78" i="7" s="1"/>
  <c r="H78" i="6"/>
  <c r="F78" i="6"/>
  <c r="G78" i="6" s="1"/>
  <c r="F77" i="7" s="1"/>
  <c r="F77" i="6"/>
  <c r="G77" i="6" s="1"/>
  <c r="F76" i="7" s="1"/>
  <c r="F76" i="6"/>
  <c r="G76" i="6" s="1"/>
  <c r="F75" i="7" s="1"/>
  <c r="F75" i="6"/>
  <c r="G75" i="6" s="1"/>
  <c r="F74" i="7" s="1"/>
  <c r="H74" i="6"/>
  <c r="F74" i="6"/>
  <c r="G74" i="6" s="1"/>
  <c r="F73" i="7" s="1"/>
  <c r="F73" i="6"/>
  <c r="G73" i="6" s="1"/>
  <c r="F72" i="7" s="1"/>
  <c r="F72" i="6"/>
  <c r="G72" i="6" s="1"/>
  <c r="F71" i="7" s="1"/>
  <c r="H71" i="6"/>
  <c r="F71" i="6"/>
  <c r="G71" i="6" s="1"/>
  <c r="F70" i="7" s="1"/>
  <c r="H70" i="6"/>
  <c r="F70" i="6"/>
  <c r="G70" i="6" s="1"/>
  <c r="F69" i="7" s="1"/>
  <c r="H69" i="6"/>
  <c r="F69" i="6"/>
  <c r="G69" i="6" s="1"/>
  <c r="F68" i="7" s="1"/>
  <c r="F68" i="6"/>
  <c r="G68" i="6" s="1"/>
  <c r="F67" i="7" s="1"/>
  <c r="F67" i="6"/>
  <c r="G67" i="6" s="1"/>
  <c r="F66" i="7" s="1"/>
  <c r="H66" i="6"/>
  <c r="F66" i="6"/>
  <c r="G66" i="6" s="1"/>
  <c r="F65" i="7" s="1"/>
  <c r="H65" i="6"/>
  <c r="F65" i="6"/>
  <c r="G65" i="6" s="1"/>
  <c r="F64" i="7" s="1"/>
  <c r="F64" i="6"/>
  <c r="G64" i="6" s="1"/>
  <c r="F63" i="7" s="1"/>
  <c r="F63" i="6"/>
  <c r="G63" i="6" s="1"/>
  <c r="F62" i="7" s="1"/>
  <c r="H62" i="6"/>
  <c r="F62" i="6"/>
  <c r="G62" i="6" s="1"/>
  <c r="F61" i="7" s="1"/>
  <c r="H61" i="6"/>
  <c r="F61" i="6"/>
  <c r="G61" i="6" s="1"/>
  <c r="F60" i="7" s="1"/>
  <c r="H60" i="6"/>
  <c r="F60" i="6"/>
  <c r="G60" i="6" s="1"/>
  <c r="F59" i="7" s="1"/>
  <c r="H59" i="6"/>
  <c r="F59" i="6"/>
  <c r="G59" i="6" s="1"/>
  <c r="F58" i="7" s="1"/>
  <c r="H58" i="6"/>
  <c r="F58" i="6"/>
  <c r="G58" i="6" s="1"/>
  <c r="F57" i="7" s="1"/>
  <c r="H57" i="6"/>
  <c r="F57" i="6"/>
  <c r="G57" i="6" s="1"/>
  <c r="F56" i="7" s="1"/>
  <c r="F56" i="6"/>
  <c r="G56" i="6" s="1"/>
  <c r="F55" i="7" s="1"/>
  <c r="H55" i="6"/>
  <c r="F55" i="6"/>
  <c r="G55" i="6" s="1"/>
  <c r="F54" i="7" s="1"/>
  <c r="F54" i="6"/>
  <c r="G54" i="6" s="1"/>
  <c r="F53" i="7" s="1"/>
  <c r="F53" i="6"/>
  <c r="G53" i="6" s="1"/>
  <c r="F52" i="7" s="1"/>
  <c r="F52" i="6"/>
  <c r="G52" i="6" s="1"/>
  <c r="F51" i="7" s="1"/>
  <c r="H51" i="6"/>
  <c r="F51" i="6"/>
  <c r="G51" i="6" s="1"/>
  <c r="F50" i="7" s="1"/>
  <c r="H50" i="6"/>
  <c r="F50" i="6"/>
  <c r="G50" i="6" s="1"/>
  <c r="F49" i="7" s="1"/>
  <c r="F49" i="6"/>
  <c r="G49" i="6" s="1"/>
  <c r="F48" i="7" s="1"/>
  <c r="F48" i="6"/>
  <c r="G48" i="6" s="1"/>
  <c r="F47" i="7" s="1"/>
  <c r="F47" i="6"/>
  <c r="G47" i="6" s="1"/>
  <c r="F46" i="7" s="1"/>
  <c r="H46" i="6"/>
  <c r="F46" i="6"/>
  <c r="G46" i="6" s="1"/>
  <c r="F45" i="7" s="1"/>
  <c r="F45" i="6"/>
  <c r="G45" i="6" s="1"/>
  <c r="F44" i="7" s="1"/>
  <c r="G44" i="6"/>
  <c r="F44" i="6"/>
  <c r="H43" i="6"/>
  <c r="F43" i="6"/>
  <c r="G43" i="6" s="1"/>
  <c r="F42" i="7" s="1"/>
  <c r="H42" i="6"/>
  <c r="F42" i="6"/>
  <c r="G42" i="6" s="1"/>
  <c r="F41" i="7" s="1"/>
  <c r="H41" i="6"/>
  <c r="F41" i="6"/>
  <c r="G41" i="6" s="1"/>
  <c r="F40" i="7" s="1"/>
  <c r="F40" i="6"/>
  <c r="F39" i="6"/>
  <c r="G39" i="6" s="1"/>
  <c r="F38" i="7" s="1"/>
  <c r="H38" i="6"/>
  <c r="F38" i="6"/>
  <c r="G38" i="6" s="1"/>
  <c r="F37" i="7" s="1"/>
  <c r="H37" i="6"/>
  <c r="F37" i="6"/>
  <c r="G37" i="6" s="1"/>
  <c r="F36" i="7" s="1"/>
  <c r="F36" i="6"/>
  <c r="G36" i="6" s="1"/>
  <c r="F35" i="7" s="1"/>
  <c r="F35" i="6"/>
  <c r="G35" i="6" s="1"/>
  <c r="F34" i="7" s="1"/>
  <c r="H34" i="6"/>
  <c r="F34" i="6"/>
  <c r="G34" i="6" s="1"/>
  <c r="F33" i="7" s="1"/>
  <c r="H33" i="6"/>
  <c r="F33" i="6"/>
  <c r="G33" i="6" s="1"/>
  <c r="F32" i="7" s="1"/>
  <c r="H32" i="6"/>
  <c r="F32" i="6"/>
  <c r="G32" i="6" s="1"/>
  <c r="F31" i="7" s="1"/>
  <c r="H31" i="6"/>
  <c r="F31" i="6"/>
  <c r="G31" i="6" s="1"/>
  <c r="F30" i="7" s="1"/>
  <c r="H30" i="6"/>
  <c r="F30" i="6"/>
  <c r="G30" i="6" s="1"/>
  <c r="F29" i="7" s="1"/>
  <c r="H29" i="6"/>
  <c r="F29" i="6"/>
  <c r="G29" i="6" s="1"/>
  <c r="F28" i="7" s="1"/>
  <c r="F28" i="6"/>
  <c r="G28" i="6" s="1"/>
  <c r="F27" i="7" s="1"/>
  <c r="H27" i="6"/>
  <c r="F27" i="6"/>
  <c r="G27" i="6" s="1"/>
  <c r="F26" i="7" s="1"/>
  <c r="F26" i="6"/>
  <c r="G26" i="6" s="1"/>
  <c r="F25" i="7" s="1"/>
  <c r="F25" i="6"/>
  <c r="G25" i="6" s="1"/>
  <c r="F24" i="7" s="1"/>
  <c r="F24" i="6"/>
  <c r="G24" i="6" s="1"/>
  <c r="F23" i="7" s="1"/>
  <c r="H23" i="6"/>
  <c r="F23" i="6"/>
  <c r="G23" i="6" s="1"/>
  <c r="F22" i="7" s="1"/>
  <c r="H22" i="6"/>
  <c r="F22" i="6"/>
  <c r="G22" i="6" s="1"/>
  <c r="F21" i="7" s="1"/>
  <c r="F21" i="6"/>
  <c r="G21" i="6" s="1"/>
  <c r="F20" i="7" s="1"/>
  <c r="F20" i="6"/>
  <c r="G20" i="6" s="1"/>
  <c r="F19" i="7" s="1"/>
  <c r="F19" i="6"/>
  <c r="G19" i="6" s="1"/>
  <c r="F18" i="7" s="1"/>
  <c r="H18" i="6"/>
  <c r="F18" i="6"/>
  <c r="G18" i="6" s="1"/>
  <c r="F17" i="7" s="1"/>
  <c r="F17" i="6"/>
  <c r="G17" i="6" s="1"/>
  <c r="F16" i="7" s="1"/>
  <c r="H16" i="6"/>
  <c r="F16" i="6"/>
  <c r="G16" i="6" s="1"/>
  <c r="F15" i="7" s="1"/>
  <c r="H15" i="6"/>
  <c r="F15" i="6"/>
  <c r="G15" i="6" s="1"/>
  <c r="F14" i="7" s="1"/>
  <c r="H14" i="6"/>
  <c r="F14" i="6"/>
  <c r="G14" i="6" s="1"/>
  <c r="F13" i="7" s="1"/>
  <c r="H13" i="6"/>
  <c r="F13" i="6"/>
  <c r="G13" i="6" s="1"/>
  <c r="F12" i="7" s="1"/>
  <c r="H12" i="6"/>
  <c r="F12" i="6"/>
  <c r="G12" i="6" s="1"/>
  <c r="F11" i="7" s="1"/>
  <c r="H11" i="6"/>
  <c r="F11" i="6"/>
  <c r="G11" i="6" s="1"/>
  <c r="F10" i="7" s="1"/>
  <c r="H10" i="6"/>
  <c r="F10" i="6"/>
  <c r="G10" i="6" s="1"/>
  <c r="F9" i="7" s="1"/>
  <c r="H9" i="6"/>
  <c r="F9" i="6"/>
  <c r="G9" i="6" s="1"/>
  <c r="F8" i="7" s="1"/>
  <c r="H8" i="6"/>
  <c r="F8" i="6"/>
  <c r="G8" i="6" s="1"/>
  <c r="F7" i="7" s="1"/>
  <c r="H7" i="6"/>
  <c r="F7" i="6"/>
  <c r="G7" i="6" s="1"/>
  <c r="F6" i="7" s="1"/>
  <c r="H6" i="6"/>
  <c r="F6" i="6"/>
  <c r="G6" i="6" s="1"/>
  <c r="F5" i="7" s="1"/>
  <c r="G142" i="5"/>
  <c r="D142" i="5"/>
  <c r="C142" i="5"/>
  <c r="B142" i="5"/>
  <c r="A142" i="5"/>
  <c r="G141" i="5"/>
  <c r="D141" i="5"/>
  <c r="C141" i="5"/>
  <c r="B141" i="5"/>
  <c r="A141" i="5"/>
  <c r="D140" i="5"/>
  <c r="C140" i="5"/>
  <c r="B140" i="5"/>
  <c r="A140" i="5"/>
  <c r="D139" i="5"/>
  <c r="C139" i="5"/>
  <c r="B139" i="5"/>
  <c r="A139" i="5"/>
  <c r="D138" i="5"/>
  <c r="C138" i="5"/>
  <c r="B138" i="5"/>
  <c r="A138" i="5"/>
  <c r="G137" i="5"/>
  <c r="D137" i="5"/>
  <c r="C137" i="5"/>
  <c r="B137" i="5"/>
  <c r="A137" i="5"/>
  <c r="G136" i="5"/>
  <c r="D136" i="5"/>
  <c r="C136" i="5"/>
  <c r="B136" i="5"/>
  <c r="A136" i="5"/>
  <c r="D135" i="5"/>
  <c r="C135" i="5"/>
  <c r="B135" i="5"/>
  <c r="A135" i="5"/>
  <c r="D134" i="5"/>
  <c r="C134" i="5"/>
  <c r="B134" i="5"/>
  <c r="A134" i="5"/>
  <c r="D133" i="5"/>
  <c r="C133" i="5"/>
  <c r="B133" i="5"/>
  <c r="A133" i="5"/>
  <c r="D132" i="5"/>
  <c r="C132" i="5"/>
  <c r="B132" i="5"/>
  <c r="A132" i="5"/>
  <c r="D131" i="5"/>
  <c r="C131" i="5"/>
  <c r="B131" i="5"/>
  <c r="A131" i="5"/>
  <c r="G130" i="5"/>
  <c r="D130" i="5"/>
  <c r="C130" i="5"/>
  <c r="B130" i="5"/>
  <c r="A130" i="5"/>
  <c r="D129" i="5"/>
  <c r="C129" i="5"/>
  <c r="B129" i="5"/>
  <c r="A129" i="5"/>
  <c r="G128" i="5"/>
  <c r="E128" i="5"/>
  <c r="D128" i="5"/>
  <c r="C128" i="5"/>
  <c r="B128" i="5"/>
  <c r="A128" i="5"/>
  <c r="G127" i="5"/>
  <c r="E127" i="5"/>
  <c r="D127" i="5"/>
  <c r="C127" i="5"/>
  <c r="B127" i="5"/>
  <c r="A127" i="5"/>
  <c r="G126" i="5"/>
  <c r="E126" i="5"/>
  <c r="D126" i="5"/>
  <c r="C126" i="5"/>
  <c r="B126" i="5"/>
  <c r="A126" i="5"/>
  <c r="G125" i="5"/>
  <c r="E125" i="5"/>
  <c r="D125" i="5"/>
  <c r="C125" i="5"/>
  <c r="B125" i="5"/>
  <c r="A125" i="5"/>
  <c r="G124" i="5"/>
  <c r="E124" i="5"/>
  <c r="D124" i="5"/>
  <c r="C124" i="5"/>
  <c r="B124" i="5"/>
  <c r="A124" i="5"/>
  <c r="G123" i="5"/>
  <c r="E123" i="5"/>
  <c r="D123" i="5"/>
  <c r="C123" i="5"/>
  <c r="B123" i="5"/>
  <c r="A123" i="5"/>
  <c r="G122" i="5"/>
  <c r="E122" i="5"/>
  <c r="D122" i="5"/>
  <c r="C122" i="5"/>
  <c r="B122" i="5"/>
  <c r="A122" i="5"/>
  <c r="G121" i="5"/>
  <c r="E121" i="5"/>
  <c r="D121" i="5"/>
  <c r="C121" i="5"/>
  <c r="B121" i="5"/>
  <c r="A121" i="5"/>
  <c r="G120" i="5"/>
  <c r="E120" i="5"/>
  <c r="D120" i="5"/>
  <c r="C120" i="5"/>
  <c r="B120" i="5"/>
  <c r="A120" i="5"/>
  <c r="G119" i="5"/>
  <c r="E119" i="5"/>
  <c r="D119" i="5"/>
  <c r="C119" i="5"/>
  <c r="B119" i="5"/>
  <c r="A119" i="5"/>
  <c r="G118" i="5"/>
  <c r="E118" i="5"/>
  <c r="D118" i="5"/>
  <c r="C118" i="5"/>
  <c r="B118" i="5"/>
  <c r="A118" i="5"/>
  <c r="G117" i="5"/>
  <c r="E117" i="5"/>
  <c r="D117" i="5"/>
  <c r="C117" i="5"/>
  <c r="B117" i="5"/>
  <c r="A117" i="5"/>
  <c r="G116" i="5"/>
  <c r="E116" i="5"/>
  <c r="D116" i="5"/>
  <c r="C116" i="5"/>
  <c r="B116" i="5"/>
  <c r="A116" i="5"/>
  <c r="G115" i="5"/>
  <c r="E115" i="5"/>
  <c r="D115" i="5"/>
  <c r="C115" i="5"/>
  <c r="B115" i="5"/>
  <c r="A115" i="5"/>
  <c r="G114" i="5"/>
  <c r="E114" i="5"/>
  <c r="D114" i="5"/>
  <c r="C114" i="5"/>
  <c r="B114" i="5"/>
  <c r="A114" i="5"/>
  <c r="G113" i="5"/>
  <c r="E113" i="5"/>
  <c r="D113" i="5"/>
  <c r="C113" i="5"/>
  <c r="B113" i="5"/>
  <c r="A113" i="5"/>
  <c r="G112" i="5"/>
  <c r="E112" i="5"/>
  <c r="D112" i="5"/>
  <c r="C112" i="5"/>
  <c r="B112" i="5"/>
  <c r="A112" i="5"/>
  <c r="G111" i="5"/>
  <c r="E111" i="5"/>
  <c r="D111" i="5"/>
  <c r="C111" i="5"/>
  <c r="B111" i="5"/>
  <c r="A111" i="5"/>
  <c r="G110" i="5"/>
  <c r="E110" i="5"/>
  <c r="D110" i="5"/>
  <c r="C110" i="5"/>
  <c r="B110" i="5"/>
  <c r="A110" i="5"/>
  <c r="G109" i="5"/>
  <c r="E109" i="5"/>
  <c r="D109" i="5"/>
  <c r="C109" i="5"/>
  <c r="B109" i="5"/>
  <c r="A109" i="5"/>
  <c r="G108" i="5"/>
  <c r="E108" i="5"/>
  <c r="D108" i="5"/>
  <c r="C108" i="5"/>
  <c r="B108" i="5"/>
  <c r="A108" i="5"/>
  <c r="G107" i="5"/>
  <c r="E107" i="5"/>
  <c r="D107" i="5"/>
  <c r="C107" i="5"/>
  <c r="B107" i="5"/>
  <c r="A107" i="5"/>
  <c r="G106" i="5"/>
  <c r="E106" i="5"/>
  <c r="D106" i="5"/>
  <c r="C106" i="5"/>
  <c r="B106" i="5"/>
  <c r="A106" i="5"/>
  <c r="G105" i="5"/>
  <c r="E105" i="5"/>
  <c r="D105" i="5"/>
  <c r="C105" i="5"/>
  <c r="B105" i="5"/>
  <c r="A105" i="5"/>
  <c r="G104" i="5"/>
  <c r="E104" i="5"/>
  <c r="D104" i="5"/>
  <c r="C104" i="5"/>
  <c r="B104" i="5"/>
  <c r="A104" i="5"/>
  <c r="G103" i="5"/>
  <c r="E103" i="5"/>
  <c r="D103" i="5"/>
  <c r="C103" i="5"/>
  <c r="B103" i="5"/>
  <c r="A103" i="5"/>
  <c r="G102" i="5"/>
  <c r="E102" i="5"/>
  <c r="D102" i="5"/>
  <c r="C102" i="5"/>
  <c r="B102" i="5"/>
  <c r="A102" i="5"/>
  <c r="G101" i="5"/>
  <c r="E101" i="5"/>
  <c r="D101" i="5"/>
  <c r="C101" i="5"/>
  <c r="B101" i="5"/>
  <c r="A101" i="5"/>
  <c r="G100" i="5"/>
  <c r="E100" i="5"/>
  <c r="D100" i="5"/>
  <c r="C100" i="5"/>
  <c r="B100" i="5"/>
  <c r="A100" i="5"/>
  <c r="G99" i="5"/>
  <c r="E99" i="5"/>
  <c r="D99" i="5"/>
  <c r="C99" i="5"/>
  <c r="B99" i="5"/>
  <c r="A99" i="5"/>
  <c r="G98" i="5"/>
  <c r="E98" i="5"/>
  <c r="D98" i="5"/>
  <c r="C98" i="5"/>
  <c r="B98" i="5"/>
  <c r="A98" i="5"/>
  <c r="G97" i="5"/>
  <c r="E97" i="5"/>
  <c r="D97" i="5"/>
  <c r="C97" i="5"/>
  <c r="B97" i="5"/>
  <c r="A97" i="5"/>
  <c r="G96" i="5"/>
  <c r="E96" i="5"/>
  <c r="D96" i="5"/>
  <c r="C96" i="5"/>
  <c r="B96" i="5"/>
  <c r="A96" i="5"/>
  <c r="G95" i="5"/>
  <c r="E95" i="5"/>
  <c r="D95" i="5"/>
  <c r="C95" i="5"/>
  <c r="B95" i="5"/>
  <c r="A95" i="5"/>
  <c r="G94" i="5"/>
  <c r="E94" i="5"/>
  <c r="D94" i="5"/>
  <c r="C94" i="5"/>
  <c r="B94" i="5"/>
  <c r="A94" i="5"/>
  <c r="G93" i="5"/>
  <c r="E93" i="5"/>
  <c r="D93" i="5"/>
  <c r="C93" i="5"/>
  <c r="B93" i="5"/>
  <c r="A93" i="5"/>
  <c r="G92" i="5"/>
  <c r="E92" i="5"/>
  <c r="D92" i="5"/>
  <c r="C92" i="5"/>
  <c r="B92" i="5"/>
  <c r="A92" i="5"/>
  <c r="G91" i="5"/>
  <c r="E91" i="5"/>
  <c r="D91" i="5"/>
  <c r="C91" i="5"/>
  <c r="B91" i="5"/>
  <c r="A91" i="5"/>
  <c r="G90" i="5"/>
  <c r="E90" i="5"/>
  <c r="D90" i="5"/>
  <c r="C90" i="5"/>
  <c r="B90" i="5"/>
  <c r="A90" i="5"/>
  <c r="G89" i="5"/>
  <c r="E89" i="5"/>
  <c r="D89" i="5"/>
  <c r="C89" i="5"/>
  <c r="B89" i="5"/>
  <c r="A89" i="5"/>
  <c r="G88" i="5"/>
  <c r="E88" i="5"/>
  <c r="D88" i="5"/>
  <c r="C88" i="5"/>
  <c r="B88" i="5"/>
  <c r="A88" i="5"/>
  <c r="G87" i="5"/>
  <c r="E87" i="5"/>
  <c r="D87" i="5"/>
  <c r="C87" i="5"/>
  <c r="B87" i="5"/>
  <c r="A87" i="5"/>
  <c r="G86" i="5"/>
  <c r="E86" i="5"/>
  <c r="D86" i="5"/>
  <c r="C86" i="5"/>
  <c r="B86" i="5"/>
  <c r="A86" i="5"/>
  <c r="G85" i="5"/>
  <c r="E85" i="5"/>
  <c r="D85" i="5"/>
  <c r="C85" i="5"/>
  <c r="B85" i="5"/>
  <c r="A85" i="5"/>
  <c r="G84" i="5"/>
  <c r="E84" i="5"/>
  <c r="D84" i="5"/>
  <c r="C84" i="5"/>
  <c r="B84" i="5"/>
  <c r="A84" i="5"/>
  <c r="G83" i="5"/>
  <c r="E83" i="5"/>
  <c r="D83" i="5"/>
  <c r="C83" i="5"/>
  <c r="B83" i="5"/>
  <c r="A83" i="5"/>
  <c r="G82" i="5"/>
  <c r="E82" i="5"/>
  <c r="D82" i="5"/>
  <c r="C82" i="5"/>
  <c r="B82" i="5"/>
  <c r="A82" i="5"/>
  <c r="G81" i="5"/>
  <c r="E81" i="5"/>
  <c r="D81" i="5"/>
  <c r="C81" i="5"/>
  <c r="B81" i="5"/>
  <c r="A81" i="5"/>
  <c r="G80" i="5"/>
  <c r="E80" i="5"/>
  <c r="D80" i="5"/>
  <c r="C80" i="5"/>
  <c r="B80" i="5"/>
  <c r="A80" i="5"/>
  <c r="G79" i="5"/>
  <c r="E79" i="5"/>
  <c r="D79" i="5"/>
  <c r="C79" i="5"/>
  <c r="B79" i="5"/>
  <c r="A79" i="5"/>
  <c r="G78" i="5"/>
  <c r="E78" i="5"/>
  <c r="D78" i="5"/>
  <c r="C78" i="5"/>
  <c r="B78" i="5"/>
  <c r="A78" i="5"/>
  <c r="D77" i="5"/>
  <c r="C77" i="5"/>
  <c r="B77" i="5"/>
  <c r="A77" i="5"/>
  <c r="G76" i="5"/>
  <c r="D76" i="5"/>
  <c r="C76" i="5"/>
  <c r="B76" i="5"/>
  <c r="A76" i="5"/>
  <c r="D75" i="5"/>
  <c r="C75" i="5"/>
  <c r="B75" i="5"/>
  <c r="A75" i="5"/>
  <c r="G74" i="5"/>
  <c r="D74" i="5"/>
  <c r="C74" i="5"/>
  <c r="B74" i="5"/>
  <c r="A74" i="5"/>
  <c r="G73" i="5"/>
  <c r="D73" i="5"/>
  <c r="C73" i="5"/>
  <c r="B73" i="5"/>
  <c r="A73" i="5"/>
  <c r="G72" i="5"/>
  <c r="D72" i="5"/>
  <c r="C72" i="5"/>
  <c r="B72" i="5"/>
  <c r="A72" i="5"/>
  <c r="D71" i="5"/>
  <c r="C71" i="5"/>
  <c r="B71" i="5"/>
  <c r="A71" i="5"/>
  <c r="G70" i="5"/>
  <c r="D70" i="5"/>
  <c r="C70" i="5"/>
  <c r="B70" i="5"/>
  <c r="A70" i="5"/>
  <c r="G69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G65" i="5"/>
  <c r="D65" i="5"/>
  <c r="C65" i="5"/>
  <c r="B65" i="5"/>
  <c r="A65" i="5"/>
  <c r="G64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G58" i="5"/>
  <c r="D58" i="5"/>
  <c r="C58" i="5"/>
  <c r="B58" i="5"/>
  <c r="A58" i="5"/>
  <c r="D57" i="5"/>
  <c r="C57" i="5"/>
  <c r="B57" i="5"/>
  <c r="A57" i="5"/>
  <c r="G56" i="5"/>
  <c r="D56" i="5"/>
  <c r="C56" i="5"/>
  <c r="B56" i="5"/>
  <c r="A56" i="5"/>
  <c r="G55" i="5"/>
  <c r="D55" i="5"/>
  <c r="C55" i="5"/>
  <c r="B55" i="5"/>
  <c r="A55" i="5"/>
  <c r="G54" i="5"/>
  <c r="D54" i="5"/>
  <c r="C54" i="5"/>
  <c r="B54" i="5"/>
  <c r="A54" i="5"/>
  <c r="D53" i="5"/>
  <c r="C53" i="5"/>
  <c r="B53" i="5"/>
  <c r="A53" i="5"/>
  <c r="G52" i="5"/>
  <c r="D52" i="5"/>
  <c r="C52" i="5"/>
  <c r="B52" i="5"/>
  <c r="A52" i="5"/>
  <c r="G51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G47" i="5"/>
  <c r="D47" i="5"/>
  <c r="C47" i="5"/>
  <c r="B47" i="5"/>
  <c r="A47" i="5"/>
  <c r="G46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G40" i="5"/>
  <c r="D40" i="5"/>
  <c r="C40" i="5"/>
  <c r="B40" i="5"/>
  <c r="A40" i="5"/>
  <c r="D39" i="5"/>
  <c r="C39" i="5"/>
  <c r="B39" i="5"/>
  <c r="A39" i="5"/>
  <c r="G38" i="5"/>
  <c r="D38" i="5"/>
  <c r="C38" i="5"/>
  <c r="B38" i="5"/>
  <c r="A38" i="5"/>
  <c r="G37" i="5"/>
  <c r="D37" i="5"/>
  <c r="C37" i="5"/>
  <c r="B37" i="5"/>
  <c r="A37" i="5"/>
  <c r="G36" i="5"/>
  <c r="D36" i="5"/>
  <c r="C36" i="5"/>
  <c r="B36" i="5"/>
  <c r="A36" i="5"/>
  <c r="D35" i="5"/>
  <c r="C35" i="5"/>
  <c r="B35" i="5"/>
  <c r="A35" i="5"/>
  <c r="G34" i="5"/>
  <c r="D34" i="5"/>
  <c r="C34" i="5"/>
  <c r="B34" i="5"/>
  <c r="A34" i="5"/>
  <c r="G33" i="5"/>
  <c r="E33" i="5"/>
  <c r="D33" i="5"/>
  <c r="C33" i="5"/>
  <c r="B33" i="5"/>
  <c r="A33" i="5"/>
  <c r="G32" i="5"/>
  <c r="E32" i="5"/>
  <c r="D32" i="5"/>
  <c r="C32" i="5"/>
  <c r="B32" i="5"/>
  <c r="A32" i="5"/>
  <c r="G31" i="5"/>
  <c r="E31" i="5"/>
  <c r="D31" i="5"/>
  <c r="C31" i="5"/>
  <c r="B31" i="5"/>
  <c r="A31" i="5"/>
  <c r="G30" i="5"/>
  <c r="E30" i="5"/>
  <c r="D30" i="5"/>
  <c r="C30" i="5"/>
  <c r="B30" i="5"/>
  <c r="A30" i="5"/>
  <c r="G29" i="5"/>
  <c r="E29" i="5"/>
  <c r="D29" i="5"/>
  <c r="C29" i="5"/>
  <c r="B29" i="5"/>
  <c r="A29" i="5"/>
  <c r="G28" i="5"/>
  <c r="E28" i="5"/>
  <c r="D28" i="5"/>
  <c r="C28" i="5"/>
  <c r="B28" i="5"/>
  <c r="A28" i="5"/>
  <c r="G27" i="5"/>
  <c r="E27" i="5"/>
  <c r="D27" i="5"/>
  <c r="C27" i="5"/>
  <c r="B27" i="5"/>
  <c r="A27" i="5"/>
  <c r="G26" i="5"/>
  <c r="E26" i="5"/>
  <c r="D26" i="5"/>
  <c r="C26" i="5"/>
  <c r="B26" i="5"/>
  <c r="A26" i="5"/>
  <c r="G25" i="5"/>
  <c r="E25" i="5"/>
  <c r="D25" i="5"/>
  <c r="C25" i="5"/>
  <c r="B25" i="5"/>
  <c r="A25" i="5"/>
  <c r="G24" i="5"/>
  <c r="E24" i="5"/>
  <c r="D24" i="5"/>
  <c r="C24" i="5"/>
  <c r="B24" i="5"/>
  <c r="A24" i="5"/>
  <c r="G23" i="5"/>
  <c r="E23" i="5"/>
  <c r="D23" i="5"/>
  <c r="C23" i="5"/>
  <c r="B23" i="5"/>
  <c r="A23" i="5"/>
  <c r="G22" i="5"/>
  <c r="E22" i="5"/>
  <c r="D22" i="5"/>
  <c r="C22" i="5"/>
  <c r="B22" i="5"/>
  <c r="A22" i="5"/>
  <c r="G21" i="5"/>
  <c r="E21" i="5"/>
  <c r="D21" i="5"/>
  <c r="C21" i="5"/>
  <c r="B21" i="5"/>
  <c r="A21" i="5"/>
  <c r="G20" i="5"/>
  <c r="E20" i="5"/>
  <c r="D20" i="5"/>
  <c r="C20" i="5"/>
  <c r="B20" i="5"/>
  <c r="A20" i="5"/>
  <c r="G19" i="5"/>
  <c r="E19" i="5"/>
  <c r="D19" i="5"/>
  <c r="C19" i="5"/>
  <c r="B19" i="5"/>
  <c r="A19" i="5"/>
  <c r="G18" i="5"/>
  <c r="E18" i="5"/>
  <c r="D18" i="5"/>
  <c r="C18" i="5"/>
  <c r="B18" i="5"/>
  <c r="A18" i="5"/>
  <c r="G17" i="5"/>
  <c r="E17" i="5"/>
  <c r="D17" i="5"/>
  <c r="C17" i="5"/>
  <c r="B17" i="5"/>
  <c r="A17" i="5"/>
  <c r="G16" i="5"/>
  <c r="E16" i="5"/>
  <c r="D16" i="5"/>
  <c r="C16" i="5"/>
  <c r="B16" i="5"/>
  <c r="A16" i="5"/>
  <c r="G15" i="5"/>
  <c r="E15" i="5"/>
  <c r="D15" i="5"/>
  <c r="C15" i="5"/>
  <c r="B15" i="5"/>
  <c r="A15" i="5"/>
  <c r="G14" i="5"/>
  <c r="E14" i="5"/>
  <c r="D14" i="5"/>
  <c r="C14" i="5"/>
  <c r="B14" i="5"/>
  <c r="A14" i="5"/>
  <c r="G13" i="5"/>
  <c r="E13" i="5"/>
  <c r="D13" i="5"/>
  <c r="C13" i="5"/>
  <c r="B13" i="5"/>
  <c r="A13" i="5"/>
  <c r="G12" i="5"/>
  <c r="E12" i="5"/>
  <c r="D12" i="5"/>
  <c r="C12" i="5"/>
  <c r="B12" i="5"/>
  <c r="A12" i="5"/>
  <c r="G11" i="5"/>
  <c r="E11" i="5"/>
  <c r="D11" i="5"/>
  <c r="C11" i="5"/>
  <c r="B11" i="5"/>
  <c r="A11" i="5"/>
  <c r="G10" i="5"/>
  <c r="E10" i="5"/>
  <c r="D10" i="5"/>
  <c r="C10" i="5"/>
  <c r="B10" i="5"/>
  <c r="A10" i="5"/>
  <c r="G9" i="5"/>
  <c r="E9" i="5"/>
  <c r="D9" i="5"/>
  <c r="C9" i="5"/>
  <c r="B9" i="5"/>
  <c r="A9" i="5"/>
  <c r="G8" i="5"/>
  <c r="E8" i="5"/>
  <c r="D8" i="5"/>
  <c r="C8" i="5"/>
  <c r="B8" i="5"/>
  <c r="A8" i="5"/>
  <c r="G7" i="5"/>
  <c r="E7" i="5"/>
  <c r="D7" i="5"/>
  <c r="C7" i="5"/>
  <c r="B7" i="5"/>
  <c r="A7" i="5"/>
  <c r="G6" i="5"/>
  <c r="E6" i="5"/>
  <c r="D6" i="5"/>
  <c r="C6" i="5"/>
  <c r="B6" i="5"/>
  <c r="A6" i="5"/>
  <c r="G5" i="5"/>
  <c r="E5" i="5"/>
  <c r="D5" i="5"/>
  <c r="C5" i="5"/>
  <c r="B5" i="5"/>
  <c r="A5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F143" i="4"/>
  <c r="F142" i="4"/>
  <c r="H141" i="4"/>
  <c r="G140" i="5" s="1"/>
  <c r="F141" i="4"/>
  <c r="H140" i="4"/>
  <c r="G139" i="5" s="1"/>
  <c r="F140" i="4"/>
  <c r="H139" i="4"/>
  <c r="G138" i="5" s="1"/>
  <c r="F139" i="4"/>
  <c r="F138" i="4"/>
  <c r="F137" i="4"/>
  <c r="H136" i="4"/>
  <c r="G135" i="5" s="1"/>
  <c r="F136" i="4"/>
  <c r="H135" i="4"/>
  <c r="G134" i="5" s="1"/>
  <c r="F135" i="4"/>
  <c r="H134" i="4"/>
  <c r="G133" i="5" s="1"/>
  <c r="F134" i="4"/>
  <c r="H133" i="4"/>
  <c r="G132" i="5" s="1"/>
  <c r="F133" i="4"/>
  <c r="H132" i="4"/>
  <c r="G131" i="5" s="1"/>
  <c r="F132" i="4"/>
  <c r="F131" i="4"/>
  <c r="H130" i="4"/>
  <c r="G129" i="5" s="1"/>
  <c r="F130" i="4"/>
  <c r="F129" i="4"/>
  <c r="G129" i="4" s="1"/>
  <c r="F128" i="5" s="1"/>
  <c r="F128" i="4"/>
  <c r="G128" i="4" s="1"/>
  <c r="F127" i="5" s="1"/>
  <c r="F127" i="4"/>
  <c r="G127" i="4" s="1"/>
  <c r="F126" i="5" s="1"/>
  <c r="H126" i="4"/>
  <c r="F126" i="4"/>
  <c r="G126" i="4" s="1"/>
  <c r="F125" i="5" s="1"/>
  <c r="F125" i="4"/>
  <c r="G125" i="4" s="1"/>
  <c r="F124" i="5" s="1"/>
  <c r="F124" i="4"/>
  <c r="G124" i="4" s="1"/>
  <c r="F123" i="5" s="1"/>
  <c r="H123" i="4"/>
  <c r="F123" i="4"/>
  <c r="G123" i="4" s="1"/>
  <c r="F122" i="5" s="1"/>
  <c r="H122" i="4"/>
  <c r="F122" i="4"/>
  <c r="G122" i="4" s="1"/>
  <c r="F121" i="5" s="1"/>
  <c r="H121" i="4"/>
  <c r="F121" i="4"/>
  <c r="G121" i="4" s="1"/>
  <c r="F120" i="5" s="1"/>
  <c r="F120" i="4"/>
  <c r="G120" i="4" s="1"/>
  <c r="F119" i="5" s="1"/>
  <c r="F119" i="4"/>
  <c r="G119" i="4" s="1"/>
  <c r="F118" i="5" s="1"/>
  <c r="H118" i="4"/>
  <c r="F118" i="4"/>
  <c r="G118" i="4" s="1"/>
  <c r="F117" i="5" s="1"/>
  <c r="H117" i="4"/>
  <c r="F117" i="4"/>
  <c r="G117" i="4" s="1"/>
  <c r="F116" i="5" s="1"/>
  <c r="H116" i="4"/>
  <c r="F116" i="4"/>
  <c r="G116" i="4" s="1"/>
  <c r="F115" i="5" s="1"/>
  <c r="H115" i="4"/>
  <c r="F115" i="4"/>
  <c r="G115" i="4" s="1"/>
  <c r="F114" i="5" s="1"/>
  <c r="H114" i="4"/>
  <c r="F114" i="4"/>
  <c r="G114" i="4" s="1"/>
  <c r="F113" i="5" s="1"/>
  <c r="F113" i="4"/>
  <c r="G113" i="4" s="1"/>
  <c r="F112" i="5" s="1"/>
  <c r="H112" i="4"/>
  <c r="F112" i="4"/>
  <c r="G112" i="4" s="1"/>
  <c r="F111" i="5" s="1"/>
  <c r="F111" i="4"/>
  <c r="G111" i="4" s="1"/>
  <c r="F110" i="5" s="1"/>
  <c r="F110" i="4"/>
  <c r="G110" i="4" s="1"/>
  <c r="F109" i="5" s="1"/>
  <c r="F109" i="4"/>
  <c r="G109" i="4" s="1"/>
  <c r="F108" i="5" s="1"/>
  <c r="H108" i="4"/>
  <c r="F108" i="4"/>
  <c r="G108" i="4" s="1"/>
  <c r="F107" i="5" s="1"/>
  <c r="F107" i="4"/>
  <c r="G107" i="4" s="1"/>
  <c r="F106" i="5" s="1"/>
  <c r="F106" i="4"/>
  <c r="G106" i="4" s="1"/>
  <c r="F105" i="5" s="1"/>
  <c r="H105" i="4"/>
  <c r="F105" i="4"/>
  <c r="G105" i="4" s="1"/>
  <c r="F104" i="5" s="1"/>
  <c r="H104" i="4"/>
  <c r="F104" i="4"/>
  <c r="G104" i="4" s="1"/>
  <c r="F103" i="5" s="1"/>
  <c r="H103" i="4"/>
  <c r="F103" i="4"/>
  <c r="G103" i="4" s="1"/>
  <c r="F102" i="5" s="1"/>
  <c r="F102" i="4"/>
  <c r="G102" i="4" s="1"/>
  <c r="F101" i="5" s="1"/>
  <c r="F101" i="4"/>
  <c r="G101" i="4" s="1"/>
  <c r="F100" i="5" s="1"/>
  <c r="H100" i="4"/>
  <c r="F100" i="4"/>
  <c r="G100" i="4" s="1"/>
  <c r="F99" i="5" s="1"/>
  <c r="H99" i="4"/>
  <c r="F99" i="4"/>
  <c r="G99" i="4" s="1"/>
  <c r="F98" i="5" s="1"/>
  <c r="H98" i="4"/>
  <c r="F98" i="4"/>
  <c r="G98" i="4" s="1"/>
  <c r="F97" i="5" s="1"/>
  <c r="H97" i="4"/>
  <c r="F97" i="4"/>
  <c r="G97" i="4" s="1"/>
  <c r="F96" i="5" s="1"/>
  <c r="H96" i="4"/>
  <c r="F96" i="4"/>
  <c r="G96" i="4" s="1"/>
  <c r="F95" i="5" s="1"/>
  <c r="F95" i="4"/>
  <c r="G95" i="4" s="1"/>
  <c r="F94" i="5" s="1"/>
  <c r="H94" i="4"/>
  <c r="F94" i="4"/>
  <c r="G94" i="4" s="1"/>
  <c r="F93" i="5" s="1"/>
  <c r="F93" i="4"/>
  <c r="G93" i="4" s="1"/>
  <c r="F92" i="5" s="1"/>
  <c r="F92" i="4"/>
  <c r="G92" i="4" s="1"/>
  <c r="F91" i="5" s="1"/>
  <c r="F91" i="4"/>
  <c r="G91" i="4" s="1"/>
  <c r="F90" i="5" s="1"/>
  <c r="H90" i="4"/>
  <c r="F90" i="4"/>
  <c r="G90" i="4" s="1"/>
  <c r="F89" i="5" s="1"/>
  <c r="F89" i="4"/>
  <c r="G89" i="4" s="1"/>
  <c r="F88" i="5" s="1"/>
  <c r="F88" i="4"/>
  <c r="G88" i="4" s="1"/>
  <c r="F87" i="5" s="1"/>
  <c r="H87" i="4"/>
  <c r="F87" i="4"/>
  <c r="G87" i="4" s="1"/>
  <c r="F86" i="5" s="1"/>
  <c r="H86" i="4"/>
  <c r="F86" i="4"/>
  <c r="G86" i="4" s="1"/>
  <c r="F85" i="5" s="1"/>
  <c r="H85" i="4"/>
  <c r="F85" i="4"/>
  <c r="G85" i="4" s="1"/>
  <c r="F84" i="5" s="1"/>
  <c r="F84" i="4"/>
  <c r="G84" i="4" s="1"/>
  <c r="F83" i="5" s="1"/>
  <c r="F83" i="4"/>
  <c r="G83" i="4" s="1"/>
  <c r="F82" i="5" s="1"/>
  <c r="H82" i="4"/>
  <c r="F82" i="4"/>
  <c r="G82" i="4" s="1"/>
  <c r="F81" i="5" s="1"/>
  <c r="H81" i="4"/>
  <c r="F81" i="4"/>
  <c r="G81" i="4" s="1"/>
  <c r="F80" i="5" s="1"/>
  <c r="H80" i="4"/>
  <c r="F80" i="4"/>
  <c r="G80" i="4" s="1"/>
  <c r="F79" i="5" s="1"/>
  <c r="H79" i="4"/>
  <c r="F79" i="4"/>
  <c r="G79" i="4" s="1"/>
  <c r="F78" i="5" s="1"/>
  <c r="H78" i="4"/>
  <c r="G77" i="5" s="1"/>
  <c r="F78" i="4"/>
  <c r="F77" i="4"/>
  <c r="H76" i="4"/>
  <c r="G75" i="5" s="1"/>
  <c r="F76" i="4"/>
  <c r="F75" i="4"/>
  <c r="F74" i="4"/>
  <c r="F73" i="4"/>
  <c r="H72" i="4"/>
  <c r="G71" i="5" s="1"/>
  <c r="F72" i="4"/>
  <c r="F71" i="4"/>
  <c r="F70" i="4"/>
  <c r="H69" i="4"/>
  <c r="G68" i="5" s="1"/>
  <c r="F69" i="4"/>
  <c r="H68" i="4"/>
  <c r="G67" i="5" s="1"/>
  <c r="F68" i="4"/>
  <c r="H67" i="4"/>
  <c r="G66" i="5" s="1"/>
  <c r="F67" i="4"/>
  <c r="F66" i="4"/>
  <c r="F65" i="4"/>
  <c r="H64" i="4"/>
  <c r="G63" i="5" s="1"/>
  <c r="F64" i="4"/>
  <c r="H63" i="4"/>
  <c r="G62" i="5" s="1"/>
  <c r="F63" i="4"/>
  <c r="H62" i="4"/>
  <c r="G61" i="5" s="1"/>
  <c r="F62" i="4"/>
  <c r="H61" i="4"/>
  <c r="G60" i="5" s="1"/>
  <c r="F61" i="4"/>
  <c r="H60" i="4"/>
  <c r="G59" i="5" s="1"/>
  <c r="F60" i="4"/>
  <c r="F59" i="4"/>
  <c r="H58" i="4"/>
  <c r="G57" i="5" s="1"/>
  <c r="F58" i="4"/>
  <c r="F57" i="4"/>
  <c r="F56" i="4"/>
  <c r="F55" i="4"/>
  <c r="H54" i="4"/>
  <c r="G53" i="5" s="1"/>
  <c r="F54" i="4"/>
  <c r="F53" i="4"/>
  <c r="F52" i="4"/>
  <c r="H51" i="4"/>
  <c r="G50" i="5" s="1"/>
  <c r="F51" i="4"/>
  <c r="H50" i="4"/>
  <c r="G49" i="5" s="1"/>
  <c r="F50" i="4"/>
  <c r="H49" i="4"/>
  <c r="G48" i="5" s="1"/>
  <c r="F49" i="4"/>
  <c r="F48" i="4"/>
  <c r="F47" i="4"/>
  <c r="H46" i="4"/>
  <c r="G45" i="5" s="1"/>
  <c r="F46" i="4"/>
  <c r="H45" i="4"/>
  <c r="G44" i="5" s="1"/>
  <c r="F45" i="4"/>
  <c r="H44" i="4"/>
  <c r="G43" i="5" s="1"/>
  <c r="F44" i="4"/>
  <c r="H43" i="4"/>
  <c r="G42" i="5" s="1"/>
  <c r="F43" i="4"/>
  <c r="H42" i="4"/>
  <c r="G41" i="5" s="1"/>
  <c r="F42" i="4"/>
  <c r="F41" i="4"/>
  <c r="H40" i="4"/>
  <c r="G39" i="5" s="1"/>
  <c r="F40" i="4"/>
  <c r="F39" i="4"/>
  <c r="F38" i="4"/>
  <c r="F37" i="4"/>
  <c r="H36" i="4"/>
  <c r="G35" i="5" s="1"/>
  <c r="F36" i="4"/>
  <c r="F35" i="4"/>
  <c r="F34" i="4"/>
  <c r="G34" i="4" s="1"/>
  <c r="F33" i="5" s="1"/>
  <c r="H33" i="4"/>
  <c r="F33" i="4"/>
  <c r="G33" i="4" s="1"/>
  <c r="F32" i="5" s="1"/>
  <c r="H32" i="4"/>
  <c r="F32" i="4"/>
  <c r="G32" i="4" s="1"/>
  <c r="F31" i="5" s="1"/>
  <c r="H31" i="4"/>
  <c r="F31" i="4"/>
  <c r="G31" i="4" s="1"/>
  <c r="F30" i="5" s="1"/>
  <c r="F30" i="4"/>
  <c r="G30" i="4" s="1"/>
  <c r="F29" i="5" s="1"/>
  <c r="F29" i="4"/>
  <c r="G29" i="4" s="1"/>
  <c r="F28" i="5" s="1"/>
  <c r="H28" i="4"/>
  <c r="F28" i="4"/>
  <c r="G28" i="4" s="1"/>
  <c r="F27" i="5" s="1"/>
  <c r="H27" i="4"/>
  <c r="F27" i="4"/>
  <c r="G27" i="4" s="1"/>
  <c r="F26" i="5" s="1"/>
  <c r="H26" i="4"/>
  <c r="F26" i="4"/>
  <c r="G26" i="4" s="1"/>
  <c r="F25" i="5" s="1"/>
  <c r="H25" i="4"/>
  <c r="F25" i="4"/>
  <c r="G25" i="4" s="1"/>
  <c r="F24" i="5" s="1"/>
  <c r="H24" i="4"/>
  <c r="F24" i="4"/>
  <c r="G24" i="4" s="1"/>
  <c r="F23" i="5" s="1"/>
  <c r="F23" i="4"/>
  <c r="G23" i="4" s="1"/>
  <c r="F22" i="5" s="1"/>
  <c r="H22" i="4"/>
  <c r="F22" i="4"/>
  <c r="G22" i="4" s="1"/>
  <c r="F21" i="5" s="1"/>
  <c r="F21" i="4"/>
  <c r="G21" i="4" s="1"/>
  <c r="F20" i="5" s="1"/>
  <c r="F20" i="4"/>
  <c r="G20" i="4" s="1"/>
  <c r="F19" i="5" s="1"/>
  <c r="F19" i="4"/>
  <c r="G19" i="4" s="1"/>
  <c r="F18" i="5" s="1"/>
  <c r="H18" i="4"/>
  <c r="F18" i="4"/>
  <c r="G18" i="4" s="1"/>
  <c r="F17" i="5" s="1"/>
  <c r="F17" i="4"/>
  <c r="G17" i="4" s="1"/>
  <c r="F16" i="5" s="1"/>
  <c r="H16" i="4"/>
  <c r="F16" i="4"/>
  <c r="G16" i="4" s="1"/>
  <c r="F15" i="5" s="1"/>
  <c r="H15" i="4"/>
  <c r="F15" i="4"/>
  <c r="G15" i="4" s="1"/>
  <c r="F14" i="5" s="1"/>
  <c r="H14" i="4"/>
  <c r="F14" i="4"/>
  <c r="G14" i="4" s="1"/>
  <c r="F13" i="5" s="1"/>
  <c r="H13" i="4"/>
  <c r="F13" i="4"/>
  <c r="G13" i="4" s="1"/>
  <c r="F12" i="5" s="1"/>
  <c r="H12" i="4"/>
  <c r="F12" i="4"/>
  <c r="G12" i="4" s="1"/>
  <c r="F11" i="5" s="1"/>
  <c r="H11" i="4"/>
  <c r="F11" i="4"/>
  <c r="G11" i="4" s="1"/>
  <c r="F10" i="5" s="1"/>
  <c r="H10" i="4"/>
  <c r="F10" i="4"/>
  <c r="G10" i="4" s="1"/>
  <c r="F9" i="5" s="1"/>
  <c r="H9" i="4"/>
  <c r="F9" i="4"/>
  <c r="G9" i="4" s="1"/>
  <c r="F8" i="5" s="1"/>
  <c r="H8" i="4"/>
  <c r="F8" i="4"/>
  <c r="G8" i="4" s="1"/>
  <c r="F7" i="5" s="1"/>
  <c r="H7" i="4"/>
  <c r="F7" i="4"/>
  <c r="G7" i="4" s="1"/>
  <c r="F6" i="5" s="1"/>
  <c r="H6" i="4"/>
  <c r="F6" i="4"/>
  <c r="G6" i="4" s="1"/>
  <c r="F5" i="5" s="1"/>
  <c r="G118" i="3"/>
  <c r="D118" i="3"/>
  <c r="C118" i="3"/>
  <c r="B118" i="3"/>
  <c r="A118" i="3"/>
  <c r="G117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G113" i="3"/>
  <c r="D113" i="3"/>
  <c r="C113" i="3"/>
  <c r="B113" i="3"/>
  <c r="A113" i="3"/>
  <c r="G112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G106" i="3"/>
  <c r="D106" i="3"/>
  <c r="C106" i="3"/>
  <c r="B106" i="3"/>
  <c r="A106" i="3"/>
  <c r="D105" i="3"/>
  <c r="C105" i="3"/>
  <c r="B105" i="3"/>
  <c r="A105" i="3"/>
  <c r="G104" i="3"/>
  <c r="D104" i="3"/>
  <c r="C104" i="3"/>
  <c r="B104" i="3"/>
  <c r="A104" i="3"/>
  <c r="G103" i="3"/>
  <c r="D103" i="3"/>
  <c r="C103" i="3"/>
  <c r="B103" i="3"/>
  <c r="A103" i="3"/>
  <c r="G102" i="3"/>
  <c r="D102" i="3"/>
  <c r="C102" i="3"/>
  <c r="B102" i="3"/>
  <c r="A102" i="3"/>
  <c r="D101" i="3"/>
  <c r="C101" i="3"/>
  <c r="B101" i="3"/>
  <c r="A101" i="3"/>
  <c r="G100" i="3"/>
  <c r="D100" i="3"/>
  <c r="C100" i="3"/>
  <c r="B100" i="3"/>
  <c r="A100" i="3"/>
  <c r="G99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G95" i="3"/>
  <c r="D95" i="3"/>
  <c r="C95" i="3"/>
  <c r="B95" i="3"/>
  <c r="A95" i="3"/>
  <c r="G94" i="3"/>
  <c r="D94" i="3"/>
  <c r="C94" i="3"/>
  <c r="B94" i="3"/>
  <c r="A94" i="3"/>
  <c r="D93" i="3"/>
  <c r="C93" i="3"/>
  <c r="B93" i="3"/>
  <c r="A93" i="3"/>
  <c r="D92" i="3"/>
  <c r="C92" i="3"/>
  <c r="B92" i="3"/>
  <c r="A92" i="3"/>
  <c r="G91" i="3"/>
  <c r="D91" i="3"/>
  <c r="C91" i="3"/>
  <c r="B91" i="3"/>
  <c r="A91" i="3"/>
  <c r="G90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G83" i="3"/>
  <c r="D83" i="3"/>
  <c r="C83" i="3"/>
  <c r="B83" i="3"/>
  <c r="A83" i="3"/>
  <c r="D82" i="3"/>
  <c r="C82" i="3"/>
  <c r="B82" i="3"/>
  <c r="A82" i="3"/>
  <c r="G81" i="3"/>
  <c r="D81" i="3"/>
  <c r="C81" i="3"/>
  <c r="B81" i="3"/>
  <c r="A81" i="3"/>
  <c r="G80" i="3"/>
  <c r="D80" i="3"/>
  <c r="C80" i="3"/>
  <c r="B80" i="3"/>
  <c r="A80" i="3"/>
  <c r="G79" i="3"/>
  <c r="D79" i="3"/>
  <c r="C79" i="3"/>
  <c r="B79" i="3"/>
  <c r="A79" i="3"/>
  <c r="D78" i="3"/>
  <c r="C78" i="3"/>
  <c r="B78" i="3"/>
  <c r="A78" i="3"/>
  <c r="D77" i="3"/>
  <c r="C77" i="3"/>
  <c r="B77" i="3"/>
  <c r="A77" i="3"/>
  <c r="G76" i="3"/>
  <c r="D76" i="3"/>
  <c r="C76" i="3"/>
  <c r="B76" i="3"/>
  <c r="A76" i="3"/>
  <c r="G75" i="3"/>
  <c r="D75" i="3"/>
  <c r="C75" i="3"/>
  <c r="B75" i="3"/>
  <c r="A75" i="3"/>
  <c r="G74" i="3"/>
  <c r="D74" i="3"/>
  <c r="C74" i="3"/>
  <c r="B74" i="3"/>
  <c r="A74" i="3"/>
  <c r="D73" i="3"/>
  <c r="C73" i="3"/>
  <c r="B73" i="3"/>
  <c r="A73" i="3"/>
  <c r="G72" i="3"/>
  <c r="D72" i="3"/>
  <c r="C72" i="3"/>
  <c r="B72" i="3"/>
  <c r="A72" i="3"/>
  <c r="G71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G67" i="3"/>
  <c r="D67" i="3"/>
  <c r="C67" i="3"/>
  <c r="B67" i="3"/>
  <c r="A67" i="3"/>
  <c r="G66" i="3"/>
  <c r="D66" i="3"/>
  <c r="C66" i="3"/>
  <c r="B66" i="3"/>
  <c r="A66" i="3"/>
  <c r="D65" i="3"/>
  <c r="C65" i="3"/>
  <c r="B65" i="3"/>
  <c r="A65" i="3"/>
  <c r="D64" i="3"/>
  <c r="C64" i="3"/>
  <c r="B64" i="3"/>
  <c r="A64" i="3"/>
  <c r="G63" i="3"/>
  <c r="D63" i="3"/>
  <c r="C63" i="3"/>
  <c r="B63" i="3"/>
  <c r="A63" i="3"/>
  <c r="G62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G55" i="3"/>
  <c r="D55" i="3"/>
  <c r="C55" i="3"/>
  <c r="B55" i="3"/>
  <c r="A55" i="3"/>
  <c r="D54" i="3"/>
  <c r="C54" i="3"/>
  <c r="B54" i="3"/>
  <c r="A54" i="3"/>
  <c r="G53" i="3"/>
  <c r="D53" i="3"/>
  <c r="C53" i="3"/>
  <c r="B53" i="3"/>
  <c r="A53" i="3"/>
  <c r="G52" i="3"/>
  <c r="D52" i="3"/>
  <c r="C52" i="3"/>
  <c r="B52" i="3"/>
  <c r="A52" i="3"/>
  <c r="G51" i="3"/>
  <c r="D51" i="3"/>
  <c r="C51" i="3"/>
  <c r="B51" i="3"/>
  <c r="A51" i="3"/>
  <c r="D50" i="3"/>
  <c r="C50" i="3"/>
  <c r="B50" i="3"/>
  <c r="A50" i="3"/>
  <c r="D49" i="3"/>
  <c r="C49" i="3"/>
  <c r="B49" i="3"/>
  <c r="A49" i="3"/>
  <c r="G48" i="3"/>
  <c r="D48" i="3"/>
  <c r="C48" i="3"/>
  <c r="B48" i="3"/>
  <c r="A48" i="3"/>
  <c r="G47" i="3"/>
  <c r="D47" i="3"/>
  <c r="C47" i="3"/>
  <c r="B47" i="3"/>
  <c r="A47" i="3"/>
  <c r="G46" i="3"/>
  <c r="D46" i="3"/>
  <c r="C46" i="3"/>
  <c r="B46" i="3"/>
  <c r="A46" i="3"/>
  <c r="D45" i="3"/>
  <c r="C45" i="3"/>
  <c r="B45" i="3"/>
  <c r="A45" i="3"/>
  <c r="G44" i="3"/>
  <c r="D44" i="3"/>
  <c r="C44" i="3"/>
  <c r="B44" i="3"/>
  <c r="A44" i="3"/>
  <c r="G43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G39" i="3"/>
  <c r="D39" i="3"/>
  <c r="C39" i="3"/>
  <c r="B39" i="3"/>
  <c r="A39" i="3"/>
  <c r="G38" i="3"/>
  <c r="D38" i="3"/>
  <c r="C38" i="3"/>
  <c r="B38" i="3"/>
  <c r="A38" i="3"/>
  <c r="D37" i="3"/>
  <c r="C37" i="3"/>
  <c r="B37" i="3"/>
  <c r="A37" i="3"/>
  <c r="D36" i="3"/>
  <c r="C36" i="3"/>
  <c r="B36" i="3"/>
  <c r="A36" i="3"/>
  <c r="G35" i="3"/>
  <c r="D35" i="3"/>
  <c r="C35" i="3"/>
  <c r="B35" i="3"/>
  <c r="A35" i="3"/>
  <c r="G34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G27" i="3"/>
  <c r="D27" i="3"/>
  <c r="C27" i="3"/>
  <c r="B27" i="3"/>
  <c r="A27" i="3"/>
  <c r="D26" i="3"/>
  <c r="C26" i="3"/>
  <c r="B26" i="3"/>
  <c r="A26" i="3"/>
  <c r="G25" i="3"/>
  <c r="D25" i="3"/>
  <c r="C25" i="3"/>
  <c r="B25" i="3"/>
  <c r="A25" i="3"/>
  <c r="G24" i="3"/>
  <c r="D24" i="3"/>
  <c r="C24" i="3"/>
  <c r="B24" i="3"/>
  <c r="A24" i="3"/>
  <c r="G23" i="3"/>
  <c r="D23" i="3"/>
  <c r="C23" i="3"/>
  <c r="B23" i="3"/>
  <c r="A23" i="3"/>
  <c r="D22" i="3"/>
  <c r="C22" i="3"/>
  <c r="B22" i="3"/>
  <c r="A22" i="3"/>
  <c r="D21" i="3"/>
  <c r="C21" i="3"/>
  <c r="B21" i="3"/>
  <c r="A21" i="3"/>
  <c r="G20" i="3"/>
  <c r="D20" i="3"/>
  <c r="C20" i="3"/>
  <c r="B20" i="3"/>
  <c r="A20" i="3"/>
  <c r="G19" i="3"/>
  <c r="D19" i="3"/>
  <c r="C19" i="3"/>
  <c r="B19" i="3"/>
  <c r="A19" i="3"/>
  <c r="G18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119" i="2"/>
  <c r="G118" i="2"/>
  <c r="F117" i="3" s="1"/>
  <c r="F118" i="2"/>
  <c r="E117" i="3" s="1"/>
  <c r="H117" i="2"/>
  <c r="G116" i="3" s="1"/>
  <c r="F117" i="2"/>
  <c r="H116" i="2"/>
  <c r="G115" i="3" s="1"/>
  <c r="F116" i="2"/>
  <c r="H115" i="2"/>
  <c r="G114" i="3" s="1"/>
  <c r="F115" i="2"/>
  <c r="F114" i="2"/>
  <c r="F113" i="2"/>
  <c r="H112" i="2"/>
  <c r="G111" i="3" s="1"/>
  <c r="F112" i="2"/>
  <c r="H111" i="2"/>
  <c r="G110" i="3" s="1"/>
  <c r="F111" i="2"/>
  <c r="H110" i="2"/>
  <c r="G109" i="3" s="1"/>
  <c r="F110" i="2"/>
  <c r="H109" i="2"/>
  <c r="G108" i="3" s="1"/>
  <c r="F109" i="2"/>
  <c r="H108" i="2"/>
  <c r="G107" i="3" s="1"/>
  <c r="F108" i="2"/>
  <c r="F107" i="2"/>
  <c r="H106" i="2"/>
  <c r="G105" i="3" s="1"/>
  <c r="F106" i="2"/>
  <c r="F105" i="2"/>
  <c r="F104" i="2"/>
  <c r="F103" i="2"/>
  <c r="H102" i="2"/>
  <c r="G101" i="3" s="1"/>
  <c r="F102" i="2"/>
  <c r="F101" i="2"/>
  <c r="F100" i="2"/>
  <c r="H99" i="2"/>
  <c r="G98" i="3" s="1"/>
  <c r="F99" i="2"/>
  <c r="H98" i="2"/>
  <c r="G97" i="3" s="1"/>
  <c r="F98" i="2"/>
  <c r="H97" i="2"/>
  <c r="G96" i="3" s="1"/>
  <c r="F97" i="2"/>
  <c r="F96" i="2"/>
  <c r="F95" i="2"/>
  <c r="H94" i="2"/>
  <c r="G93" i="3" s="1"/>
  <c r="F94" i="2"/>
  <c r="H93" i="2"/>
  <c r="G92" i="3" s="1"/>
  <c r="F93" i="2"/>
  <c r="F92" i="2"/>
  <c r="F91" i="2"/>
  <c r="H90" i="2"/>
  <c r="G89" i="3" s="1"/>
  <c r="F90" i="2"/>
  <c r="H89" i="2"/>
  <c r="G88" i="3" s="1"/>
  <c r="F89" i="2"/>
  <c r="H88" i="2"/>
  <c r="G87" i="3" s="1"/>
  <c r="F88" i="2"/>
  <c r="H87" i="2"/>
  <c r="G86" i="3" s="1"/>
  <c r="F87" i="2"/>
  <c r="H86" i="2"/>
  <c r="G85" i="3" s="1"/>
  <c r="F86" i="2"/>
  <c r="H85" i="2"/>
  <c r="G84" i="3" s="1"/>
  <c r="F85" i="2"/>
  <c r="F84" i="2"/>
  <c r="H83" i="2"/>
  <c r="G82" i="3" s="1"/>
  <c r="F83" i="2"/>
  <c r="F82" i="2"/>
  <c r="F81" i="2"/>
  <c r="F80" i="2"/>
  <c r="H79" i="2"/>
  <c r="G78" i="3" s="1"/>
  <c r="F79" i="2"/>
  <c r="H78" i="2"/>
  <c r="G77" i="3" s="1"/>
  <c r="F78" i="2"/>
  <c r="F77" i="2"/>
  <c r="F76" i="2"/>
  <c r="F75" i="2"/>
  <c r="H74" i="2"/>
  <c r="G73" i="3" s="1"/>
  <c r="F74" i="2"/>
  <c r="F73" i="2"/>
  <c r="F72" i="2"/>
  <c r="H71" i="2"/>
  <c r="G70" i="3" s="1"/>
  <c r="F71" i="2"/>
  <c r="H70" i="2"/>
  <c r="G69" i="3" s="1"/>
  <c r="F70" i="2"/>
  <c r="H69" i="2"/>
  <c r="G68" i="3" s="1"/>
  <c r="F69" i="2"/>
  <c r="F68" i="2"/>
  <c r="F67" i="2"/>
  <c r="H66" i="2"/>
  <c r="G65" i="3" s="1"/>
  <c r="F66" i="2"/>
  <c r="H65" i="2"/>
  <c r="G64" i="3" s="1"/>
  <c r="F65" i="2"/>
  <c r="F64" i="2"/>
  <c r="F63" i="2"/>
  <c r="H62" i="2"/>
  <c r="G61" i="3" s="1"/>
  <c r="F62" i="2"/>
  <c r="H61" i="2"/>
  <c r="G60" i="3" s="1"/>
  <c r="F61" i="2"/>
  <c r="H60" i="2"/>
  <c r="G59" i="3" s="1"/>
  <c r="F60" i="2"/>
  <c r="H59" i="2"/>
  <c r="G58" i="3" s="1"/>
  <c r="F59" i="2"/>
  <c r="H58" i="2"/>
  <c r="G57" i="3" s="1"/>
  <c r="F58" i="2"/>
  <c r="H57" i="2"/>
  <c r="G56" i="3" s="1"/>
  <c r="F57" i="2"/>
  <c r="F56" i="2"/>
  <c r="H55" i="2"/>
  <c r="G54" i="3" s="1"/>
  <c r="F55" i="2"/>
  <c r="F54" i="2"/>
  <c r="F53" i="2"/>
  <c r="F52" i="2"/>
  <c r="H51" i="2"/>
  <c r="G50" i="3" s="1"/>
  <c r="F51" i="2"/>
  <c r="H50" i="2"/>
  <c r="G49" i="3" s="1"/>
  <c r="F50" i="2"/>
  <c r="F49" i="2"/>
  <c r="F48" i="2"/>
  <c r="F47" i="2"/>
  <c r="H46" i="2"/>
  <c r="G45" i="3" s="1"/>
  <c r="F46" i="2"/>
  <c r="F45" i="2"/>
  <c r="F44" i="2"/>
  <c r="H43" i="2"/>
  <c r="G42" i="3" s="1"/>
  <c r="F43" i="2"/>
  <c r="H42" i="2"/>
  <c r="G41" i="3" s="1"/>
  <c r="F42" i="2"/>
  <c r="H41" i="2"/>
  <c r="G40" i="3" s="1"/>
  <c r="F41" i="2"/>
  <c r="F40" i="2"/>
  <c r="F39" i="2"/>
  <c r="H38" i="2"/>
  <c r="G37" i="3" s="1"/>
  <c r="F38" i="2"/>
  <c r="H37" i="2"/>
  <c r="G36" i="3" s="1"/>
  <c r="F37" i="2"/>
  <c r="F36" i="2"/>
  <c r="F35" i="2"/>
  <c r="H34" i="2"/>
  <c r="G33" i="3" s="1"/>
  <c r="F34" i="2"/>
  <c r="H33" i="2"/>
  <c r="G32" i="3" s="1"/>
  <c r="F33" i="2"/>
  <c r="H32" i="2"/>
  <c r="G31" i="3" s="1"/>
  <c r="F32" i="2"/>
  <c r="H31" i="2"/>
  <c r="G30" i="3" s="1"/>
  <c r="F31" i="2"/>
  <c r="H30" i="2"/>
  <c r="G29" i="3" s="1"/>
  <c r="F30" i="2"/>
  <c r="H29" i="2"/>
  <c r="G28" i="3" s="1"/>
  <c r="F29" i="2"/>
  <c r="F28" i="2"/>
  <c r="H27" i="2"/>
  <c r="G26" i="3" s="1"/>
  <c r="F27" i="2"/>
  <c r="F26" i="2"/>
  <c r="F25" i="2"/>
  <c r="F24" i="2"/>
  <c r="H23" i="2"/>
  <c r="G22" i="3" s="1"/>
  <c r="F23" i="2"/>
  <c r="H22" i="2"/>
  <c r="G21" i="3" s="1"/>
  <c r="F22" i="2"/>
  <c r="F21" i="2"/>
  <c r="F20" i="2"/>
  <c r="F19" i="2"/>
  <c r="H18" i="2"/>
  <c r="G17" i="3" s="1"/>
  <c r="F18" i="2"/>
  <c r="H17" i="2"/>
  <c r="G16" i="3" s="1"/>
  <c r="F17" i="2"/>
  <c r="H16" i="2"/>
  <c r="G15" i="3" s="1"/>
  <c r="F16" i="2"/>
  <c r="H15" i="2"/>
  <c r="G14" i="3" s="1"/>
  <c r="F15" i="2"/>
  <c r="H14" i="2"/>
  <c r="G13" i="3" s="1"/>
  <c r="F14" i="2"/>
  <c r="H13" i="2"/>
  <c r="G12" i="3" s="1"/>
  <c r="F13" i="2"/>
  <c r="H12" i="2"/>
  <c r="G11" i="3" s="1"/>
  <c r="F12" i="2"/>
  <c r="H11" i="2"/>
  <c r="G10" i="3" s="1"/>
  <c r="F11" i="2"/>
  <c r="H10" i="2"/>
  <c r="G9" i="3" s="1"/>
  <c r="F10" i="2"/>
  <c r="H9" i="2"/>
  <c r="G8" i="3" s="1"/>
  <c r="F9" i="2"/>
  <c r="H8" i="2"/>
  <c r="G7" i="3" s="1"/>
  <c r="F8" i="2"/>
  <c r="H7" i="2"/>
  <c r="G6" i="3" s="1"/>
  <c r="F7" i="2"/>
  <c r="H6" i="2"/>
  <c r="G5" i="3" s="1"/>
  <c r="F6" i="2"/>
  <c r="E118" i="7" l="1"/>
  <c r="G119" i="6"/>
  <c r="F118" i="7" s="1"/>
  <c r="E117" i="7"/>
  <c r="G118" i="6"/>
  <c r="F117" i="7" s="1"/>
  <c r="E116" i="7"/>
  <c r="G117" i="6"/>
  <c r="F116" i="7" s="1"/>
  <c r="E115" i="7"/>
  <c r="G116" i="6"/>
  <c r="F115" i="7" s="1"/>
  <c r="E114" i="7"/>
  <c r="G115" i="6"/>
  <c r="F114" i="7" s="1"/>
  <c r="E113" i="7"/>
  <c r="G114" i="6"/>
  <c r="F113" i="7" s="1"/>
  <c r="G113" i="6"/>
  <c r="F112" i="7" s="1"/>
  <c r="E112" i="7"/>
  <c r="E111" i="7"/>
  <c r="G112" i="6"/>
  <c r="F111" i="7" s="1"/>
  <c r="E110" i="7"/>
  <c r="G111" i="6"/>
  <c r="F110" i="7" s="1"/>
  <c r="E39" i="7"/>
  <c r="G40" i="6"/>
  <c r="F39" i="7" s="1"/>
  <c r="E142" i="5"/>
  <c r="G143" i="4"/>
  <c r="F142" i="5" s="1"/>
  <c r="E141" i="5"/>
  <c r="G142" i="4"/>
  <c r="F141" i="5" s="1"/>
  <c r="G141" i="4"/>
  <c r="F140" i="5" s="1"/>
  <c r="E140" i="5"/>
  <c r="G140" i="4"/>
  <c r="F139" i="5" s="1"/>
  <c r="E139" i="5"/>
  <c r="G139" i="4"/>
  <c r="F138" i="5" s="1"/>
  <c r="E138" i="5"/>
  <c r="G138" i="4"/>
  <c r="F137" i="5" s="1"/>
  <c r="E137" i="5"/>
  <c r="G137" i="4"/>
  <c r="F136" i="5" s="1"/>
  <c r="E136" i="5"/>
  <c r="G136" i="4"/>
  <c r="F135" i="5" s="1"/>
  <c r="E135" i="5"/>
  <c r="G135" i="4"/>
  <c r="F134" i="5" s="1"/>
  <c r="E134" i="5"/>
  <c r="G134" i="4"/>
  <c r="F133" i="5" s="1"/>
  <c r="E133" i="5"/>
  <c r="E132" i="5"/>
  <c r="G133" i="4"/>
  <c r="F132" i="5" s="1"/>
  <c r="G132" i="4"/>
  <c r="F131" i="5" s="1"/>
  <c r="E131" i="5"/>
  <c r="G131" i="4"/>
  <c r="F130" i="5" s="1"/>
  <c r="E130" i="5"/>
  <c r="G130" i="4"/>
  <c r="F129" i="5" s="1"/>
  <c r="E129" i="5"/>
  <c r="G78" i="4"/>
  <c r="F77" i="5" s="1"/>
  <c r="E77" i="5"/>
  <c r="E76" i="5"/>
  <c r="G77" i="4"/>
  <c r="F76" i="5" s="1"/>
  <c r="G76" i="4"/>
  <c r="F75" i="5" s="1"/>
  <c r="E75" i="5"/>
  <c r="E74" i="5"/>
  <c r="G75" i="4"/>
  <c r="F74" i="5" s="1"/>
  <c r="E73" i="5"/>
  <c r="G74" i="4"/>
  <c r="F73" i="5" s="1"/>
  <c r="G73" i="4"/>
  <c r="F72" i="5" s="1"/>
  <c r="E72" i="5"/>
  <c r="E71" i="5"/>
  <c r="G72" i="4"/>
  <c r="F71" i="5" s="1"/>
  <c r="E70" i="5"/>
  <c r="G71" i="4"/>
  <c r="F70" i="5" s="1"/>
  <c r="E69" i="5"/>
  <c r="G70" i="4"/>
  <c r="F69" i="5" s="1"/>
  <c r="G69" i="4"/>
  <c r="F68" i="5" s="1"/>
  <c r="E68" i="5"/>
  <c r="G68" i="4"/>
  <c r="F67" i="5" s="1"/>
  <c r="E67" i="5"/>
  <c r="E66" i="5"/>
  <c r="G67" i="4"/>
  <c r="F66" i="5" s="1"/>
  <c r="E65" i="5"/>
  <c r="G66" i="4"/>
  <c r="F65" i="5" s="1"/>
  <c r="E64" i="5"/>
  <c r="G65" i="4"/>
  <c r="F64" i="5" s="1"/>
  <c r="E63" i="5"/>
  <c r="G64" i="4"/>
  <c r="F63" i="5" s="1"/>
  <c r="E62" i="5"/>
  <c r="G63" i="4"/>
  <c r="F62" i="5" s="1"/>
  <c r="E61" i="5"/>
  <c r="G62" i="4"/>
  <c r="F61" i="5" s="1"/>
  <c r="E60" i="5"/>
  <c r="G61" i="4"/>
  <c r="F60" i="5" s="1"/>
  <c r="E59" i="5"/>
  <c r="G60" i="4"/>
  <c r="F59" i="5" s="1"/>
  <c r="E58" i="5"/>
  <c r="G59" i="4"/>
  <c r="F58" i="5" s="1"/>
  <c r="G58" i="4"/>
  <c r="F57" i="5" s="1"/>
  <c r="E57" i="5"/>
  <c r="E56" i="5"/>
  <c r="G57" i="4"/>
  <c r="F56" i="5" s="1"/>
  <c r="E55" i="5"/>
  <c r="G56" i="4"/>
  <c r="F55" i="5" s="1"/>
  <c r="E54" i="5"/>
  <c r="G55" i="4"/>
  <c r="F54" i="5" s="1"/>
  <c r="G54" i="4"/>
  <c r="F53" i="5" s="1"/>
  <c r="E53" i="5"/>
  <c r="G53" i="4"/>
  <c r="F52" i="5" s="1"/>
  <c r="E52" i="5"/>
  <c r="G52" i="4"/>
  <c r="F51" i="5" s="1"/>
  <c r="E51" i="5"/>
  <c r="E50" i="5"/>
  <c r="G51" i="4"/>
  <c r="F50" i="5" s="1"/>
  <c r="E49" i="5"/>
  <c r="G50" i="4"/>
  <c r="F49" i="5" s="1"/>
  <c r="G49" i="4"/>
  <c r="F48" i="5" s="1"/>
  <c r="E48" i="5"/>
  <c r="G48" i="4"/>
  <c r="F47" i="5" s="1"/>
  <c r="E47" i="5"/>
  <c r="G47" i="4"/>
  <c r="F46" i="5" s="1"/>
  <c r="E46" i="5"/>
  <c r="E45" i="5"/>
  <c r="G46" i="4"/>
  <c r="F45" i="5" s="1"/>
  <c r="E44" i="5"/>
  <c r="G45" i="4"/>
  <c r="F44" i="5" s="1"/>
  <c r="E43" i="5"/>
  <c r="G44" i="4"/>
  <c r="F43" i="5" s="1"/>
  <c r="E42" i="5"/>
  <c r="G43" i="4"/>
  <c r="F42" i="5" s="1"/>
  <c r="E41" i="5"/>
  <c r="G42" i="4"/>
  <c r="F41" i="5" s="1"/>
  <c r="G41" i="4"/>
  <c r="F40" i="5" s="1"/>
  <c r="E40" i="5"/>
  <c r="E39" i="5"/>
  <c r="G40" i="4"/>
  <c r="F39" i="5" s="1"/>
  <c r="E38" i="5"/>
  <c r="G39" i="4"/>
  <c r="F38" i="5" s="1"/>
  <c r="G38" i="4"/>
  <c r="F37" i="5" s="1"/>
  <c r="E37" i="5"/>
  <c r="E36" i="5"/>
  <c r="G37" i="4"/>
  <c r="F36" i="5" s="1"/>
  <c r="E35" i="5"/>
  <c r="G36" i="4"/>
  <c r="F35" i="5" s="1"/>
  <c r="E34" i="5"/>
  <c r="G35" i="4"/>
  <c r="F34" i="5" s="1"/>
  <c r="E118" i="3"/>
  <c r="G119" i="2"/>
  <c r="F118" i="3" s="1"/>
  <c r="G117" i="2"/>
  <c r="F116" i="3" s="1"/>
  <c r="E116" i="3"/>
  <c r="G116" i="2"/>
  <c r="F115" i="3" s="1"/>
  <c r="E115" i="3"/>
  <c r="G115" i="2"/>
  <c r="F114" i="3" s="1"/>
  <c r="E114" i="3"/>
  <c r="G114" i="2"/>
  <c r="F113" i="3" s="1"/>
  <c r="E113" i="3"/>
  <c r="G113" i="2"/>
  <c r="F112" i="3" s="1"/>
  <c r="E112" i="3"/>
  <c r="G112" i="2"/>
  <c r="F111" i="3" s="1"/>
  <c r="E111" i="3"/>
  <c r="E110" i="3"/>
  <c r="G111" i="2"/>
  <c r="F110" i="3" s="1"/>
  <c r="G110" i="2"/>
  <c r="F109" i="3" s="1"/>
  <c r="E109" i="3"/>
  <c r="E108" i="3"/>
  <c r="G109" i="2"/>
  <c r="F108" i="3" s="1"/>
  <c r="E107" i="3"/>
  <c r="G108" i="2"/>
  <c r="F107" i="3" s="1"/>
  <c r="E106" i="3"/>
  <c r="G107" i="2"/>
  <c r="F106" i="3" s="1"/>
  <c r="E105" i="3"/>
  <c r="G106" i="2"/>
  <c r="F105" i="3" s="1"/>
  <c r="E104" i="3"/>
  <c r="G105" i="2"/>
  <c r="F104" i="3" s="1"/>
  <c r="E103" i="3"/>
  <c r="G104" i="2"/>
  <c r="F103" i="3" s="1"/>
  <c r="E102" i="3"/>
  <c r="G103" i="2"/>
  <c r="F102" i="3" s="1"/>
  <c r="E101" i="3"/>
  <c r="G102" i="2"/>
  <c r="F101" i="3" s="1"/>
  <c r="E100" i="3"/>
  <c r="G101" i="2"/>
  <c r="F100" i="3" s="1"/>
  <c r="G100" i="2"/>
  <c r="F99" i="3" s="1"/>
  <c r="E99" i="3"/>
  <c r="E98" i="3"/>
  <c r="G99" i="2"/>
  <c r="F98" i="3" s="1"/>
  <c r="E97" i="3"/>
  <c r="G98" i="2"/>
  <c r="F97" i="3" s="1"/>
  <c r="E96" i="3"/>
  <c r="G97" i="2"/>
  <c r="F96" i="3" s="1"/>
  <c r="E95" i="3"/>
  <c r="G96" i="2"/>
  <c r="F95" i="3" s="1"/>
  <c r="G95" i="2"/>
  <c r="F94" i="3" s="1"/>
  <c r="E94" i="3"/>
  <c r="E93" i="3"/>
  <c r="G94" i="2"/>
  <c r="F93" i="3" s="1"/>
  <c r="G93" i="2"/>
  <c r="F92" i="3" s="1"/>
  <c r="E92" i="3"/>
  <c r="G92" i="2"/>
  <c r="F91" i="3" s="1"/>
  <c r="E91" i="3"/>
  <c r="E90" i="3"/>
  <c r="G91" i="2"/>
  <c r="F90" i="3" s="1"/>
  <c r="E89" i="3"/>
  <c r="G90" i="2"/>
  <c r="F89" i="3" s="1"/>
  <c r="G89" i="2"/>
  <c r="F88" i="3" s="1"/>
  <c r="E88" i="3"/>
  <c r="E87" i="3"/>
  <c r="G88" i="2"/>
  <c r="F87" i="3" s="1"/>
  <c r="G87" i="2"/>
  <c r="F86" i="3" s="1"/>
  <c r="E86" i="3"/>
  <c r="G86" i="2"/>
  <c r="F85" i="3" s="1"/>
  <c r="E85" i="3"/>
  <c r="G85" i="2"/>
  <c r="F84" i="3" s="1"/>
  <c r="E84" i="3"/>
  <c r="E83" i="3"/>
  <c r="G84" i="2"/>
  <c r="F83" i="3" s="1"/>
  <c r="E82" i="3"/>
  <c r="G83" i="2"/>
  <c r="F82" i="3" s="1"/>
  <c r="E81" i="3"/>
  <c r="G82" i="2"/>
  <c r="F81" i="3" s="1"/>
  <c r="E80" i="3"/>
  <c r="G81" i="2"/>
  <c r="F80" i="3" s="1"/>
  <c r="G80" i="2"/>
  <c r="F79" i="3" s="1"/>
  <c r="E79" i="3"/>
  <c r="G79" i="2"/>
  <c r="F78" i="3" s="1"/>
  <c r="E78" i="3"/>
  <c r="G78" i="2"/>
  <c r="F77" i="3" s="1"/>
  <c r="E77" i="3"/>
  <c r="E76" i="3"/>
  <c r="G77" i="2"/>
  <c r="F76" i="3" s="1"/>
  <c r="G76" i="2"/>
  <c r="F75" i="3" s="1"/>
  <c r="E75" i="3"/>
  <c r="E74" i="3"/>
  <c r="G75" i="2"/>
  <c r="F74" i="3" s="1"/>
  <c r="E73" i="3"/>
  <c r="G74" i="2"/>
  <c r="F73" i="3" s="1"/>
  <c r="E72" i="3"/>
  <c r="G73" i="2"/>
  <c r="F72" i="3" s="1"/>
  <c r="E71" i="3"/>
  <c r="G72" i="2"/>
  <c r="F71" i="3" s="1"/>
  <c r="G71" i="2"/>
  <c r="F70" i="3" s="1"/>
  <c r="E70" i="3"/>
  <c r="G70" i="2"/>
  <c r="F69" i="3" s="1"/>
  <c r="E69" i="3"/>
  <c r="E68" i="3"/>
  <c r="G69" i="2"/>
  <c r="F68" i="3" s="1"/>
  <c r="G68" i="2"/>
  <c r="F67" i="3" s="1"/>
  <c r="E67" i="3"/>
  <c r="E66" i="3"/>
  <c r="G67" i="2"/>
  <c r="F66" i="3" s="1"/>
  <c r="E65" i="3"/>
  <c r="G66" i="2"/>
  <c r="F65" i="3" s="1"/>
  <c r="E64" i="3"/>
  <c r="G65" i="2"/>
  <c r="F64" i="3" s="1"/>
  <c r="E63" i="3"/>
  <c r="G64" i="2"/>
  <c r="F63" i="3" s="1"/>
  <c r="G63" i="2"/>
  <c r="F62" i="3" s="1"/>
  <c r="E62" i="3"/>
  <c r="G62" i="2"/>
  <c r="F61" i="3" s="1"/>
  <c r="E61" i="3"/>
  <c r="G61" i="2"/>
  <c r="F60" i="3" s="1"/>
  <c r="E60" i="3"/>
  <c r="G60" i="2"/>
  <c r="F59" i="3" s="1"/>
  <c r="E59" i="3"/>
  <c r="E58" i="3"/>
  <c r="G59" i="2"/>
  <c r="F58" i="3" s="1"/>
  <c r="G58" i="2"/>
  <c r="F57" i="3" s="1"/>
  <c r="E57" i="3"/>
  <c r="G57" i="2"/>
  <c r="F56" i="3" s="1"/>
  <c r="E56" i="3"/>
  <c r="G56" i="2"/>
  <c r="F55" i="3" s="1"/>
  <c r="E55" i="3"/>
  <c r="G55" i="2"/>
  <c r="F54" i="3" s="1"/>
  <c r="E54" i="3"/>
  <c r="G54" i="2"/>
  <c r="F53" i="3" s="1"/>
  <c r="E53" i="3"/>
  <c r="G53" i="2"/>
  <c r="F52" i="3" s="1"/>
  <c r="E52" i="3"/>
  <c r="G52" i="2"/>
  <c r="F51" i="3" s="1"/>
  <c r="E51" i="3"/>
  <c r="G51" i="2"/>
  <c r="F50" i="3" s="1"/>
  <c r="E50" i="3"/>
  <c r="G50" i="2"/>
  <c r="F49" i="3" s="1"/>
  <c r="E49" i="3"/>
  <c r="G49" i="2"/>
  <c r="F48" i="3" s="1"/>
  <c r="E48" i="3"/>
  <c r="G48" i="2"/>
  <c r="F47" i="3" s="1"/>
  <c r="E47" i="3"/>
  <c r="G47" i="2"/>
  <c r="F46" i="3" s="1"/>
  <c r="E46" i="3"/>
  <c r="G46" i="2"/>
  <c r="F45" i="3" s="1"/>
  <c r="E45" i="3"/>
  <c r="E44" i="3"/>
  <c r="G45" i="2"/>
  <c r="F44" i="3" s="1"/>
  <c r="E43" i="3"/>
  <c r="G44" i="2"/>
  <c r="F43" i="3" s="1"/>
  <c r="G43" i="2"/>
  <c r="F42" i="3" s="1"/>
  <c r="E42" i="3"/>
  <c r="E41" i="3"/>
  <c r="G42" i="2"/>
  <c r="F41" i="3" s="1"/>
  <c r="E40" i="3"/>
  <c r="G41" i="2"/>
  <c r="F40" i="3" s="1"/>
  <c r="E39" i="3"/>
  <c r="G40" i="2"/>
  <c r="F39" i="3" s="1"/>
  <c r="E38" i="3"/>
  <c r="G39" i="2"/>
  <c r="F38" i="3" s="1"/>
  <c r="E37" i="3"/>
  <c r="G38" i="2"/>
  <c r="F37" i="3" s="1"/>
  <c r="E36" i="3"/>
  <c r="G37" i="2"/>
  <c r="F36" i="3" s="1"/>
  <c r="G36" i="2"/>
  <c r="F35" i="3" s="1"/>
  <c r="E35" i="3"/>
  <c r="G35" i="2"/>
  <c r="F34" i="3" s="1"/>
  <c r="E34" i="3"/>
  <c r="G34" i="2"/>
  <c r="F33" i="3" s="1"/>
  <c r="E33" i="3"/>
  <c r="G33" i="2"/>
  <c r="F32" i="3" s="1"/>
  <c r="E32" i="3"/>
  <c r="E31" i="3"/>
  <c r="G32" i="2"/>
  <c r="F31" i="3" s="1"/>
  <c r="G31" i="2"/>
  <c r="F30" i="3" s="1"/>
  <c r="E30" i="3"/>
  <c r="E29" i="3"/>
  <c r="G30" i="2"/>
  <c r="F29" i="3" s="1"/>
  <c r="E28" i="3"/>
  <c r="G29" i="2"/>
  <c r="F28" i="3" s="1"/>
  <c r="E27" i="3"/>
  <c r="G28" i="2"/>
  <c r="F27" i="3" s="1"/>
  <c r="G27" i="2"/>
  <c r="F26" i="3" s="1"/>
  <c r="E26" i="3"/>
  <c r="G26" i="2"/>
  <c r="F25" i="3" s="1"/>
  <c r="E25" i="3"/>
  <c r="G25" i="2"/>
  <c r="F24" i="3" s="1"/>
  <c r="E24" i="3"/>
  <c r="E23" i="3"/>
  <c r="G24" i="2"/>
  <c r="F23" i="3" s="1"/>
  <c r="E22" i="3"/>
  <c r="G23" i="2"/>
  <c r="F22" i="3" s="1"/>
  <c r="E21" i="3"/>
  <c r="G22" i="2"/>
  <c r="F21" i="3" s="1"/>
  <c r="G21" i="2"/>
  <c r="F20" i="3" s="1"/>
  <c r="E20" i="3"/>
  <c r="G20" i="2"/>
  <c r="F19" i="3" s="1"/>
  <c r="E19" i="3"/>
  <c r="G19" i="2"/>
  <c r="F18" i="3" s="1"/>
  <c r="E18" i="3"/>
  <c r="G18" i="2"/>
  <c r="F17" i="3" s="1"/>
  <c r="E17" i="3"/>
  <c r="E16" i="3"/>
  <c r="G17" i="2"/>
  <c r="F16" i="3" s="1"/>
  <c r="G16" i="2"/>
  <c r="F15" i="3" s="1"/>
  <c r="E15" i="3"/>
  <c r="E14" i="3"/>
  <c r="G15" i="2"/>
  <c r="F14" i="3" s="1"/>
  <c r="G14" i="2"/>
  <c r="F13" i="3" s="1"/>
  <c r="E13" i="3"/>
  <c r="E12" i="3"/>
  <c r="G13" i="2"/>
  <c r="F12" i="3" s="1"/>
  <c r="G12" i="2"/>
  <c r="F11" i="3" s="1"/>
  <c r="E11" i="3"/>
  <c r="G11" i="2"/>
  <c r="F10" i="3" s="1"/>
  <c r="E10" i="3"/>
  <c r="E9" i="3"/>
  <c r="G10" i="2"/>
  <c r="F9" i="3" s="1"/>
  <c r="E8" i="3"/>
  <c r="G9" i="2"/>
  <c r="F8" i="3" s="1"/>
  <c r="E7" i="3"/>
  <c r="G8" i="2"/>
  <c r="F7" i="3" s="1"/>
  <c r="E6" i="3"/>
  <c r="G7" i="2"/>
  <c r="F6" i="3" s="1"/>
  <c r="G6" i="2"/>
  <c r="E5" i="3"/>
  <c r="F5" i="3" l="1"/>
  <c r="B9" i="1"/>
  <c r="B22" i="9"/>
  <c r="B11" i="1" l="1"/>
  <c r="B10" i="1"/>
  <c r="B12" i="1"/>
</calcChain>
</file>

<file path=xl/sharedStrings.xml><?xml version="1.0" encoding="utf-8"?>
<sst xmlns="http://schemas.openxmlformats.org/spreadsheetml/2006/main" count="2965" uniqueCount="767">
  <si>
    <t>🎛️ AGI TR Transportation - Control Panel</t>
  </si>
  <si>
    <t>📌 Changing the start date (B4) will automatically update all schedules. VBA macros must be enabled.</t>
  </si>
  <si>
    <t>📅 Project Start Date:</t>
  </si>
  <si>
    <t>⏱️ Task Duration (Days)</t>
  </si>
  <si>
    <t>🌊 Weather Settings</t>
  </si>
  <si>
    <t>🎯 Target Completion Date:</t>
  </si>
  <si>
    <t>Mobilization:</t>
  </si>
  <si>
    <t>Shamal Start:</t>
  </si>
  <si>
    <t>🚢 Voyage Pattern:</t>
  </si>
  <si>
    <t>1-2-2-2</t>
  </si>
  <si>
    <t>Deck Prep:</t>
  </si>
  <si>
    <t>Shamal End:</t>
  </si>
  <si>
    <t>🔄 Early Return (1st JD):</t>
  </si>
  <si>
    <t>TRUE</t>
  </si>
  <si>
    <t>Load-out:</t>
  </si>
  <si>
    <t>Tide Threshold (m):</t>
  </si>
  <si>
    <t>📊 Auto Calculation Summary</t>
  </si>
  <si>
    <t>Sea Fastening:</t>
  </si>
  <si>
    <t>📊 Gantt Min Days:</t>
  </si>
  <si>
    <t>Estimated Completion:</t>
  </si>
  <si>
    <t>MWS Approval:</t>
  </si>
  <si>
    <t>📊 Gantt Buffer Days:</t>
  </si>
  <si>
    <t>Total Duration (Days):</t>
  </si>
  <si>
    <t>Sailing:</t>
  </si>
  <si>
    <t>🔧 LCT Maint. Start:</t>
  </si>
  <si>
    <t>Status vs Target:</t>
  </si>
  <si>
    <t>AGI Unload:</t>
  </si>
  <si>
    <t>🔧 LCT Maint. End:</t>
  </si>
  <si>
    <t>Remaining Days:</t>
  </si>
  <si>
    <t>Turning:</t>
  </si>
  <si>
    <t>Jack-down:</t>
  </si>
  <si>
    <t>Return:</t>
  </si>
  <si>
    <t>🔘 VBA Macros (Alt+F8)</t>
  </si>
  <si>
    <t>Buffer:</t>
  </si>
  <si>
    <t>▶ UpdateAllSchedules - Recalculate All Schedules</t>
  </si>
  <si>
    <t>▶ UpdateAllScenarios - Batch Update All Scenarios</t>
  </si>
  <si>
    <t>▶ RefreshGanttChart - Refresh Gantt Chart Colors</t>
  </si>
  <si>
    <t>▶ RefreshAllGanttCharts - Refresh All Gantt Charts</t>
  </si>
  <si>
    <t>▶ RefreshTideData - Highlight Tide Data</t>
  </si>
  <si>
    <t>▶ GenerateReport - Generate Status Report</t>
  </si>
  <si>
    <t>▶ ExportToPDF - Export to PDF</t>
  </si>
  <si>
    <t>▶ SimulateDelay - Simulate Delay</t>
  </si>
  <si>
    <t>▶ HighlightCritical - Highlight Critical Path</t>
  </si>
  <si>
    <t>▶ HighlightToday - Show Today's Date</t>
  </si>
  <si>
    <t>▶ CheckShamalRisk - Check Shamal Risk</t>
  </si>
  <si>
    <t>▶ HighlightLCTMaintenance - LCT Maintenance Period</t>
  </si>
  <si>
    <t>▶ ShowControlPanelSettings - Show All Settings</t>
  </si>
  <si>
    <t>AGI TR Transportation - Mammoet_Original Schedule</t>
  </si>
  <si>
    <t>Start = 2026-01-18 | Auto-Updates from Control_Panel</t>
  </si>
  <si>
    <t>⚠️ Winter Shamal Risk Period: Jan 15-Apr 30, 2026 | Tide ≥1.90m + Weather Gate</t>
  </si>
  <si>
    <t>ID</t>
  </si>
  <si>
    <t>WBS</t>
  </si>
  <si>
    <t>Task</t>
  </si>
  <si>
    <t>Phase</t>
  </si>
  <si>
    <t>Owner</t>
  </si>
  <si>
    <t>Start</t>
  </si>
  <si>
    <t>End</t>
  </si>
  <si>
    <t>Duration</t>
  </si>
  <si>
    <t>Notes</t>
  </si>
  <si>
    <t>MOBILIZATION</t>
  </si>
  <si>
    <t>A0</t>
  </si>
  <si>
    <t>All</t>
  </si>
  <si>
    <t>SPMT</t>
  </si>
  <si>
    <t>BUFFER</t>
  </si>
  <si>
    <t>A1000</t>
  </si>
  <si>
    <t>Mobilization of SPMTs; Asembly + Function Test</t>
  </si>
  <si>
    <t>SPMT + grillage in MZP</t>
  </si>
  <si>
    <t>MARINE</t>
  </si>
  <si>
    <t>A1001</t>
  </si>
  <si>
    <t>Mobilization of Marine Equipment and Steelworks</t>
  </si>
  <si>
    <t>OPERATIONAL</t>
  </si>
  <si>
    <t>Beam Replacement</t>
  </si>
  <si>
    <t>A1002</t>
  </si>
  <si>
    <t>Beam Replacement AGI TR Unit 1 (TR Bay 4) - Two 5t forklifts required</t>
  </si>
  <si>
    <t>One-time setup (same LCT)</t>
  </si>
  <si>
    <t>A1003</t>
  </si>
  <si>
    <t>Beam Replacement AGI TR Unit 2 (TR Bay 3) - Two 5t forklifts required</t>
  </si>
  <si>
    <t>Deck Preparations</t>
  </si>
  <si>
    <t>DECK_PREP</t>
  </si>
  <si>
    <t>A1004</t>
  </si>
  <si>
    <t>Deck Preparations (D-ring cutting; marking, steel sets installation) - One 5t forklift and Crane required</t>
  </si>
  <si>
    <t>MWS pre-check ready</t>
  </si>
  <si>
    <t>A1005</t>
  </si>
  <si>
    <t>Deck Preparations (Steel sets installation, welding) - Crane Required for steel sets installation</t>
  </si>
  <si>
    <t>AGI TR Units 1-2</t>
  </si>
  <si>
    <t>A1030</t>
  </si>
  <si>
    <t>Loading of AGI TR Unit 1 on SPMT; lashing; Shifting to Mina Zayed Port RoRo Jetty area</t>
  </si>
  <si>
    <t>RORO + ramp</t>
  </si>
  <si>
    <t>A1040</t>
  </si>
  <si>
    <t>RoRo Ramp Installation - 5t Frokift and Crane required</t>
  </si>
  <si>
    <t>A1060</t>
  </si>
  <si>
    <t>Load-out of AGL TR Unit 1; stool down</t>
  </si>
  <si>
    <t>LOADOUT</t>
  </si>
  <si>
    <t>TIDE&gt;=1.90 required (Loadout start)</t>
  </si>
  <si>
    <t>A1070</t>
  </si>
  <si>
    <t>RoRo ramp removal; Seafastening AGL TR Unit 1 - Crane required</t>
  </si>
  <si>
    <t>SEAFAST</t>
  </si>
  <si>
    <t>Lashing + survey</t>
  </si>
  <si>
    <t>A1071</t>
  </si>
  <si>
    <t>Loading of AGI TR Unit 2 on SPMT</t>
  </si>
  <si>
    <t>lashing</t>
  </si>
  <si>
    <t>A1072</t>
  </si>
  <si>
    <t>Shifting of AGL TR Unit 2 to Jetty area</t>
  </si>
  <si>
    <t>A1073</t>
  </si>
  <si>
    <t>RoRo Ramp Installation - Crane required</t>
  </si>
  <si>
    <t>A1074</t>
  </si>
  <si>
    <t>Load-out of AGI TR Unit 2; stoold down; securing of SPMT</t>
  </si>
  <si>
    <t>A1075</t>
  </si>
  <si>
    <t>Removal of RoRo Ramp; Sea fastening AGI TR Unit 2 - Crane required</t>
  </si>
  <si>
    <t>A1080</t>
  </si>
  <si>
    <t>MWS + MPI + Final Preparations</t>
  </si>
  <si>
    <t>A1081</t>
  </si>
  <si>
    <t>Sail-away - Marine Transportation by LCT to Al Ghallan Island</t>
  </si>
  <si>
    <t>SAIL</t>
  </si>
  <si>
    <t>WX gate</t>
  </si>
  <si>
    <t>A1090</t>
  </si>
  <si>
    <t>MMT Crew Mob to AGI</t>
  </si>
  <si>
    <t>Site Induction; Meeting with Client</t>
  </si>
  <si>
    <t>A1091</t>
  </si>
  <si>
    <t>LCT Arrival; Berthing at AGL RoRo Jetty</t>
  </si>
  <si>
    <t>AGI_UNLOAD</t>
  </si>
  <si>
    <t>A1100</t>
  </si>
  <si>
    <t>Unlashing and cutting</t>
  </si>
  <si>
    <t>steel sets preparations; Forklift required</t>
  </si>
  <si>
    <t>A1110</t>
  </si>
  <si>
    <t>Load-in of AGI TR Unit 2 (including RoRo Ramp Installation); store on Jetty - Crane required</t>
  </si>
  <si>
    <t>A1120</t>
  </si>
  <si>
    <t>Load-in of AGI TR Unit 1 (including RoRo Ramp Installation); store on Jetty - Crane required</t>
  </si>
  <si>
    <t>A1121</t>
  </si>
  <si>
    <t>Steel bridge Installation 1</t>
  </si>
  <si>
    <t>Crane required</t>
  </si>
  <si>
    <t>A1140</t>
  </si>
  <si>
    <t>AGL TR Unit 1 (TR Bay 4) load on SPMT</t>
  </si>
  <si>
    <t>lashing; Transportation and JD (steel set to be delivered to bay area by trailer)</t>
  </si>
  <si>
    <t>A1141</t>
  </si>
  <si>
    <t>Turning of AGI TR Unit 1 (TR Bay 4) - 10t Forklift required</t>
  </si>
  <si>
    <t>TURNING</t>
  </si>
  <si>
    <t>3.0d/unit</t>
  </si>
  <si>
    <t>A1150</t>
  </si>
  <si>
    <t>Jacking down of AGI TR Unit 1 (TR Bay 4) on temporary support - Forklift required</t>
  </si>
  <si>
    <t>JACKDOWN</t>
  </si>
  <si>
    <t>1.0d/unit</t>
  </si>
  <si>
    <t>A1160</t>
  </si>
  <si>
    <t>Steel bridge Installation 2</t>
  </si>
  <si>
    <t>A1170</t>
  </si>
  <si>
    <t>AGL TR Unit 2 (TR Bay 3) load on SPMT</t>
  </si>
  <si>
    <t>A1180</t>
  </si>
  <si>
    <t>Turning of AGI TR Unit 2 (TR Bay 3) - 10t Forklift required</t>
  </si>
  <si>
    <t>A1190</t>
  </si>
  <si>
    <t>Jacking down of AGI TR Unit 2 (TR Bay 3) on temporary support - Forklift and Crane required</t>
  </si>
  <si>
    <t>A1200</t>
  </si>
  <si>
    <t>SPMT shiifting from TR Bay Area to Jetty; Loading on LCT (if tide allows)</t>
  </si>
  <si>
    <t>A1210</t>
  </si>
  <si>
    <t>LCT Sail-away back to Mina Zayed Port; MMT SPMT Crew Demobilization</t>
  </si>
  <si>
    <t>After final JD</t>
  </si>
  <si>
    <t>A1220</t>
  </si>
  <si>
    <t>MMT Jacking Crew Demobilization</t>
  </si>
  <si>
    <t>AGI TR Units 3-4</t>
  </si>
  <si>
    <t>A2030</t>
  </si>
  <si>
    <t>Loading of AGI TR Unit 3 on SPMT; lashing; Shifting to Mina Zayed Port RoRo Jetty area</t>
  </si>
  <si>
    <t>A2040</t>
  </si>
  <si>
    <t>A2060</t>
  </si>
  <si>
    <t>Load-out of AGL TR Unit 3; stool down</t>
  </si>
  <si>
    <t>A2070</t>
  </si>
  <si>
    <t>RoRo ramp removal; Seafastening AGL TR Unit 3 - Crane required</t>
  </si>
  <si>
    <t>A2071</t>
  </si>
  <si>
    <t>Loading of AGI TR Unit 4 on SPMT</t>
  </si>
  <si>
    <t>A2072</t>
  </si>
  <si>
    <t>Shifting of AGL TR Unit 4 to Jetty area</t>
  </si>
  <si>
    <t>A2073</t>
  </si>
  <si>
    <t>A2074</t>
  </si>
  <si>
    <t>Load-out of AGI TR Unit 4; stoold down; securing of SPMT</t>
  </si>
  <si>
    <t>A2075</t>
  </si>
  <si>
    <t>Removal of RoRo Ramp; Sea fastening AGI TR Unit 4 - Crane required</t>
  </si>
  <si>
    <t>A2080</t>
  </si>
  <si>
    <t>A2081</t>
  </si>
  <si>
    <t>A2090</t>
  </si>
  <si>
    <t>A2091</t>
  </si>
  <si>
    <t>A2100</t>
  </si>
  <si>
    <t>A2110</t>
  </si>
  <si>
    <t>Load-in of AGI TR Unit 4 (including RoRo Ramp Installation); store on Jetty - Crane required</t>
  </si>
  <si>
    <t>A2120</t>
  </si>
  <si>
    <t>Load-in of AGI TR Unit 3 (including RoRo Ramp Installation); store on Jetty - Crane required</t>
  </si>
  <si>
    <t>A2121</t>
  </si>
  <si>
    <t>A2140</t>
  </si>
  <si>
    <t>AGL TR Unit 3 load on SPMT</t>
  </si>
  <si>
    <t>A2141</t>
  </si>
  <si>
    <t>Turning of AGI TR Unit 3 - 10t Forklift required</t>
  </si>
  <si>
    <t>A2150</t>
  </si>
  <si>
    <t>Jacking down of AGI TR Unit 3 on temporary support - Forklift required</t>
  </si>
  <si>
    <t>A2160</t>
  </si>
  <si>
    <t>A2170</t>
  </si>
  <si>
    <t>AGL TR Unit 4 load on SPMT</t>
  </si>
  <si>
    <t>A2180</t>
  </si>
  <si>
    <t>Turning of AGI TR Unit 4 - 10t Forklift required</t>
  </si>
  <si>
    <t>A2190</t>
  </si>
  <si>
    <t>Jacking down of AGI TR Unit 4 on temporary support - Forklift and Crane required</t>
  </si>
  <si>
    <t>A2200</t>
  </si>
  <si>
    <t>A2210</t>
  </si>
  <si>
    <t>A2220</t>
  </si>
  <si>
    <t>AGI TR Units 5-6</t>
  </si>
  <si>
    <t>A3030</t>
  </si>
  <si>
    <t>Loading of AGI TR Unit 5 on SPMT; lashing; Shifting to Mina Zayed Port RoRo Jetty area</t>
  </si>
  <si>
    <t>A3040</t>
  </si>
  <si>
    <t>A3060</t>
  </si>
  <si>
    <t>Load-out of AGL TR Unit 5; stool down</t>
  </si>
  <si>
    <t>A3070</t>
  </si>
  <si>
    <t>RoRo ramp removal; Seafastening AGL TR Unit 5 - Crane required</t>
  </si>
  <si>
    <t>A3071</t>
  </si>
  <si>
    <t>Loading of AGI TR Unit 6 on SPMT</t>
  </si>
  <si>
    <t>A3072</t>
  </si>
  <si>
    <t>Shifting of AGL TR Unit 6 to Jetty area</t>
  </si>
  <si>
    <t>A3073</t>
  </si>
  <si>
    <t>A3074</t>
  </si>
  <si>
    <t>Load-out of AGI TR Unit 6; stoold down; securing of SPMT</t>
  </si>
  <si>
    <t>A3075</t>
  </si>
  <si>
    <t>Removal of RoRo Ramp; Sea fastening AGI TR Unit 6 - Crane required</t>
  </si>
  <si>
    <t>A3080</t>
  </si>
  <si>
    <t>A3081</t>
  </si>
  <si>
    <t>A3090</t>
  </si>
  <si>
    <t>A3091</t>
  </si>
  <si>
    <t>A3100</t>
  </si>
  <si>
    <t>A3110</t>
  </si>
  <si>
    <t>Load-in of AGI TR Unit 6 (including RoRo Ramp Installation); store on Jetty - Crane required</t>
  </si>
  <si>
    <t>A3120</t>
  </si>
  <si>
    <t>Load-in of AGI TR Unit 5 (including RoRo Ramp Installation); store on Jetty - Crane required</t>
  </si>
  <si>
    <t>A3121</t>
  </si>
  <si>
    <t>A3140</t>
  </si>
  <si>
    <t>AGL TR Unit 5 load on SPMT</t>
  </si>
  <si>
    <t>A3141</t>
  </si>
  <si>
    <t>Turning of AGI TR Unit 5 - 10t Forklift required</t>
  </si>
  <si>
    <t>A3150</t>
  </si>
  <si>
    <t>Jacking down of AGI TR Unit 5 on temporary support - Forklift required</t>
  </si>
  <si>
    <t>A3160</t>
  </si>
  <si>
    <t>A3170</t>
  </si>
  <si>
    <t>AGL TR Unit 6 load on SPMT</t>
  </si>
  <si>
    <t>A3180</t>
  </si>
  <si>
    <t>Turning of AGI TR Unit 6 - 10t Forklift required</t>
  </si>
  <si>
    <t>A3190</t>
  </si>
  <si>
    <t>Jacking down of AGI TR Unit 6 on temporary support - Forklift and Crane required</t>
  </si>
  <si>
    <t>A3200</t>
  </si>
  <si>
    <t>A3210</t>
  </si>
  <si>
    <t>A3220</t>
  </si>
  <si>
    <t>AGI TR Unit 7</t>
  </si>
  <si>
    <t>A4030</t>
  </si>
  <si>
    <t>Loading of AGI TR Unit 7 on SPMT; lashing; Shifting to Mina Zayed Port RoRo Jetty area</t>
  </si>
  <si>
    <t>A4040</t>
  </si>
  <si>
    <t>A4060</t>
  </si>
  <si>
    <t>Load-out of AGL TR Unit 7; stool down</t>
  </si>
  <si>
    <t>A4070</t>
  </si>
  <si>
    <t>RoRo ramp removal; Seafastening AGL TR Unit 7 - Crane required</t>
  </si>
  <si>
    <t>A4080</t>
  </si>
  <si>
    <t>A4081</t>
  </si>
  <si>
    <t>A4090</t>
  </si>
  <si>
    <t>A4091</t>
  </si>
  <si>
    <t>A4100</t>
  </si>
  <si>
    <t>A4120</t>
  </si>
  <si>
    <t>Load-in of AGI TR Unit 7 (including RoRo Ramp Installation); store on Jetty - Crane required</t>
  </si>
  <si>
    <t>A4121</t>
  </si>
  <si>
    <t>A4140</t>
  </si>
  <si>
    <t>AGL TR Unit 7 load on SPMT</t>
  </si>
  <si>
    <t>A4141</t>
  </si>
  <si>
    <t>Turning of AGI TR Unit 7 - 10t Forklift required</t>
  </si>
  <si>
    <t>A4150</t>
  </si>
  <si>
    <t>Jacking down of AGI TR Unit 7 on temporary support - Forklift and Crane required</t>
  </si>
  <si>
    <t>A4200</t>
  </si>
  <si>
    <t>A4210</t>
  </si>
  <si>
    <t>A4220</t>
  </si>
  <si>
    <t>AGI TR Transportation - Mammoet_Original Gantt Chart</t>
  </si>
  <si>
    <t>Orange Zone = Winter Shamal Risk Period (Jan 15-Apr 30) | Tide ≥1.90m + Weather Gate | VBA: RefreshGanttChart_Mammoet_Original로 색상 갱신</t>
  </si>
  <si>
    <t>Jan 2026</t>
  </si>
  <si>
    <t>Dur</t>
  </si>
  <si>
    <t>★</t>
  </si>
  <si>
    <t>AGI TR Transportation - Mammoet_ScenarioA Schedule</t>
  </si>
  <si>
    <t>Mobilization of SPMTs; Assembly + Function Test</t>
  </si>
  <si>
    <t>AGI TR Unit 1</t>
  </si>
  <si>
    <t>RoRo Ramp Installation - 5t Forklift and Crane required</t>
  </si>
  <si>
    <t>Load-out of AGI TR Unit 1; stool down</t>
  </si>
  <si>
    <t>RoRo ramp removal; Seafastening AGI TR Unit 1 - Crane required</t>
  </si>
  <si>
    <t>LCT Arrival; Berthing at AGI RoRo Jetty</t>
  </si>
  <si>
    <t>AGI TR Unit 1 load on SPMT</t>
  </si>
  <si>
    <t>Turning of AGI TR Unit 1 - 10t Forklift required</t>
  </si>
  <si>
    <t>Jacking down of AGI TR Unit 1 on temporary support - Forklift required</t>
  </si>
  <si>
    <t>SPMT shifting from TR Bay Area to Jetty; Loading on LCT (if tide allows)</t>
  </si>
  <si>
    <t>AGI TR Unit 2</t>
  </si>
  <si>
    <t>Loading of AGI TR Unit 2 on SPMT; lashing; Shifting to Mina Zayed Port RoRo Jetty area</t>
  </si>
  <si>
    <t>Load-out of AGI TR Unit 2; stool down</t>
  </si>
  <si>
    <t>RoRo ramp removal; Seafastening AGI TR Unit 2 - Crane required</t>
  </si>
  <si>
    <t>AGI TR Unit 2 load on SPMT</t>
  </si>
  <si>
    <t>Turning of AGI TR Unit 2 - 10t Forklift required</t>
  </si>
  <si>
    <t>Jacking down of AGI TR Unit 2 on temporary support - Forklift required</t>
  </si>
  <si>
    <t>AGI TR Unit 3</t>
  </si>
  <si>
    <t>Load-out of AGI TR Unit 3; stool down</t>
  </si>
  <si>
    <t>RoRo ramp removal; Seafastening AGI TR Unit 3 - Crane required</t>
  </si>
  <si>
    <t>AGI TR Unit 3 load on SPMT</t>
  </si>
  <si>
    <t>AGI TR Unit 4</t>
  </si>
  <si>
    <t>Loading of AGI TR Unit 4 on SPMT; lashing; Shifting to Mina Zayed Port RoRo Jetty area</t>
  </si>
  <si>
    <t>Load-out of AGI TR Unit 4; stool down</t>
  </si>
  <si>
    <t>RoRo ramp removal; Seafastening AGI TR Unit 4 - Crane required</t>
  </si>
  <si>
    <t>AGI TR Unit 4 load on SPMT</t>
  </si>
  <si>
    <t>Jacking down of AGI TR Unit 4 on temporary support - Forklift required</t>
  </si>
  <si>
    <t>AGI TR Unit 5</t>
  </si>
  <si>
    <t>A5030</t>
  </si>
  <si>
    <t>A5040</t>
  </si>
  <si>
    <t>A5060</t>
  </si>
  <si>
    <t>Load-out of AGI TR Unit 5; stool down</t>
  </si>
  <si>
    <t>A5070</t>
  </si>
  <si>
    <t>RoRo ramp removal; Seafastening AGI TR Unit 5 - Crane required</t>
  </si>
  <si>
    <t>A5080</t>
  </si>
  <si>
    <t>A5081</t>
  </si>
  <si>
    <t>A5090</t>
  </si>
  <si>
    <t>A5091</t>
  </si>
  <si>
    <t>A5100</t>
  </si>
  <si>
    <t>A5120</t>
  </si>
  <si>
    <t>A5121</t>
  </si>
  <si>
    <t>A5140</t>
  </si>
  <si>
    <t>AGI TR Unit 5 load on SPMT</t>
  </si>
  <si>
    <t>A5141</t>
  </si>
  <si>
    <t>A5150</t>
  </si>
  <si>
    <t>A5200</t>
  </si>
  <si>
    <t>A5210</t>
  </si>
  <si>
    <t>A5220</t>
  </si>
  <si>
    <t>AGI TR Unit 6</t>
  </si>
  <si>
    <t>A6030</t>
  </si>
  <si>
    <t>Loading of AGI TR Unit 6 on SPMT; lashing; Shifting to Mina Zayed Port RoRo Jetty area</t>
  </si>
  <si>
    <t>A6040</t>
  </si>
  <si>
    <t>A6060</t>
  </si>
  <si>
    <t>Load-out of AGI TR Unit 6; stool down</t>
  </si>
  <si>
    <t>A6070</t>
  </si>
  <si>
    <t>RoRo ramp removal; Seafastening AGI TR Unit 6 - Crane required</t>
  </si>
  <si>
    <t>A6080</t>
  </si>
  <si>
    <t>A6081</t>
  </si>
  <si>
    <t>A6090</t>
  </si>
  <si>
    <t>A6091</t>
  </si>
  <si>
    <t>A6100</t>
  </si>
  <si>
    <t>A6120</t>
  </si>
  <si>
    <t>A6121</t>
  </si>
  <si>
    <t>A6140</t>
  </si>
  <si>
    <t>AGI TR Unit 6 load on SPMT</t>
  </si>
  <si>
    <t>A6141</t>
  </si>
  <si>
    <t>A6150</t>
  </si>
  <si>
    <t>Jacking down of AGI TR Unit 6 on temporary support - Forklift required</t>
  </si>
  <si>
    <t>A6200</t>
  </si>
  <si>
    <t>A6210</t>
  </si>
  <si>
    <t>A6220</t>
  </si>
  <si>
    <t>A7030</t>
  </si>
  <si>
    <t>A7040</t>
  </si>
  <si>
    <t>A7060</t>
  </si>
  <si>
    <t>Load-out of AGI TR Unit 7; stool down</t>
  </si>
  <si>
    <t>A7070</t>
  </si>
  <si>
    <t>RoRo ramp removal; Seafastening AGI TR Unit 7 - Crane required</t>
  </si>
  <si>
    <t>A7080</t>
  </si>
  <si>
    <t>A7081</t>
  </si>
  <si>
    <t>A7090</t>
  </si>
  <si>
    <t>A7091</t>
  </si>
  <si>
    <t>A7100</t>
  </si>
  <si>
    <t>A7120</t>
  </si>
  <si>
    <t>A7121</t>
  </si>
  <si>
    <t>A7140</t>
  </si>
  <si>
    <t>AGI TR Unit 7 load on SPMT</t>
  </si>
  <si>
    <t>A7141</t>
  </si>
  <si>
    <t>A7150</t>
  </si>
  <si>
    <t>A7200</t>
  </si>
  <si>
    <t>A7210</t>
  </si>
  <si>
    <t>A7220</t>
  </si>
  <si>
    <t>AGI TR Transportation - Mammoet_ScenarioA Gantt Chart</t>
  </si>
  <si>
    <t>Orange Zone = Winter Shamal Risk Period (Jan 15-Apr 30) | Tide ≥1.90m + Weather Gate | VBA: RefreshGanttChart_Mammoet_ScenarioA로 색상 갱신</t>
  </si>
  <si>
    <t>AGI TR Transportation - Mammoet_Alternative Schedule</t>
  </si>
  <si>
    <t>Shifting of AGI TR Unit 2 to Jetty area</t>
  </si>
  <si>
    <t>Jacking down of AGI TR Unit 2 on temporary support - Forklift and Crane required</t>
  </si>
  <si>
    <t>Shifting of AGI TR Unit 4 to Jetty area</t>
  </si>
  <si>
    <t>Shifting of AGI TR Unit 6 to Jetty area</t>
  </si>
  <si>
    <t>AGI TR Transportation - Mammoet_Alternative Gantt Chart</t>
  </si>
  <si>
    <t>Orange Zone = Winter Shamal Risk Period (Jan 15-Apr 30) | Tide ≥1.90m + Weather Gate | VBA: RefreshGanttChart_Mammoet_Alternative로 색상 갱신</t>
  </si>
  <si>
    <t>UAE Winter Weather Analysis - Jan 2026</t>
  </si>
  <si>
    <t>Parameter</t>
  </si>
  <si>
    <t>Jan 18-27</t>
  </si>
  <si>
    <t>Jan 28-Feb 06</t>
  </si>
  <si>
    <t>Feb 07-16</t>
  </si>
  <si>
    <t>Feb 17-26</t>
  </si>
  <si>
    <t>Feb 27-28</t>
  </si>
  <si>
    <t>Avg Wind (kt)</t>
  </si>
  <si>
    <t>16-21</t>
  </si>
  <si>
    <t>Peak Shamal: Jan 15-Apr 30</t>
  </si>
  <si>
    <t>Max Gust (kt)</t>
  </si>
  <si>
    <t>25-30</t>
  </si>
  <si>
    <t>NO-GO if &gt;22kt gust</t>
  </si>
  <si>
    <t>Wave Height (m)</t>
  </si>
  <si>
    <t>0.8-1.2</t>
  </si>
  <si>
    <t>HOLD if &gt;0.8m</t>
  </si>
  <si>
    <t>Visibility (km)</t>
  </si>
  <si>
    <t>2-5</t>
  </si>
  <si>
    <t>Reduced during Shamal</t>
  </si>
  <si>
    <t>Risk Level</t>
  </si>
  <si>
    <t>HIGH</t>
  </si>
  <si>
    <t>Recommendation</t>
  </si>
  <si>
    <t>NO-GO</t>
  </si>
  <si>
    <t>AGI HVDC Transformer Transportation - Project Summary</t>
  </si>
  <si>
    <t>Key Parameters</t>
  </si>
  <si>
    <t>Total Transformers</t>
  </si>
  <si>
    <t>7 units (TR1-TR7)</t>
  </si>
  <si>
    <t>Weight per TR</t>
  </si>
  <si>
    <t>217-271 tons</t>
  </si>
  <si>
    <t>Total Voyages</t>
  </si>
  <si>
    <t>7 (1 TR per voyage)</t>
  </si>
  <si>
    <t>Jack-down Events</t>
  </si>
  <si>
    <t>4 (after V2, V4, V6, V7)</t>
  </si>
  <si>
    <t>Vessel</t>
  </si>
  <si>
    <t>LCT BUSHRA</t>
  </si>
  <si>
    <t>Route</t>
  </si>
  <si>
    <t>Mina Zayed Port ↔ AGI Site</t>
  </si>
  <si>
    <t>Schedule Summary</t>
  </si>
  <si>
    <t>Project Start</t>
  </si>
  <si>
    <t>Target End</t>
  </si>
  <si>
    <t>Mobilization</t>
  </si>
  <si>
    <t>Day 0-1</t>
  </si>
  <si>
    <t>Voyage 1 (TR1 Transport)</t>
  </si>
  <si>
    <t>Day 0-5</t>
  </si>
  <si>
    <t>Voyage 2 (TR2 Transport + JD-1)</t>
  </si>
  <si>
    <t>Day 8-17</t>
  </si>
  <si>
    <t>Voyage 3 (TR3 Transport)</t>
  </si>
  <si>
    <t>Day 13-17</t>
  </si>
  <si>
    <t>Voyage 4 (TR4 Transport + JD-2)</t>
  </si>
  <si>
    <t>Day 28-36</t>
  </si>
  <si>
    <t>Voyage 5 (TR5 Transport)</t>
  </si>
  <si>
    <t>Day 36-37</t>
  </si>
  <si>
    <t>Voyage 6 (TR6 Transport + JD-3)</t>
  </si>
  <si>
    <t>Day 38-43</t>
  </si>
  <si>
    <t>Voyage 7 (TR7 Transport + JD-4)</t>
  </si>
  <si>
    <t>Day 40-42</t>
  </si>
  <si>
    <t>Project Complete</t>
  </si>
  <si>
    <t>Weather Constraints</t>
  </si>
  <si>
    <t>Shamal Period</t>
  </si>
  <si>
    <t>Jan 15-Apr 30, 2026</t>
  </si>
  <si>
    <t>Tide Requirement</t>
  </si>
  <si>
    <t>≥1.90m for LO/ARR</t>
  </si>
  <si>
    <t>Wind Limit</t>
  </si>
  <si>
    <t>≤18kt sustained, ≤22kt gust</t>
  </si>
  <si>
    <t>Wave Limit</t>
  </si>
  <si>
    <t>≤0.8m (HOLD), ≤1.0m (NO-GO)</t>
  </si>
  <si>
    <t>AGI Draft Limit</t>
  </si>
  <si>
    <t>≤2.70m forward draft</t>
  </si>
  <si>
    <t>📋 VBA 코드 - Alt+F11 → Module에 붙여넣기 → .xlsm으로 저장</t>
  </si>
  <si>
    <t>Option Explicit</t>
  </si>
  <si>
    <t>' ============================================</t>
  </si>
  <si>
    <t>' AGI TR Multi-Scenario Master Gantt - VBA Macros</t>
  </si>
  <si>
    <t>' 사용법: Alt+F11 → Module 삽입 → 코드 붙여넣기</t>
  </si>
  <si>
    <t>' === 통합 업데이트 함수 ===</t>
  </si>
  <si>
    <t>Sub UpdateAllScenarios()</t>
  </si>
  <si>
    <t xml:space="preserve">    Application.ScreenUpdating = False</t>
  </si>
  <si>
    <t xml:space="preserve">    Application.Calculation = xlCalculationManual</t>
  </si>
  <si>
    <t xml:space="preserve">    On Error Resume Next</t>
  </si>
  <si>
    <t xml:space="preserve">    Sheets("Schedule_Data_Mammoet_Orig").Calculate</t>
  </si>
  <si>
    <t xml:space="preserve">    Sheets("Gantt_Chart_Mammoet_Orig").Calculate</t>
  </si>
  <si>
    <t xml:space="preserve">    Sheets("Schedule_Data_Mammoet_ScnA").Calculate</t>
  </si>
  <si>
    <t xml:space="preserve">    Sheets("Gantt_Chart_Mammoet_ScnA").Calculate</t>
  </si>
  <si>
    <t xml:space="preserve">    Sheets("Schedule_Data_Mammoet_Alt").Calculate</t>
  </si>
  <si>
    <t xml:space="preserve">    Sheets("Gantt_Chart_Mammoet_Alt").Calculate</t>
  </si>
  <si>
    <t xml:space="preserve">    Sheets("Tide_Data").Calculate</t>
  </si>
  <si>
    <t xml:space="preserve">    On Error GoTo 0</t>
  </si>
  <si>
    <t xml:space="preserve">    Sheets("Control_Panel").Calculate</t>
  </si>
  <si>
    <t xml:space="preserve">    Sheets("Summary").Calculate</t>
  </si>
  <si>
    <t xml:space="preserve">    Sheets("Weather_Analysis").Calculate</t>
  </si>
  <si>
    <t xml:space="preserve">    Call RefreshAllGanttCharts</t>
  </si>
  <si>
    <t xml:space="preserve">    Application.Calculation = xlCalculationAutomatic</t>
  </si>
  <si>
    <t xml:space="preserve">    Application.ScreenUpdating = True</t>
  </si>
  <si>
    <t xml:space="preserve">    MsgBox "✅ 모든 시나리오 업데이트 완료!", vbInformation, "Update Complete"</t>
  </si>
  <si>
    <t>End Sub</t>
  </si>
  <si>
    <t>' === 모든 Gantt 차트 색상 갱신 ===</t>
  </si>
  <si>
    <t>Sub RefreshAllGanttCharts()</t>
  </si>
  <si>
    <t xml:space="preserve">    Call RefreshGanttChart_Mammoet_Original</t>
  </si>
  <si>
    <t xml:space="preserve">    Call RefreshGanttChart_Mammoet_ScenarioA</t>
  </si>
  <si>
    <t xml:space="preserve">    Call RefreshGanttChart_Mammoet_Alternative</t>
  </si>
  <si>
    <t>' === Mammoet_Original Gantt 갱신 ===</t>
  </si>
  <si>
    <t>Sub RefreshGanttChart_Mammoet_Original()</t>
  </si>
  <si>
    <t xml:space="preserve">    Dim ws As Worksheet, wsd As Worksheet</t>
  </si>
  <si>
    <t xml:space="preserve">    Dim i As Long, j As Long, lastRow As Long, ganttRow As Long</t>
  </si>
  <si>
    <t xml:space="preserve">    Dim startD As Date, endD As Date, projStart As Date, cellDate As Date</t>
  </si>
  <si>
    <t xml:space="preserve">    Dim phase As String, dc As Long, lastCol As Long, maxJ As Long</t>
  </si>
  <si>
    <t xml:space="preserve">    Dim shamalStart As Date, shamalEnd As Date</t>
  </si>
  <si>
    <t xml:space="preserve">    Set ws = Sheets("Gantt_Chart_Mammoet_Orig")</t>
  </si>
  <si>
    <t xml:space="preserve">    Set wsd = Sheets("Schedule_Data_Mammoet_Orig")</t>
  </si>
  <si>
    <t xml:space="preserve">    projStart = Sheets("Control_Panel").Range("B4").Value</t>
  </si>
  <si>
    <t xml:space="preserve">    shamalStart = Sheets("Control_Panel").Range("H5").Value</t>
  </si>
  <si>
    <t xml:space="preserve">    shamalEnd = Sheets("Control_Panel").Range("H6").Value</t>
  </si>
  <si>
    <t xml:space="preserve">    dc = 8</t>
  </si>
  <si>
    <t xml:space="preserve">    lastCol = ws.Cells(4, ws.Columns.Count).End(xlToLeft).Column</t>
  </si>
  <si>
    <t xml:space="preserve">    maxJ = lastCol - dc</t>
  </si>
  <si>
    <t xml:space="preserve">    lastRow = wsd.Cells(wsd.Rows.Count, 1).End(xlUp).Row</t>
  </si>
  <si>
    <t xml:space="preserve">    ws.Range(ws.Cells(5, dc), ws.Cells(lastRow, lastCol)).Interior.ColorIndex = xlNone</t>
  </si>
  <si>
    <t xml:space="preserve">    For j = 0 To maxJ</t>
  </si>
  <si>
    <t xml:space="preserve">        ws.Cells(4, dc + j).Interior.Color = RGB(31, 78, 121)</t>
  </si>
  <si>
    <t xml:space="preserve">        cellDate = projStart + j</t>
  </si>
  <si>
    <t xml:space="preserve">        If cellDate &gt;= shamalStart And cellDate &lt;= shamalEnd Then</t>
  </si>
  <si>
    <t xml:space="preserve">            ws.Cells(4, dc + j).Interior.Color = RGB(255, 152, 0)</t>
  </si>
  <si>
    <t xml:space="preserve">        End If</t>
  </si>
  <si>
    <t xml:space="preserve">    Next j</t>
  </si>
  <si>
    <t xml:space="preserve">    For i = 6 To lastRow</t>
  </si>
  <si>
    <t xml:space="preserve">        Dim activityId As String</t>
  </si>
  <si>
    <t xml:space="preserve">        On Error Resume Next</t>
  </si>
  <si>
    <t xml:space="preserve">        activityId = Trim(UCase(CStr(wsd.Cells(i, 1).Value)))</t>
  </si>
  <si>
    <t xml:space="preserve">        On Error GoTo 0</t>
  </si>
  <si>
    <t xml:space="preserve">        If activityId = "" Or Left(activityId, 1) &lt;&gt; "A" Then</t>
  </si>
  <si>
    <t xml:space="preserve">            GoTo NextRow</t>
  </si>
  <si>
    <t xml:space="preserve">        If IsDate(wsd.Cells(i, 6).Value) And wsd.Cells(i, 6).Value &lt;&gt; "" Then</t>
  </si>
  <si>
    <t xml:space="preserve">            startD = wsd.Cells(i, 6).Value</t>
  </si>
  <si>
    <t xml:space="preserve">            If IsDate(wsd.Cells(i, 7).Value) Then</t>
  </si>
  <si>
    <t xml:space="preserve">                endD = wsd.Cells(i, 7).Value</t>
  </si>
  <si>
    <t xml:space="preserve">            Else</t>
  </si>
  <si>
    <t xml:space="preserve">                endD = startD</t>
  </si>
  <si>
    <t xml:space="preserve">            End If</t>
  </si>
  <si>
    <t xml:space="preserve">            phase = wsd.Cells(i, 4).Value</t>
  </si>
  <si>
    <t xml:space="preserve">            ganttRow = i - 1</t>
  </si>
  <si>
    <t xml:space="preserve">            For j = 0 To maxJ</t>
  </si>
  <si>
    <t xml:space="preserve">                cellDate = projStart + j</t>
  </si>
  <si>
    <t xml:space="preserve">                If cellDate &gt;= startD And cellDate &lt; endD Then</t>
  </si>
  <si>
    <t xml:space="preserve">                    ws.Cells(ganttRow, dc + j).Interior.Color = GetPhaseColor(phase)</t>
  </si>
  <si>
    <t xml:space="preserve">                ElseIf cellDate = startD And startD = endD Then</t>
  </si>
  <si>
    <t xml:space="preserve">                    ws.Cells(ganttRow, dc + j).Value = Chr(9733)</t>
  </si>
  <si>
    <t xml:space="preserve">                    ws.Cells(ganttRow, dc + j).HorizontalAlignment = xlCenter</t>
  </si>
  <si>
    <t xml:space="preserve">                    ws.Cells(ganttRow, dc + j).Font.Size = 8</t>
  </si>
  <si>
    <t xml:space="preserve">                End If</t>
  </si>
  <si>
    <t xml:space="preserve">            Next j</t>
  </si>
  <si>
    <t>NextRow:</t>
  </si>
  <si>
    <t xml:space="preserve">    Next i</t>
  </si>
  <si>
    <t>' === Mammoet_ScenarioA Gantt 갱신 ===</t>
  </si>
  <si>
    <t>Sub RefreshGanttChart_Mammoet_ScenarioA()</t>
  </si>
  <si>
    <t xml:space="preserve">    Set ws = Sheets("Gantt_Chart_Mammoet_ScnA")</t>
  </si>
  <si>
    <t xml:space="preserve">    Set wsd = Sheets("Schedule_Data_Mammoet_ScnA")</t>
  </si>
  <si>
    <t>' === Mammoet_Alternative Gantt 갱신 ===</t>
  </si>
  <si>
    <t>Sub RefreshGanttChart_Mammoet_Alternative()</t>
  </si>
  <si>
    <t xml:space="preserve">    Set ws = Sheets("Gantt_Chart_Mammoet_Alt")</t>
  </si>
  <si>
    <t xml:space="preserve">    Set wsd = Sheets("Schedule_Data_Mammoet_Alt")</t>
  </si>
  <si>
    <t>' === 조석 데이터 갱신 ===</t>
  </si>
  <si>
    <t>Sub RefreshTideData()</t>
  </si>
  <si>
    <t xml:space="preserve">    Dim ws As Worksheet</t>
  </si>
  <si>
    <t xml:space="preserve">    Dim i As Long</t>
  </si>
  <si>
    <t xml:space="preserve">    Dim tideThreshold As Double</t>
  </si>
  <si>
    <t xml:space="preserve">    Set ws = Sheets("Tide_Data")</t>
  </si>
  <si>
    <t xml:space="preserve">    tideThreshold = Sheets("Control_Panel").Range("H7").Value</t>
  </si>
  <si>
    <t xml:space="preserve">    If tideThreshold = 0 Then tideThreshold = 1.9</t>
  </si>
  <si>
    <t xml:space="preserve">    For i = 5 To ws.Cells(ws.Rows.Count, 1).End(xlUp).Row</t>
  </si>
  <si>
    <t xml:space="preserve">        If IsNumeric(ws.Cells(i, 3).Value) Then</t>
  </si>
  <si>
    <t xml:space="preserve">            If ws.Cells(i, 3).Value &gt;= tideThreshold Then</t>
  </si>
  <si>
    <t xml:space="preserve">                ws.Cells(i, 3).Font.Bold = True</t>
  </si>
  <si>
    <t xml:space="preserve">                ws.Cells(i, 3).Font.Color = RGB(0, 102, 204)</t>
  </si>
  <si>
    <t xml:space="preserve">                ws.Cells(i, 1).Interior.Color = RGB(227, 242, 253)</t>
  </si>
  <si>
    <t xml:space="preserve">    MsgBox "✅ 조석 데이터 강조 완료 (Tide ≥" &amp; Format(tideThreshold, "0.00") &amp; "m)", vbInformation</t>
  </si>
  <si>
    <t>' === 1. 전체 일정 업데이트 ===</t>
  </si>
  <si>
    <t>Sub UpdateAllSchedules()</t>
  </si>
  <si>
    <t xml:space="preserve">    Call RefreshGanttChart</t>
  </si>
  <si>
    <t xml:space="preserve">    MsgBox "✅ 일정 업데이트 완료!" &amp; vbCrLf &amp; vbCrLf &amp; _</t>
  </si>
  <si>
    <t xml:space="preserve">           "프로젝트 시작: " &amp; Format(Sheets("Control_Panel").Range("B4").Value, "YYYY-MM-DD") &amp; vbCrLf &amp; _</t>
  </si>
  <si>
    <t xml:space="preserve">           "예상 완료: " &amp; Format(Sheets("Control_Panel").Range("B9").Value, "YYYY-MM-DD"), _</t>
  </si>
  <si>
    <t xml:space="preserve">           vbInformation, "Schedule Updated"</t>
  </si>
  <si>
    <t>' === 2. Gantt Chart 색상 갱신 ===</t>
  </si>
  <si>
    <t>Sub RefreshGanttChart()</t>
  </si>
  <si>
    <t xml:space="preserve">    dc = 8 ' Date columns start at H</t>
  </si>
  <si>
    <t xml:space="preserve">    ' Clear existing colors in date columns</t>
  </si>
  <si>
    <t xml:space="preserve">    ' Reset header colors + Shamal highlight</t>
  </si>
  <si>
    <t xml:space="preserve">        ws.Cells(4, dc + j).Interior.Color = RGB(31, 78, 121) ' HEADER color</t>
  </si>
  <si>
    <t xml:space="preserve">            ws.Cells(4, dc + j).Interior.Color = RGB(255, 152, 0) ' Orange</t>
  </si>
  <si>
    <t xml:space="preserve">    ' Apply Gantt bars</t>
  </si>
  <si>
    <t xml:space="preserve">                    ws.Cells(ganttRow, dc + j).Value = Chr(9733) ' Star</t>
  </si>
  <si>
    <t xml:space="preserve">    ' Highlight today</t>
  </si>
  <si>
    <t xml:space="preserve">        If cellDate = Date Then</t>
  </si>
  <si>
    <t xml:space="preserve">            ws.Range(ws.Cells(4, dc + j), ws.Cells(lastRow, dc + j)).Borders(xlEdgeLeft).Color = RGB(255, 0, 0)</t>
  </si>
  <si>
    <t xml:space="preserve">            ws.Range(ws.Cells(4, dc + j), ws.Cells(lastRow, dc + j)).Borders(xlEdgeLeft).Weight = xlThick</t>
  </si>
  <si>
    <t xml:space="preserve">            Exit For</t>
  </si>
  <si>
    <t>' === Phase Color Helper ===</t>
  </si>
  <si>
    <t>Function GetPhaseColor(phase As String) As Long</t>
  </si>
  <si>
    <t xml:space="preserve">    Select Case phase</t>
  </si>
  <si>
    <t xml:space="preserve">        Case "MOBILIZATION": GetPhaseColor = RGB(142, 124, 195)</t>
  </si>
  <si>
    <t xml:space="preserve">        Case "DECK_PREP": GetPhaseColor = RGB(111, 168, 220)</t>
  </si>
  <si>
    <t xml:space="preserve">        Case "LOADOUT": GetPhaseColor = RGB(147, 196, 125)</t>
  </si>
  <si>
    <t xml:space="preserve">        Case "SEAFAST": GetPhaseColor = RGB(118, 165, 175)</t>
  </si>
  <si>
    <t xml:space="preserve">        Case "SAIL": GetPhaseColor = RGB(164, 194, 244)</t>
  </si>
  <si>
    <t xml:space="preserve">        Case "AGI_UNLOAD": GetPhaseColor = RGB(246, 178, 107)</t>
  </si>
  <si>
    <t xml:space="preserve">        Case "TURNING": GetPhaseColor = RGB(255, 217, 102)</t>
  </si>
  <si>
    <t xml:space="preserve">        Case "JACKDOWN": GetPhaseColor = RGB(224, 102, 102)</t>
  </si>
  <si>
    <t xml:space="preserve">        Case "RETURN": GetPhaseColor = RGB(153, 153, 153)</t>
  </si>
  <si>
    <t xml:space="preserve">        Case "BUFFER": GetPhaseColor = RGB(217, 217, 217)</t>
  </si>
  <si>
    <t xml:space="preserve">        Case "MILESTONE": GetPhaseColor = RGB(255, 0, 0)</t>
  </si>
  <si>
    <t xml:space="preserve">        Case Else: GetPhaseColor = RGB(255, 255, 255)</t>
  </si>
  <si>
    <t xml:space="preserve">    End Select</t>
  </si>
  <si>
    <t>End Function</t>
  </si>
  <si>
    <t>' === 3. 프로젝트 리포트 생성 ===</t>
  </si>
  <si>
    <t>Sub GenerateReport()</t>
  </si>
  <si>
    <t xml:space="preserve">    Dim wsd As Worksheet</t>
  </si>
  <si>
    <t xml:space="preserve">    Dim i As Long, total As Long, jdCount As Long, lastRow As Long</t>
  </si>
  <si>
    <t xml:space="preserve">    Dim voyages As Long, milestones As Long</t>
  </si>
  <si>
    <t xml:space="preserve">        If wsd.Cells(i, 1).Value &lt;&gt; "" Then</t>
  </si>
  <si>
    <t xml:space="preserve">            total = total + 1</t>
  </si>
  <si>
    <t xml:space="preserve">            If wsd.Cells(i, 4).Value = "JACKDOWN" Then jdCount = jdCount + 1</t>
  </si>
  <si>
    <t xml:space="preserve">            If wsd.Cells(i, 4).Value = "MILESTONE" Then milestones = milestones + 1</t>
  </si>
  <si>
    <t xml:space="preserve">            If Left(wsd.Cells(i, 1).Value, 1) = "V" And Len(wsd.Cells(i, 1).Value) = 2 Then voyages = voyages + 1</t>
  </si>
  <si>
    <t xml:space="preserve">    Dim rpt As String</t>
  </si>
  <si>
    <t xml:space="preserve">    rpt = "╔══════════════════════════════════════╗" &amp; vbCrLf &amp; _</t>
  </si>
  <si>
    <t xml:space="preserve">          "║   AGI HVDC TR Transportation Report  ║" &amp; vbCrLf &amp; _</t>
  </si>
  <si>
    <t xml:space="preserve">          "╠══════════════════════════════════════╣" &amp; vbCrLf &amp; _</t>
  </si>
  <si>
    <t xml:space="preserve">          "║ Report Date: " &amp; Format(Now, "YYYY-MM-DD HH:MM") &amp; "      ║" &amp; vbCrLf &amp; _</t>
  </si>
  <si>
    <t xml:space="preserve">          "║ PROJECT STATUS                       ║" &amp; vbCrLf &amp; _</t>
  </si>
  <si>
    <t xml:space="preserve">          "║  Total Tasks: " &amp; total &amp; "                      ║" &amp; vbCrLf &amp; _</t>
  </si>
  <si>
    <t xml:space="preserve">          "║  Voyages: " &amp; voyages &amp; "                          ║" &amp; vbCrLf &amp; _</t>
  </si>
  <si>
    <t xml:space="preserve">          "║  Jack-down Events: " &amp; jdCount &amp; "                 ║" &amp; vbCrLf &amp; _</t>
  </si>
  <si>
    <t xml:space="preserve">          "║  Milestones: " &amp; milestones &amp; "                       ║" &amp; vbCrLf &amp; _</t>
  </si>
  <si>
    <t xml:space="preserve">          "║ KEY DATES                            ║" &amp; vbCrLf &amp; _</t>
  </si>
  <si>
    <t xml:space="preserve">          "║  Start: " &amp; Format(Sheets("Control_Panel").Range("B4").Value, "YYYY-MM-DD") &amp; "              ║" &amp; vbCrLf &amp; _</t>
  </si>
  <si>
    <t xml:space="preserve">          "║  Target: " &amp; Format(Sheets("Control_Panel").Range("B5").Value, "YYYY-MM-DD") &amp; "             ║" &amp; vbCrLf &amp; _</t>
  </si>
  <si>
    <t xml:space="preserve">          "║  Est.End: " &amp; Format(Sheets("Control_Panel").Range("B9").Value, "YYYY-MM-DD") &amp; "            ║" &amp; vbCrLf &amp; _</t>
  </si>
  <si>
    <t xml:space="preserve">          "║  Status: " &amp; Sheets("Control_Panel").Range("B11").Value &amp; "               ║" &amp; vbCrLf &amp; _</t>
  </si>
  <si>
    <t xml:space="preserve">          "║ WEATHER RISK                         ║" &amp; vbCrLf &amp; _</t>
  </si>
  <si>
    <t xml:space="preserve">          "║  Shamal: " &amp; Format(Sheets("Control_Panel").Range("H5").Value, "MM/DD") &amp; " - " &amp; Format(Sheets("Control_Panel").Range("H6").Value, "MM/DD") &amp; "           ║" &amp; vbCrLf &amp; _</t>
  </si>
  <si>
    <t xml:space="preserve">          "╚══════════════════════════════════════╝"</t>
  </si>
  <si>
    <t xml:space="preserve">    MsgBox rpt, vbInformation, "Project Report"</t>
  </si>
  <si>
    <t>' === 4. PDF 내보내기 ===</t>
  </si>
  <si>
    <t>Sub ExportToPDF()</t>
  </si>
  <si>
    <t xml:space="preserve">    Dim fp As String</t>
  </si>
  <si>
    <t xml:space="preserve">    fp = ThisWorkbook.Path &amp; "\AGI_TR_Gantt_" &amp; Format(Date, "YYYYMMDD") &amp; ".pdf"</t>
  </si>
  <si>
    <t xml:space="preserve">    Sheets(Array("Schedule_Data_Mammoet_Orig", "Gantt_Chart_Mammoet_Orig", "Summary")).Select</t>
  </si>
  <si>
    <t xml:space="preserve">    ActiveSheet.ExportAsFixedFormat xlTypePDF, fp, xlQualityStandard, True</t>
  </si>
  <si>
    <t xml:space="preserve">    Sheets("Control_Panel").Select</t>
  </si>
  <si>
    <t xml:space="preserve">    MsgBox "✅ PDF 저장 완료:" &amp; vbCrLf &amp; fp, vbInformation, "Export Complete"</t>
  </si>
  <si>
    <t>' === 5. 지연 시뮬레이션 ===</t>
  </si>
  <si>
    <t>Sub SimulateDelay()</t>
  </si>
  <si>
    <t xml:space="preserve">    Dim delayDays As Integer, origStart As Date</t>
  </si>
  <si>
    <t xml:space="preserve">    Dim wsCtrl As Worksheet</t>
  </si>
  <si>
    <t xml:space="preserve">    Set wsCtrl = Sheets("Control_Panel")</t>
  </si>
  <si>
    <t xml:space="preserve">    origStart = wsCtrl.Range("B4").Value</t>
  </si>
  <si>
    <t xml:space="preserve">    delayDays = InputBox("시뮬레이션할 지연 일수를 입력하세요:" &amp; vbCrLf &amp; _</t>
  </si>
  <si>
    <t xml:space="preserve">                         "(현재 시작일: " &amp; Format(origStart, "YYYY-MM-DD") &amp; ")", _</t>
  </si>
  <si>
    <t xml:space="preserve">                         "Delay Simulation", "7")</t>
  </si>
  <si>
    <t xml:space="preserve">    If IsNumeric(delayDays) And delayDays &lt;&gt; 0 Then</t>
  </si>
  <si>
    <t xml:space="preserve">        wsCtrl.Range("B4").Value = origStart + delayDays</t>
  </si>
  <si>
    <t xml:space="preserve">        Call UpdateAllSchedules</t>
  </si>
  <si>
    <t xml:space="preserve">        MsgBox "시뮬레이션 결과:" &amp; vbCrLf &amp; _</t>
  </si>
  <si>
    <t xml:space="preserve">               "새 시작일: " &amp; Format(wsCtrl.Range("B4").Value, "YYYY-MM-DD") &amp; vbCrLf &amp; _</t>
  </si>
  <si>
    <t xml:space="preserve">               "새 완료일: " &amp; Format(wsCtrl.Range("B9").Value, "YYYY-MM-DD") &amp; vbCrLf &amp; _</t>
  </si>
  <si>
    <t xml:space="preserve">               "목표 대비: " &amp; wsCtrl.Range("B11").Value, vbInformation, "Simulation Result"</t>
  </si>
  <si>
    <t xml:space="preserve">        If MsgBox("원래 일정으로 복원하시겠습니까?", vbYesNo + vbQuestion, "Restore?") = vbYes Then</t>
  </si>
  <si>
    <t xml:space="preserve">            wsCtrl.Range("B4").Value = origStart</t>
  </si>
  <si>
    <t xml:space="preserve">            Call UpdateAllSchedules</t>
  </si>
  <si>
    <t xml:space="preserve">    End If</t>
  </si>
  <si>
    <t>' === 6. Critical Path 강조 ===</t>
  </si>
  <si>
    <t>Sub HighlightCritical()</t>
  </si>
  <si>
    <t xml:space="preserve">    Dim wsd As Worksheet, i As Long, lastRow As Long</t>
  </si>
  <si>
    <t xml:space="preserve">    ' Reset</t>
  </si>
  <si>
    <t xml:space="preserve">    wsd.Range(wsd.Cells(6, 1), wsd.Cells(lastRow, 9)).Font.Bold = False</t>
  </si>
  <si>
    <t xml:space="preserve">    wsd.Range(wsd.Cells(6, 1), wsd.Cells(lastRow, 9)).Font.Color = RGB(0, 0, 0)</t>
  </si>
  <si>
    <t xml:space="preserve">    ' Highlight Jack-down and Milestones</t>
  </si>
  <si>
    <t xml:space="preserve">        If wsd.Cells(i, 4).Value = "JACKDOWN" Then</t>
  </si>
  <si>
    <t xml:space="preserve">            wsd.Range(wsd.Cells(i, 1), wsd.Cells(i, 9)).Font.Bold = True</t>
  </si>
  <si>
    <t xml:space="preserve">            wsd.Range(wsd.Cells(i, 1), wsd.Cells(i, 9)).Font.Color = RGB(183, 28, 28)</t>
  </si>
  <si>
    <t xml:space="preserve">        ElseIf wsd.Cells(i, 4).Value = "MILESTONE" Then</t>
  </si>
  <si>
    <t xml:space="preserve">            wsd.Range(wsd.Cells(i, 1), wsd.Cells(i, 9)).Font.Color = RGB(21, 101, 192)</t>
  </si>
  <si>
    <t xml:space="preserve">    MsgBox "✅ Critical Path 강조 완료" &amp; vbCrLf &amp; _</t>
  </si>
  <si>
    <t xml:space="preserve">           "🔴 빨강 = Jack-down (Critical)" &amp; vbCrLf &amp; _</t>
  </si>
  <si>
    <t xml:space="preserve">           "🔵 파랑 = Milestone", vbInformation, "Critical Path"</t>
  </si>
  <si>
    <t>' === 7. 오늘 날짜 하이라이트 ===</t>
  </si>
  <si>
    <t>Sub HighlightToday()</t>
  </si>
  <si>
    <t xml:space="preserve">    Dim ws As Worksheet, j As Long, lastCol As Long, maxJ As Long, lastRow As Long</t>
  </si>
  <si>
    <t xml:space="preserve">    Dim projStart As Date, dc As Long</t>
  </si>
  <si>
    <t xml:space="preserve">    lastRow = ws.Cells(ws.Rows.Count, 1).End(xlUp).Row</t>
  </si>
  <si>
    <t xml:space="preserve">        If projStart + j = Date Then</t>
  </si>
  <si>
    <t xml:space="preserve">            ws.Range(ws.Cells(4, dc + j), ws.Cells(lastRow, dc + j)).Interior.Color = RGB(255, 255, 200)</t>
  </si>
  <si>
    <t xml:space="preserve">            ws.Cells(3, dc + j).Value = "TODAY"</t>
  </si>
  <si>
    <t xml:space="preserve">            ws.Cells(3, dc + j).Font.Bold = True</t>
  </si>
  <si>
    <t xml:space="preserve">            ws.Cells(3, dc + j).Font.Color = RGB(255, 0, 0)</t>
  </si>
  <si>
    <t xml:space="preserve">            MsgBox "오늘 날짜 (" &amp; Format(Date, "MM/DD") &amp; ") 컬럼이 강조되었습니다.", vbInformation</t>
  </si>
  <si>
    <t>' === 8. 날짜 변경 자동 트리거 (Control_Panel 시트에 추가) ===</t>
  </si>
  <si>
    <t>' 아래 코드를 Control_Panel 시트의 코드 영역에 붙여넣으세요:</t>
  </si>
  <si>
    <t>'</t>
  </si>
  <si>
    <t>' Private Sub Worksheet_Change(ByVal Target As Range)</t>
  </si>
  <si>
    <t>'     If Target.Address = "$B$4" Then</t>
  </si>
  <si>
    <t>'         Call UpdateAllSchedules</t>
  </si>
  <si>
    <t>'     End If</t>
  </si>
  <si>
    <t>' End Sub</t>
  </si>
  <si>
    <t>' === 9. 진행률 일괄 업데이트 ===</t>
  </si>
  <si>
    <t>Sub BulkProgressUpdate()</t>
  </si>
  <si>
    <t xml:space="preserve">    Dim pctValue As Double</t>
  </si>
  <si>
    <t xml:space="preserve">    pctValue = InputBox("일괄 적용할 진행률을 입력하세요 (0-100):", "Bulk Progress", "50")</t>
  </si>
  <si>
    <t xml:space="preserve">    If IsNumeric(pctValue) Then</t>
  </si>
  <si>
    <t xml:space="preserve">        pctValue = pctValue / 100</t>
  </si>
  <si>
    <t xml:space="preserve">        Set wsd = Sheets("Schedule_Data_Mammoet_Orig")</t>
  </si>
  <si>
    <t xml:space="preserve">        lastRow = wsd.Cells(wsd.Rows.Count, 1).End(xlUp).Row</t>
  </si>
  <si>
    <t xml:space="preserve">        ' Progress 컬럼이 없으면 추가</t>
  </si>
  <si>
    <t xml:space="preserve">        If wsd.Cells(5, 10).Value &lt;&gt; "Progress" Then</t>
  </si>
  <si>
    <t xml:space="preserve">            wsd.Cells(5, 10).Value = "Progress"</t>
  </si>
  <si>
    <t xml:space="preserve">            wsd.Cells(5, 10).Font.Bold = True</t>
  </si>
  <si>
    <t xml:space="preserve">            wsd.Cells(5, 10).Font.Color = RGB(255, 255, 255)</t>
  </si>
  <si>
    <t xml:space="preserve">            wsd.Cells(5, 10).Fill.Color = RGB(31, 78, 121)</t>
  </si>
  <si>
    <t xml:space="preserve">        For i = 6 To lastRow</t>
  </si>
  <si>
    <t xml:space="preserve">            If wsd.Cells(i, 1).Value &lt;&gt; "" Then</t>
  </si>
  <si>
    <t xml:space="preserve">                wsd.Cells(i, 10).Value = pctValue</t>
  </si>
  <si>
    <t xml:space="preserve">                wsd.Cells(i, 10).NumberFormat = "0%"</t>
  </si>
  <si>
    <t xml:space="preserve">        Next i</t>
  </si>
  <si>
    <t xml:space="preserve">        MsgBox "진행률 " &amp; Format(pctValue, "0%") &amp; " 일괄 적용 완료", vbInformation</t>
  </si>
  <si>
    <t>' === 10. Shamal 위험 체크 ===</t>
  </si>
  <si>
    <t>Sub CheckShamalRisk()</t>
  </si>
  <si>
    <t xml:space="preserve">    Dim taskDate As Date, shamalStart As Date, shamalEnd As Date</t>
  </si>
  <si>
    <t xml:space="preserve">    Dim riskTasks As String, cnt As Long</t>
  </si>
  <si>
    <t xml:space="preserve">        If IsDate(wsd.Cells(i, 6).Value) Then</t>
  </si>
  <si>
    <t xml:space="preserve">            taskDate = wsd.Cells(i, 6).Value</t>
  </si>
  <si>
    <t xml:space="preserve">            If taskDate &gt;= shamalStart And taskDate &lt;= shamalEnd Then</t>
  </si>
  <si>
    <t xml:space="preserve">                ' SAIL tasks are weather-critical</t>
  </si>
  <si>
    <t xml:space="preserve">                If wsd.Cells(i, 4).Value = "SAIL" Or wsd.Cells(i, 4).Value = "LOADOUT" Then</t>
  </si>
  <si>
    <t xml:space="preserve">                    cnt = cnt + 1</t>
  </si>
  <si>
    <t xml:space="preserve">                    riskTasks = riskTasks &amp; vbCrLf &amp; "  ⚠️ " &amp; wsd.Cells(i, 1).Value &amp; ": " &amp; wsd.Cells(i, 3).Value</t>
  </si>
  <si>
    <t xml:space="preserve">    If cnt &gt; 0 Then</t>
  </si>
  <si>
    <t xml:space="preserve">        MsgBox "⚠️ SHAMAL 위험 경고!" &amp; vbCrLf &amp; vbCrLf &amp; _</t>
  </si>
  <si>
    <t xml:space="preserve">               "Shamal 기간 (" &amp; Format(shamalStart, "MM/DD") &amp; "-" &amp; Format(shamalEnd, "MM/DD") &amp; ") 중 " &amp; cnt &amp; "개 기상 민감 작업 발견:" &amp; vbCrLf &amp; _</t>
  </si>
  <si>
    <t xml:space="preserve">               riskTasks &amp; vbCrLf &amp; vbCrLf &amp; _</t>
  </si>
  <si>
    <t xml:space="preserve">               "일정 조정을 권장합니다.", vbExclamation, "Weather Risk Alert"</t>
  </si>
  <si>
    <t xml:space="preserve">    Else</t>
  </si>
  <si>
    <t xml:space="preserve">        MsgBox "✅ Shamal 기간 중 기상 민감 작업 없음" &amp; vbCrLf &amp; _</t>
  </si>
  <si>
    <t xml:space="preserve">               "현재 일정은 안전합니다.", vbInformation, "Weather Check OK"</t>
  </si>
  <si>
    <t>' NEW: Control Panel Settings Reader Functions</t>
  </si>
  <si>
    <t>' === Get Voyage Pattern from Control Panel ===</t>
  </si>
  <si>
    <t>Function GetVoyagePattern() As String</t>
  </si>
  <si>
    <t xml:space="preserve">    ' Returns: "1-2-2-2", "2-2-2-1", "2-2-2-1_TWO_SPMT", or "1x1x1x1x1x1x1"</t>
  </si>
  <si>
    <t xml:space="preserve">    GetVoyagePattern = Sheets("Control_Panel").Range("B6").Value</t>
  </si>
  <si>
    <t xml:space="preserve">    If GetVoyagePattern = "" Then GetVoyagePattern = "1-2-2-2"</t>
  </si>
  <si>
    <t>' === Check if Early Return is enabled ===</t>
  </si>
  <si>
    <t>Function IsEarlyReturn() As Boolean</t>
  </si>
  <si>
    <t xml:space="preserve">    ' TRUE = LCT returns after first JD in a pair</t>
  </si>
  <si>
    <t xml:space="preserve">    ' FALSE = LCT returns after batch JD (both TRs)</t>
  </si>
  <si>
    <t xml:space="preserve">    Dim val As String</t>
  </si>
  <si>
    <t xml:space="preserve">    val = UCase(Trim(Sheets("Control_Panel").Range("B7").Value))</t>
  </si>
  <si>
    <t xml:space="preserve">    IsEarlyReturn = (val = "TRUE" Or val = "YES" Or val = "1")</t>
  </si>
  <si>
    <t>' === Get LCT Maintenance Start Date ===</t>
  </si>
  <si>
    <t>Function GetLCTMaintStart() As Date</t>
  </si>
  <si>
    <t xml:space="preserve">    GetLCTMaintStart = Sheets("Control_Panel").Range("H10").Value</t>
  </si>
  <si>
    <t xml:space="preserve">    If Err.Number &lt;&gt; 0 Then GetLCTMaintStart = #1/1/2099#</t>
  </si>
  <si>
    <t>' === Get LCT Maintenance End Date ===</t>
  </si>
  <si>
    <t>Function GetLCTMaintEnd() As Date</t>
  </si>
  <si>
    <t xml:space="preserve">    GetLCTMaintEnd = Sheets("Control_Panel").Range("H11").Value</t>
  </si>
  <si>
    <t xml:space="preserve">    If Err.Number &lt;&gt; 0 Then GetLCTMaintEnd = #1/1/2099#</t>
  </si>
  <si>
    <t>' === Highlight LCT Maintenance Period in Gantt ===</t>
  </si>
  <si>
    <t>Sub HighlightLCTMaintenance()</t>
  </si>
  <si>
    <t xml:space="preserve">    Dim j As Long, lastCol As Long, maxJ As Long, lastRow As Long</t>
  </si>
  <si>
    <t xml:space="preserve">    Dim projStart As Date, cellDate As Date, dc As Long</t>
  </si>
  <si>
    <t xml:space="preserve">    Dim maintStart As Date, maintEnd As Date</t>
  </si>
  <si>
    <t xml:space="preserve">    maintStart = GetLCTMaintStart()</t>
  </si>
  <si>
    <t xml:space="preserve">    maintEnd = GetLCTMaintEnd()</t>
  </si>
  <si>
    <t xml:space="preserve">    ' Highlight maintenance period with gray</t>
  </si>
  <si>
    <t xml:space="preserve">        If cellDate &gt;= maintStart And cellDate &lt;= maintEnd Then</t>
  </si>
  <si>
    <t xml:space="preserve">            ws.Range(ws.Cells(4, dc + j), ws.Cells(lastRow, dc + j)).Interior.Color = RGB(200, 200, 200)</t>
  </si>
  <si>
    <t xml:space="preserve">            ws.Cells(3, dc + j).Value = "MAINT"</t>
  </si>
  <si>
    <t xml:space="preserve">            ws.Cells(3, dc + j).Font.Size = 7</t>
  </si>
  <si>
    <t xml:space="preserve">            ws.Cells(3, dc + j).Font.Color = RGB(128, 0, 0)</t>
  </si>
  <si>
    <t xml:space="preserve">    MsgBox "🔧 LCT Maintenance 기간 강조 완료:" &amp; vbCrLf &amp; _</t>
  </si>
  <si>
    <t xml:space="preserve">           Format(maintStart, "YYYY-MM-DD") &amp; " ~ " &amp; Format(maintEnd, "YYYY-MM-DD"), _</t>
  </si>
  <si>
    <t xml:space="preserve">           vbInformation, "LCT Maintenance"</t>
  </si>
  <si>
    <t>' === Display Current Control Panel Settings ===</t>
  </si>
  <si>
    <t>Sub ShowControlPanelSettings()</t>
  </si>
  <si>
    <t xml:space="preserve">    Dim msg As String</t>
  </si>
  <si>
    <t xml:space="preserve">    msg = "📋 현재 Control Panel 설정:" &amp; vbCrLf &amp; vbCrLf &amp; _</t>
  </si>
  <si>
    <t xml:space="preserve">          "📅 Project Start: " &amp; Format(Sheets("Control_Panel").Range("B4").Value, "YYYY-MM-DD") &amp; vbCrLf &amp; _</t>
  </si>
  <si>
    <t xml:space="preserve">          "🎯 Target End: " &amp; Format(Sheets("Control_Panel").Range("B5").Value, "YYYY-MM-DD") &amp; vbCrLf &amp; _</t>
  </si>
  <si>
    <t xml:space="preserve">          "🚢 Voyage Pattern: " &amp; GetVoyagePattern() &amp; vbCrLf &amp; _</t>
  </si>
  <si>
    <t xml:space="preserve">          "🔄 Early Return: " &amp; IIf(IsEarlyReturn(), "YES", "NO") &amp; vbCrLf &amp; vbCrLf &amp; _</t>
  </si>
  <si>
    <t xml:space="preserve">          "🌊 Shamal Period: " &amp; Format(Sheets("Control_Panel").Range("H5").Value, "MM/DD") &amp; _</t>
  </si>
  <si>
    <t xml:space="preserve">          " ~ " &amp; Format(Sheets("Control_Panel").Range("H6").Value, "MM/DD") &amp; vbCrLf &amp; _</t>
  </si>
  <si>
    <t xml:space="preserve">          "🌊 Tide Threshold: " &amp; Format(Sheets("Control_Panel").Range("H7").Value, "0.00") &amp; "m" &amp; vbCrLf &amp; vbCrLf &amp; _</t>
  </si>
  <si>
    <t xml:space="preserve">          "🔧 LCT Maintenance: " &amp; Format(GetLCTMaintStart(), "MM/DD") &amp; _</t>
  </si>
  <si>
    <t xml:space="preserve">          " ~ " &amp; Format(GetLCTMaintEnd(), "MM/DD")</t>
  </si>
  <si>
    <t xml:space="preserve">    MsgBox msg, vbInformation, "Control Panel Settings"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</si>
</sst>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yyyy\-mm\-dd"/>
    <numFmt numFmtId="177" formatCode="0.0"/>
    <numFmt numFmtId="178" formatCode="d"/>
  </numFmts>
  <fonts count="17">
    <font>
      <sz val="11"/>
      <color theme="1"/>
      <name val="맑은 고딕"/>
      <family val="2"/>
      <scheme val="minor"/>
    </font>
    <font>
      <b/>
      <sz val="16"/>
      <color rgb="FFFFFFFF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B71C1C"/>
      <name val="맑은 고딕"/>
      <family val="3"/>
      <charset val="129"/>
    </font>
    <font>
      <b/>
      <sz val="14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sz val="8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9"/>
      <name val="Consolas"/>
      <family val="3"/>
    </font>
    <font>
      <sz val="8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9C4"/>
      </patternFill>
    </fill>
    <fill>
      <patternFill patternType="solid">
        <fgColor rgb="FFFFFDE7"/>
      </patternFill>
    </fill>
    <fill>
      <patternFill patternType="solid">
        <fgColor rgb="FFFF9800"/>
      </patternFill>
    </fill>
    <fill>
      <patternFill patternType="solid">
        <fgColor rgb="FFE3F2FD"/>
      </patternFill>
    </fill>
    <fill>
      <patternFill patternType="solid">
        <fgColor rgb="FF2E75B6"/>
      </patternFill>
    </fill>
    <fill>
      <patternFill patternType="solid">
        <fgColor rgb="FF8E7CC3"/>
      </patternFill>
    </fill>
    <fill>
      <patternFill patternType="solid">
        <fgColor rgb="FFD9D9D9"/>
      </patternFill>
    </fill>
    <fill>
      <patternFill patternType="solid">
        <fgColor rgb="FF6FA8DC"/>
      </patternFill>
    </fill>
    <fill>
      <patternFill patternType="solid">
        <fgColor rgb="FF93C47D"/>
      </patternFill>
    </fill>
    <fill>
      <patternFill patternType="solid">
        <fgColor rgb="FF76A5AF"/>
      </patternFill>
    </fill>
    <fill>
      <patternFill patternType="solid">
        <fgColor rgb="FFA4C2F4"/>
      </patternFill>
    </fill>
    <fill>
      <patternFill patternType="solid">
        <fgColor rgb="FFF6B26B"/>
      </patternFill>
    </fill>
    <fill>
      <patternFill patternType="solid">
        <fgColor rgb="FFFFD966"/>
      </patternFill>
    </fill>
    <fill>
      <patternFill patternType="solid">
        <fgColor rgb="FFE06666"/>
      </patternFill>
    </fill>
    <fill>
      <patternFill patternType="solid">
        <fgColor rgb="FFFFCDD2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176" fontId="2" fillId="4" borderId="1" xfId="0" applyNumberFormat="1" applyFont="1" applyFill="1" applyBorder="1"/>
    <xf numFmtId="0" fontId="3" fillId="0" borderId="0" xfId="0" applyFont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0" fillId="5" borderId="0" xfId="0" applyNumberFormat="1" applyFill="1"/>
    <xf numFmtId="0" fontId="0" fillId="4" borderId="1" xfId="0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176" fontId="0" fillId="6" borderId="1" xfId="0" applyNumberFormat="1" applyFill="1" applyBorder="1"/>
    <xf numFmtId="0" fontId="0" fillId="6" borderId="1" xfId="0" applyFill="1" applyBorder="1"/>
    <xf numFmtId="0" fontId="4" fillId="0" borderId="0" xfId="0" applyFont="1"/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176" fontId="0" fillId="0" borderId="1" xfId="0" applyNumberFormat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8" fillId="0" borderId="1" xfId="0" applyFont="1" applyBorder="1"/>
    <xf numFmtId="0" fontId="8" fillId="16" borderId="1" xfId="0" applyFont="1" applyFill="1" applyBorder="1"/>
    <xf numFmtId="176" fontId="8" fillId="0" borderId="1" xfId="0" applyNumberFormat="1" applyFont="1" applyBorder="1"/>
    <xf numFmtId="0" fontId="10" fillId="2" borderId="1" xfId="0" applyFont="1" applyFill="1" applyBorder="1" applyAlignment="1">
      <alignment horizontal="center"/>
    </xf>
    <xf numFmtId="178" fontId="11" fillId="5" borderId="1" xfId="0" applyNumberFormat="1" applyFont="1" applyFill="1" applyBorder="1" applyAlignment="1">
      <alignment horizontal="center"/>
    </xf>
    <xf numFmtId="178" fontId="11" fillId="2" borderId="1" xfId="0" applyNumberFormat="1" applyFont="1" applyFill="1" applyBorder="1" applyAlignment="1">
      <alignment horizontal="center"/>
    </xf>
    <xf numFmtId="58" fontId="0" fillId="0" borderId="1" xfId="0" applyNumberFormat="1" applyBorder="1"/>
    <xf numFmtId="0" fontId="0" fillId="16" borderId="1" xfId="0" applyFill="1" applyBorder="1"/>
    <xf numFmtId="0" fontId="12" fillId="8" borderId="1" xfId="0" applyFont="1" applyFill="1" applyBorder="1" applyAlignment="1">
      <alignment horizontal="center"/>
    </xf>
    <xf numFmtId="0" fontId="13" fillId="0" borderId="0" xfId="0" applyFont="1"/>
    <xf numFmtId="0" fontId="7" fillId="2" borderId="1" xfId="0" applyFont="1" applyFill="1" applyBorder="1"/>
    <xf numFmtId="0" fontId="0" fillId="17" borderId="1" xfId="0" applyFill="1" applyBorder="1"/>
    <xf numFmtId="0" fontId="14" fillId="0" borderId="0" xfId="0" applyFont="1"/>
    <xf numFmtId="176" fontId="0" fillId="0" borderId="0" xfId="0" applyNumberFormat="1"/>
    <xf numFmtId="0" fontId="15" fillId="0" borderId="0" xfId="0" applyFont="1"/>
    <xf numFmtId="0" fontId="0" fillId="3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6" fillId="5" borderId="0" xfId="0" applyFont="1" applyFill="1"/>
    <xf numFmtId="0" fontId="5" fillId="7" borderId="0" xfId="0" applyFont="1" applyFill="1"/>
    <xf numFmtId="0" fontId="9" fillId="2" borderId="0" xfId="0" applyFont="1" applyFill="1" applyAlignment="1">
      <alignment horizontal="center"/>
    </xf>
    <xf numFmtId="0" fontId="3" fillId="0" borderId="0" xfId="0" applyFont="1"/>
    <xf numFmtId="0" fontId="13" fillId="0" borderId="0" xfId="0" applyFont="1"/>
  </cellXfs>
  <cellStyles count="1">
    <cellStyle name="표준" xfId="0" builtinId="0"/>
  </cellStyles>
  <dxfs count="0"/>
  <tableStyles count="1" defaultTableStyle="TableStyleMedium9" defaultPivotStyle="PivotStyleLight16">
    <tableStyle name="Invisible" pivot="0" table="0" count="0" xr9:uid="{9A2FB0E0-085C-4104-971C-1F89BA90DC0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tabSelected="1" zoomScale="70" zoomScaleNormal="70" workbookViewId="0">
      <selection sqref="A1:H1"/>
    </sheetView>
  </sheetViews>
  <sheetFormatPr defaultRowHeight="16.899999999999999"/>
  <cols>
    <col min="1" max="1" width="20" customWidth="1"/>
    <col min="2" max="2" width="15" customWidth="1"/>
    <col min="4" max="4" width="16" customWidth="1"/>
    <col min="5" max="5" width="10" customWidth="1"/>
    <col min="7" max="7" width="14" customWidth="1"/>
    <col min="8" max="8" width="12" customWidth="1"/>
    <col min="9" max="9" width="10" customWidth="1"/>
  </cols>
  <sheetData>
    <row r="1" spans="1:8" ht="30" customHeight="1">
      <c r="A1" s="41" t="s">
        <v>0</v>
      </c>
      <c r="B1" s="40"/>
      <c r="C1" s="40"/>
      <c r="D1" s="40"/>
      <c r="E1" s="40"/>
      <c r="F1" s="40"/>
      <c r="G1" s="40"/>
      <c r="H1" s="40"/>
    </row>
    <row r="2" spans="1:8">
      <c r="A2" s="39" t="s">
        <v>1</v>
      </c>
      <c r="B2" s="40"/>
      <c r="C2" s="40"/>
      <c r="D2" s="40"/>
      <c r="E2" s="40"/>
      <c r="F2" s="40"/>
      <c r="G2" s="40"/>
      <c r="H2" s="40"/>
    </row>
    <row r="4" spans="1:8" ht="19.149999999999999">
      <c r="A4" s="1" t="s">
        <v>2</v>
      </c>
      <c r="B4" s="2">
        <v>46040</v>
      </c>
      <c r="D4" s="1" t="s">
        <v>3</v>
      </c>
      <c r="G4" s="1" t="s">
        <v>4</v>
      </c>
    </row>
    <row r="5" spans="1:8">
      <c r="A5" s="3" t="s">
        <v>5</v>
      </c>
      <c r="B5" s="4">
        <v>46081</v>
      </c>
      <c r="D5" s="3" t="s">
        <v>6</v>
      </c>
      <c r="E5" s="5">
        <v>1</v>
      </c>
      <c r="G5" t="s">
        <v>7</v>
      </c>
      <c r="H5" s="6">
        <v>46037</v>
      </c>
    </row>
    <row r="6" spans="1:8">
      <c r="A6" s="3" t="s">
        <v>8</v>
      </c>
      <c r="B6" s="7" t="s">
        <v>9</v>
      </c>
      <c r="D6" s="3" t="s">
        <v>10</v>
      </c>
      <c r="E6" s="5">
        <v>3</v>
      </c>
      <c r="G6" t="s">
        <v>11</v>
      </c>
      <c r="H6" s="6">
        <v>46142</v>
      </c>
    </row>
    <row r="7" spans="1:8">
      <c r="A7" s="3" t="s">
        <v>12</v>
      </c>
      <c r="B7" s="7" t="s">
        <v>13</v>
      </c>
      <c r="D7" s="3" t="s">
        <v>14</v>
      </c>
      <c r="E7" s="5">
        <v>1</v>
      </c>
      <c r="G7" s="3" t="s">
        <v>15</v>
      </c>
      <c r="H7" s="8">
        <v>1.9</v>
      </c>
    </row>
    <row r="8" spans="1:8" ht="19.149999999999999">
      <c r="A8" s="1" t="s">
        <v>16</v>
      </c>
      <c r="D8" s="3" t="s">
        <v>17</v>
      </c>
      <c r="E8" s="5">
        <v>0.5</v>
      </c>
      <c r="G8" s="3" t="s">
        <v>18</v>
      </c>
      <c r="H8" s="9">
        <v>120</v>
      </c>
    </row>
    <row r="9" spans="1:8">
      <c r="A9" s="3" t="s">
        <v>19</v>
      </c>
      <c r="B9" s="10">
        <f>MAX(Schedule_Data_Mammoet_Orig!G:G)</f>
        <v>46103</v>
      </c>
      <c r="D9" s="3" t="s">
        <v>20</v>
      </c>
      <c r="E9" s="5">
        <v>0.5</v>
      </c>
      <c r="G9" s="3" t="s">
        <v>21</v>
      </c>
      <c r="H9" s="9">
        <v>30</v>
      </c>
    </row>
    <row r="10" spans="1:8">
      <c r="A10" s="3" t="s">
        <v>22</v>
      </c>
      <c r="B10" s="11">
        <f>B9-B4+1</f>
        <v>64</v>
      </c>
      <c r="D10" s="3" t="s">
        <v>23</v>
      </c>
      <c r="E10" s="5">
        <v>1</v>
      </c>
      <c r="G10" s="3" t="s">
        <v>24</v>
      </c>
      <c r="H10" s="4">
        <v>46063</v>
      </c>
    </row>
    <row r="11" spans="1:8">
      <c r="A11" s="3" t="s">
        <v>25</v>
      </c>
      <c r="B11" s="11" t="str">
        <f>IF(B9&lt;=B5,"✅ On Target","❌ Delayed")</f>
        <v>❌ Delayed</v>
      </c>
      <c r="D11" s="3" t="s">
        <v>26</v>
      </c>
      <c r="E11" s="5">
        <v>1</v>
      </c>
      <c r="G11" s="3" t="s">
        <v>27</v>
      </c>
      <c r="H11" s="4">
        <v>46067</v>
      </c>
    </row>
    <row r="12" spans="1:8">
      <c r="A12" s="3" t="s">
        <v>28</v>
      </c>
      <c r="B12" s="11">
        <f>B5-B9</f>
        <v>-22</v>
      </c>
      <c r="D12" s="3" t="s">
        <v>29</v>
      </c>
      <c r="E12" s="5">
        <v>3</v>
      </c>
    </row>
    <row r="13" spans="1:8">
      <c r="D13" s="3" t="s">
        <v>30</v>
      </c>
      <c r="E13" s="5">
        <v>1</v>
      </c>
    </row>
    <row r="14" spans="1:8">
      <c r="D14" s="3" t="s">
        <v>31</v>
      </c>
      <c r="E14" s="5">
        <v>1</v>
      </c>
    </row>
    <row r="15" spans="1:8" ht="19.149999999999999">
      <c r="A15" s="1" t="s">
        <v>32</v>
      </c>
      <c r="D15" s="3" t="s">
        <v>33</v>
      </c>
      <c r="E15" s="5">
        <v>0.5</v>
      </c>
    </row>
    <row r="16" spans="1:8">
      <c r="A16" s="12" t="s">
        <v>34</v>
      </c>
    </row>
    <row r="17" spans="1:1">
      <c r="A17" s="12" t="s">
        <v>35</v>
      </c>
    </row>
    <row r="18" spans="1:1">
      <c r="A18" s="12" t="s">
        <v>36</v>
      </c>
    </row>
    <row r="19" spans="1:1">
      <c r="A19" s="12" t="s">
        <v>37</v>
      </c>
    </row>
    <row r="20" spans="1:1">
      <c r="A20" s="12" t="s">
        <v>38</v>
      </c>
    </row>
    <row r="21" spans="1:1">
      <c r="A21" s="12" t="s">
        <v>39</v>
      </c>
    </row>
    <row r="22" spans="1:1">
      <c r="A22" s="12" t="s">
        <v>40</v>
      </c>
    </row>
    <row r="23" spans="1:1">
      <c r="A23" s="12" t="s">
        <v>41</v>
      </c>
    </row>
    <row r="24" spans="1:1">
      <c r="A24" s="12" t="s">
        <v>42</v>
      </c>
    </row>
    <row r="25" spans="1:1">
      <c r="A25" s="12" t="s">
        <v>43</v>
      </c>
    </row>
    <row r="26" spans="1:1">
      <c r="A26" s="12" t="s">
        <v>44</v>
      </c>
    </row>
    <row r="27" spans="1:1">
      <c r="A27" s="12" t="s">
        <v>45</v>
      </c>
    </row>
    <row r="28" spans="1:1">
      <c r="A28" s="12" t="s">
        <v>46</v>
      </c>
    </row>
  </sheetData>
  <mergeCells count="2">
    <mergeCell ref="A2:H2"/>
    <mergeCell ref="A1:H1"/>
  </mergeCells>
  <phoneticPr fontId="16" type="noConversion"/>
  <dataValidations count="1">
    <dataValidation type="list" allowBlank="1" errorTitle="Invalid Voyage Pattern" error="Invalid voyage pattern selected" sqref="B6" xr:uid="{00000000-0002-0000-0000-000000000000}">
      <formula1>"1x1x1x1x1x1x1,1-2-2-2,2-2-2-1"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9"/>
  <sheetViews>
    <sheetView zoomScale="70" zoomScaleNormal="70"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47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PROJECT_START+-12</f>
        <v>46028</v>
      </c>
      <c r="G6" s="16">
        <f t="shared" ref="G6:G37" si="0">F6+H6</f>
        <v>46028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PROJECT_START+-12</f>
        <v>46028</v>
      </c>
      <c r="G7" s="16">
        <f t="shared" si="0"/>
        <v>46028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65</v>
      </c>
      <c r="D8" s="15" t="s">
        <v>59</v>
      </c>
      <c r="E8" s="14" t="s">
        <v>61</v>
      </c>
      <c r="F8" s="16">
        <f>PROJECT_START+-12</f>
        <v>46028</v>
      </c>
      <c r="G8" s="16">
        <f t="shared" si="0"/>
        <v>46031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PROJECT_START+-12</f>
        <v>46028</v>
      </c>
      <c r="G9" s="16">
        <f t="shared" si="0"/>
        <v>46028</v>
      </c>
      <c r="H9" s="14">
        <f t="shared" ref="H9:H18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PROJECT_START+-12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PROJECT_START+7</f>
        <v>46047</v>
      </c>
      <c r="G11" s="16">
        <f t="shared" si="0"/>
        <v>46047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PROJECT_START+-10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PROJECT_START+-11</f>
        <v>46029</v>
      </c>
      <c r="G13" s="16">
        <f t="shared" si="0"/>
        <v>46029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PROJECT_START+-10</f>
        <v>46030</v>
      </c>
      <c r="G14" s="16">
        <f t="shared" si="0"/>
        <v>46030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PROJECT_START+-10</f>
        <v>46030</v>
      </c>
      <c r="G15" s="16">
        <f t="shared" si="0"/>
        <v>46030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PROJECT_START+-11</f>
        <v>46029</v>
      </c>
      <c r="G16" s="16">
        <f t="shared" si="0"/>
        <v>46029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PROJECT_START+-10</f>
        <v>46030</v>
      </c>
      <c r="G17" s="16">
        <f t="shared" si="0"/>
        <v>46030</v>
      </c>
      <c r="H17" s="14">
        <f t="shared" si="1"/>
        <v>0</v>
      </c>
      <c r="I17" s="14" t="s">
        <v>81</v>
      </c>
    </row>
    <row r="18" spans="1:9">
      <c r="A18" s="14" t="s">
        <v>84</v>
      </c>
      <c r="B18" s="14" t="s">
        <v>60</v>
      </c>
      <c r="C18" s="14" t="s">
        <v>84</v>
      </c>
      <c r="D18" s="17" t="s">
        <v>63</v>
      </c>
      <c r="E18" s="14" t="s">
        <v>61</v>
      </c>
      <c r="F18" s="16">
        <f>PROJECT_START+7</f>
        <v>46047</v>
      </c>
      <c r="G18" s="16">
        <f t="shared" si="0"/>
        <v>46047</v>
      </c>
      <c r="H18" s="14">
        <f t="shared" si="1"/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PROJECT_START+-9</f>
        <v>46031</v>
      </c>
      <c r="G19" s="16">
        <f t="shared" si="0"/>
        <v>46031.3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89</v>
      </c>
      <c r="D20" s="17" t="s">
        <v>63</v>
      </c>
      <c r="E20" s="14" t="s">
        <v>61</v>
      </c>
      <c r="F20" s="16">
        <f>PROJECT_START+-9</f>
        <v>46031</v>
      </c>
      <c r="G20" s="16">
        <f t="shared" si="0"/>
        <v>46031.3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91</v>
      </c>
      <c r="D21" s="19" t="s">
        <v>92</v>
      </c>
      <c r="E21" s="14" t="s">
        <v>61</v>
      </c>
      <c r="F21" s="16">
        <f>PROJECT_START+-9</f>
        <v>46031</v>
      </c>
      <c r="G21" s="16">
        <f t="shared" si="0"/>
        <v>46031.199999999997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95</v>
      </c>
      <c r="D22" s="20" t="s">
        <v>96</v>
      </c>
      <c r="E22" s="14" t="s">
        <v>61</v>
      </c>
      <c r="F22" s="16">
        <f>PROJECT_START+-9</f>
        <v>46031</v>
      </c>
      <c r="G22" s="16">
        <f t="shared" si="0"/>
        <v>46031</v>
      </c>
      <c r="H22" s="14">
        <f>DUR_BUF</f>
        <v>0</v>
      </c>
      <c r="I22" s="14" t="s">
        <v>97</v>
      </c>
    </row>
    <row r="23" spans="1:9">
      <c r="A23" s="14" t="s">
        <v>98</v>
      </c>
      <c r="B23" s="14" t="s">
        <v>60</v>
      </c>
      <c r="C23" s="14" t="s">
        <v>99</v>
      </c>
      <c r="D23" s="17" t="s">
        <v>63</v>
      </c>
      <c r="E23" s="14" t="s">
        <v>61</v>
      </c>
      <c r="F23" s="16">
        <f>PROJECT_START+-9</f>
        <v>46031</v>
      </c>
      <c r="G23" s="16">
        <f t="shared" si="0"/>
        <v>46031</v>
      </c>
      <c r="H23" s="14">
        <f>DUR_BUF</f>
        <v>0</v>
      </c>
      <c r="I23" s="14" t="s">
        <v>100</v>
      </c>
    </row>
    <row r="24" spans="1:9">
      <c r="A24" s="14" t="s">
        <v>101</v>
      </c>
      <c r="B24" s="14" t="s">
        <v>60</v>
      </c>
      <c r="C24" s="14" t="s">
        <v>102</v>
      </c>
      <c r="D24" s="17" t="s">
        <v>63</v>
      </c>
      <c r="E24" s="14" t="s">
        <v>61</v>
      </c>
      <c r="F24" s="16">
        <f>PROJECT_START+-8</f>
        <v>46032</v>
      </c>
      <c r="G24" s="16">
        <f t="shared" si="0"/>
        <v>46032.05</v>
      </c>
      <c r="H24" s="14">
        <v>0.05</v>
      </c>
      <c r="I24" s="14"/>
    </row>
    <row r="25" spans="1:9">
      <c r="A25" s="14" t="s">
        <v>103</v>
      </c>
      <c r="B25" s="14" t="s">
        <v>60</v>
      </c>
      <c r="C25" s="14" t="s">
        <v>104</v>
      </c>
      <c r="D25" s="17" t="s">
        <v>63</v>
      </c>
      <c r="E25" s="14" t="s">
        <v>61</v>
      </c>
      <c r="F25" s="16">
        <f>PROJECT_START+-8</f>
        <v>46032</v>
      </c>
      <c r="G25" s="16">
        <f t="shared" si="0"/>
        <v>46032.3</v>
      </c>
      <c r="H25" s="14">
        <v>0.3</v>
      </c>
      <c r="I25" s="14" t="s">
        <v>87</v>
      </c>
    </row>
    <row r="26" spans="1:9">
      <c r="A26" s="14" t="s">
        <v>105</v>
      </c>
      <c r="B26" s="14" t="s">
        <v>60</v>
      </c>
      <c r="C26" s="14" t="s">
        <v>106</v>
      </c>
      <c r="D26" s="19" t="s">
        <v>92</v>
      </c>
      <c r="E26" s="14" t="s">
        <v>61</v>
      </c>
      <c r="F26" s="16">
        <f>PROJECT_START+-8</f>
        <v>46032</v>
      </c>
      <c r="G26" s="16">
        <f t="shared" si="0"/>
        <v>46032.3</v>
      </c>
      <c r="H26" s="14">
        <v>0.3</v>
      </c>
      <c r="I26" s="14" t="s">
        <v>93</v>
      </c>
    </row>
    <row r="27" spans="1:9">
      <c r="A27" s="14" t="s">
        <v>107</v>
      </c>
      <c r="B27" s="14" t="s">
        <v>60</v>
      </c>
      <c r="C27" s="14" t="s">
        <v>108</v>
      </c>
      <c r="D27" s="20" t="s">
        <v>96</v>
      </c>
      <c r="E27" s="14" t="s">
        <v>61</v>
      </c>
      <c r="F27" s="16">
        <f>PROJECT_START+-8</f>
        <v>46032</v>
      </c>
      <c r="G27" s="16">
        <f t="shared" si="0"/>
        <v>46032</v>
      </c>
      <c r="H27" s="14">
        <f>DUR_BUF</f>
        <v>0</v>
      </c>
      <c r="I27" s="14" t="s">
        <v>97</v>
      </c>
    </row>
    <row r="28" spans="1:9">
      <c r="A28" s="14" t="s">
        <v>109</v>
      </c>
      <c r="B28" s="14" t="s">
        <v>60</v>
      </c>
      <c r="C28" s="14" t="s">
        <v>110</v>
      </c>
      <c r="D28" s="17" t="s">
        <v>63</v>
      </c>
      <c r="E28" s="14" t="s">
        <v>61</v>
      </c>
      <c r="F28" s="16">
        <f>PROJECT_START+-7</f>
        <v>46033</v>
      </c>
      <c r="G28" s="16">
        <f t="shared" si="0"/>
        <v>46033.2</v>
      </c>
      <c r="H28" s="14">
        <v>0.2</v>
      </c>
      <c r="I28" s="14" t="s">
        <v>97</v>
      </c>
    </row>
    <row r="29" spans="1:9">
      <c r="A29" s="14" t="s">
        <v>111</v>
      </c>
      <c r="B29" s="14" t="s">
        <v>60</v>
      </c>
      <c r="C29" s="14" t="s">
        <v>112</v>
      </c>
      <c r="D29" s="21" t="s">
        <v>113</v>
      </c>
      <c r="E29" s="14" t="s">
        <v>61</v>
      </c>
      <c r="F29" s="16">
        <f>PROJECT_START+-6</f>
        <v>46034</v>
      </c>
      <c r="G29" s="16">
        <f t="shared" si="0"/>
        <v>46034</v>
      </c>
      <c r="H29" s="14">
        <f>DUR_SAIL</f>
        <v>0</v>
      </c>
      <c r="I29" s="14" t="s">
        <v>114</v>
      </c>
    </row>
    <row r="30" spans="1:9">
      <c r="A30" s="14" t="s">
        <v>115</v>
      </c>
      <c r="B30" s="14" t="s">
        <v>60</v>
      </c>
      <c r="C30" s="14" t="s">
        <v>116</v>
      </c>
      <c r="D30" s="17" t="s">
        <v>63</v>
      </c>
      <c r="E30" s="14" t="s">
        <v>61</v>
      </c>
      <c r="F30" s="16">
        <f>PROJECT_START+-5</f>
        <v>46035</v>
      </c>
      <c r="G30" s="16">
        <f t="shared" si="0"/>
        <v>46035</v>
      </c>
      <c r="H30" s="14">
        <f>DUR_BUF</f>
        <v>0</v>
      </c>
      <c r="I30" s="14" t="s">
        <v>117</v>
      </c>
    </row>
    <row r="31" spans="1:9">
      <c r="A31" s="14" t="s">
        <v>118</v>
      </c>
      <c r="B31" s="14" t="s">
        <v>60</v>
      </c>
      <c r="C31" s="14" t="s">
        <v>119</v>
      </c>
      <c r="D31" s="22" t="s">
        <v>120</v>
      </c>
      <c r="E31" s="14" t="s">
        <v>61</v>
      </c>
      <c r="F31" s="16">
        <f>PROJECT_START+-5</f>
        <v>46035</v>
      </c>
      <c r="G31" s="16">
        <f t="shared" si="0"/>
        <v>46035</v>
      </c>
      <c r="H31" s="14">
        <f>DUR_BUF</f>
        <v>0</v>
      </c>
      <c r="I31" s="14" t="s">
        <v>87</v>
      </c>
    </row>
    <row r="32" spans="1:9">
      <c r="A32" s="14" t="s">
        <v>121</v>
      </c>
      <c r="B32" s="14" t="s">
        <v>60</v>
      </c>
      <c r="C32" s="14" t="s">
        <v>122</v>
      </c>
      <c r="D32" s="17" t="s">
        <v>63</v>
      </c>
      <c r="E32" s="14" t="s">
        <v>61</v>
      </c>
      <c r="F32" s="16">
        <f>PROJECT_START+-5</f>
        <v>46035</v>
      </c>
      <c r="G32" s="16">
        <f t="shared" si="0"/>
        <v>46035</v>
      </c>
      <c r="H32" s="14">
        <f>DUR_BUF</f>
        <v>0</v>
      </c>
      <c r="I32" s="14" t="s">
        <v>123</v>
      </c>
    </row>
    <row r="33" spans="1:9">
      <c r="A33" s="14" t="s">
        <v>124</v>
      </c>
      <c r="B33" s="14" t="s">
        <v>60</v>
      </c>
      <c r="C33" s="14" t="s">
        <v>125</v>
      </c>
      <c r="D33" s="19" t="s">
        <v>92</v>
      </c>
      <c r="E33" s="14" t="s">
        <v>61</v>
      </c>
      <c r="F33" s="16">
        <f>PROJECT_START+-4</f>
        <v>46036</v>
      </c>
      <c r="G33" s="16">
        <f t="shared" si="0"/>
        <v>46036</v>
      </c>
      <c r="H33" s="14">
        <f>DUR_UL</f>
        <v>0</v>
      </c>
      <c r="I33" s="14" t="s">
        <v>87</v>
      </c>
    </row>
    <row r="34" spans="1:9">
      <c r="A34" s="14" t="s">
        <v>126</v>
      </c>
      <c r="B34" s="14" t="s">
        <v>60</v>
      </c>
      <c r="C34" s="14" t="s">
        <v>127</v>
      </c>
      <c r="D34" s="19" t="s">
        <v>92</v>
      </c>
      <c r="E34" s="14" t="s">
        <v>61</v>
      </c>
      <c r="F34" s="16">
        <f>PROJECT_START+-3</f>
        <v>46037</v>
      </c>
      <c r="G34" s="16">
        <f t="shared" si="0"/>
        <v>46037</v>
      </c>
      <c r="H34" s="14">
        <f>DUR_UL</f>
        <v>0</v>
      </c>
      <c r="I34" s="14" t="s">
        <v>87</v>
      </c>
    </row>
    <row r="35" spans="1:9">
      <c r="A35" s="14" t="s">
        <v>128</v>
      </c>
      <c r="B35" s="14" t="s">
        <v>60</v>
      </c>
      <c r="C35" s="14" t="s">
        <v>129</v>
      </c>
      <c r="D35" s="17" t="s">
        <v>63</v>
      </c>
      <c r="E35" s="14" t="s">
        <v>61</v>
      </c>
      <c r="F35" s="16">
        <f>PROJECT_START+-2</f>
        <v>46038</v>
      </c>
      <c r="G35" s="16">
        <f t="shared" si="0"/>
        <v>46038.3</v>
      </c>
      <c r="H35" s="14">
        <v>0.3</v>
      </c>
      <c r="I35" s="14" t="s">
        <v>130</v>
      </c>
    </row>
    <row r="36" spans="1:9">
      <c r="A36" s="14" t="s">
        <v>131</v>
      </c>
      <c r="B36" s="14" t="s">
        <v>60</v>
      </c>
      <c r="C36" s="14" t="s">
        <v>132</v>
      </c>
      <c r="D36" s="17" t="s">
        <v>63</v>
      </c>
      <c r="E36" s="14" t="s">
        <v>61</v>
      </c>
      <c r="F36" s="16">
        <f>PROJECT_START+-2</f>
        <v>46038</v>
      </c>
      <c r="G36" s="16">
        <f t="shared" si="0"/>
        <v>46038.7</v>
      </c>
      <c r="H36" s="14">
        <v>0.7</v>
      </c>
      <c r="I36" s="14" t="s">
        <v>133</v>
      </c>
    </row>
    <row r="37" spans="1:9">
      <c r="A37" s="14" t="s">
        <v>134</v>
      </c>
      <c r="B37" s="14" t="s">
        <v>60</v>
      </c>
      <c r="C37" s="14" t="s">
        <v>135</v>
      </c>
      <c r="D37" s="23" t="s">
        <v>136</v>
      </c>
      <c r="E37" s="14" t="s">
        <v>61</v>
      </c>
      <c r="F37" s="16">
        <f>PROJECT_START+-1</f>
        <v>46039</v>
      </c>
      <c r="G37" s="16">
        <f t="shared" si="0"/>
        <v>46039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139</v>
      </c>
      <c r="D38" s="25" t="s">
        <v>140</v>
      </c>
      <c r="E38" s="24" t="s">
        <v>61</v>
      </c>
      <c r="F38" s="26">
        <f>PROJECT_START+2</f>
        <v>46042</v>
      </c>
      <c r="G38" s="26">
        <f t="shared" ref="G38:G69" si="2">F38+H38</f>
        <v>46042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7" t="s">
        <v>63</v>
      </c>
      <c r="E39" s="14" t="s">
        <v>61</v>
      </c>
      <c r="F39" s="16">
        <f>PROJECT_START+2</f>
        <v>46042</v>
      </c>
      <c r="G39" s="16">
        <f t="shared" si="2"/>
        <v>46042.3</v>
      </c>
      <c r="H39" s="14">
        <v>0.3</v>
      </c>
      <c r="I39" s="14" t="s">
        <v>130</v>
      </c>
    </row>
    <row r="40" spans="1:9">
      <c r="A40" s="14" t="s">
        <v>144</v>
      </c>
      <c r="B40" s="14" t="s">
        <v>60</v>
      </c>
      <c r="C40" s="14" t="s">
        <v>145</v>
      </c>
      <c r="D40" s="17" t="s">
        <v>63</v>
      </c>
      <c r="E40" s="14" t="s">
        <v>61</v>
      </c>
      <c r="F40" s="16">
        <f>PROJECT_START+2</f>
        <v>46042</v>
      </c>
      <c r="G40" s="16">
        <f t="shared" si="2"/>
        <v>46042.7</v>
      </c>
      <c r="H40" s="14">
        <v>0.7</v>
      </c>
      <c r="I40" s="14" t="s">
        <v>133</v>
      </c>
    </row>
    <row r="41" spans="1:9">
      <c r="A41" s="14" t="s">
        <v>146</v>
      </c>
      <c r="B41" s="14" t="s">
        <v>60</v>
      </c>
      <c r="C41" s="14" t="s">
        <v>147</v>
      </c>
      <c r="D41" s="23" t="s">
        <v>136</v>
      </c>
      <c r="E41" s="14" t="s">
        <v>61</v>
      </c>
      <c r="F41" s="16">
        <f>PROJECT_START+3</f>
        <v>46043</v>
      </c>
      <c r="G41" s="16">
        <f t="shared" si="2"/>
        <v>46043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149</v>
      </c>
      <c r="D42" s="25" t="s">
        <v>140</v>
      </c>
      <c r="E42" s="24" t="s">
        <v>61</v>
      </c>
      <c r="F42" s="26">
        <f>PROJECT_START+6</f>
        <v>46046</v>
      </c>
      <c r="G42" s="26">
        <f t="shared" si="2"/>
        <v>46046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151</v>
      </c>
      <c r="D43" s="17" t="s">
        <v>63</v>
      </c>
      <c r="E43" s="14" t="s">
        <v>61</v>
      </c>
      <c r="F43" s="16">
        <f>PROJECT_START+5</f>
        <v>46045</v>
      </c>
      <c r="G43" s="16">
        <f t="shared" si="2"/>
        <v>46045</v>
      </c>
      <c r="H43" s="14">
        <f>DUR_BUF</f>
        <v>0</v>
      </c>
      <c r="I43" s="14" t="s">
        <v>93</v>
      </c>
    </row>
    <row r="44" spans="1:9">
      <c r="A44" s="14" t="s">
        <v>152</v>
      </c>
      <c r="B44" s="14" t="s">
        <v>60</v>
      </c>
      <c r="C44" s="14" t="s">
        <v>153</v>
      </c>
      <c r="D44" s="15" t="s">
        <v>59</v>
      </c>
      <c r="E44" s="14" t="s">
        <v>61</v>
      </c>
      <c r="F44" s="16">
        <f>PROJECT_START+6</f>
        <v>46046</v>
      </c>
      <c r="G44" s="16">
        <f t="shared" si="2"/>
        <v>46046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5" t="s">
        <v>59</v>
      </c>
      <c r="E45" s="14" t="s">
        <v>61</v>
      </c>
      <c r="F45" s="16">
        <f>PROJECT_START+7</f>
        <v>46047</v>
      </c>
      <c r="G45" s="16">
        <f t="shared" si="2"/>
        <v>46047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157</v>
      </c>
      <c r="D46" s="17" t="s">
        <v>63</v>
      </c>
      <c r="E46" s="14" t="s">
        <v>61</v>
      </c>
      <c r="F46" s="16">
        <f>PROJECT_START+36</f>
        <v>46076</v>
      </c>
      <c r="G46" s="16">
        <f t="shared" si="2"/>
        <v>46076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7" t="s">
        <v>63</v>
      </c>
      <c r="E47" s="14" t="s">
        <v>61</v>
      </c>
      <c r="F47" s="16">
        <f>PROJECT_START+21</f>
        <v>46061</v>
      </c>
      <c r="G47" s="16">
        <f t="shared" si="2"/>
        <v>46061.3</v>
      </c>
      <c r="H47" s="14">
        <v>0.3</v>
      </c>
      <c r="I47" s="14" t="s">
        <v>87</v>
      </c>
    </row>
    <row r="48" spans="1:9">
      <c r="A48" s="14" t="s">
        <v>160</v>
      </c>
      <c r="B48" s="14" t="s">
        <v>60</v>
      </c>
      <c r="C48" s="14" t="s">
        <v>89</v>
      </c>
      <c r="D48" s="17" t="s">
        <v>63</v>
      </c>
      <c r="E48" s="14" t="s">
        <v>61</v>
      </c>
      <c r="F48" s="16">
        <f>PROJECT_START+21</f>
        <v>46061</v>
      </c>
      <c r="G48" s="16">
        <f t="shared" si="2"/>
        <v>46061.3</v>
      </c>
      <c r="H48" s="14">
        <v>0.3</v>
      </c>
      <c r="I48" s="14" t="s">
        <v>87</v>
      </c>
    </row>
    <row r="49" spans="1:9">
      <c r="A49" s="14" t="s">
        <v>161</v>
      </c>
      <c r="B49" s="14" t="s">
        <v>60</v>
      </c>
      <c r="C49" s="14" t="s">
        <v>162</v>
      </c>
      <c r="D49" s="19" t="s">
        <v>92</v>
      </c>
      <c r="E49" s="14" t="s">
        <v>61</v>
      </c>
      <c r="F49" s="16">
        <f>PROJECT_START+21</f>
        <v>46061</v>
      </c>
      <c r="G49" s="16">
        <f t="shared" si="2"/>
        <v>46061.2</v>
      </c>
      <c r="H49" s="14">
        <v>0.2</v>
      </c>
      <c r="I49" s="14" t="s">
        <v>93</v>
      </c>
    </row>
    <row r="50" spans="1:9">
      <c r="A50" s="14" t="s">
        <v>163</v>
      </c>
      <c r="B50" s="14" t="s">
        <v>60</v>
      </c>
      <c r="C50" s="14" t="s">
        <v>164</v>
      </c>
      <c r="D50" s="20" t="s">
        <v>96</v>
      </c>
      <c r="E50" s="14" t="s">
        <v>61</v>
      </c>
      <c r="F50" s="16">
        <f>PROJECT_START+21</f>
        <v>46061</v>
      </c>
      <c r="G50" s="16">
        <f t="shared" si="2"/>
        <v>46061</v>
      </c>
      <c r="H50" s="14">
        <f>DUR_BUF</f>
        <v>0</v>
      </c>
      <c r="I50" s="14" t="s">
        <v>97</v>
      </c>
    </row>
    <row r="51" spans="1:9">
      <c r="A51" s="14" t="s">
        <v>165</v>
      </c>
      <c r="B51" s="14" t="s">
        <v>60</v>
      </c>
      <c r="C51" s="14" t="s">
        <v>166</v>
      </c>
      <c r="D51" s="17" t="s">
        <v>63</v>
      </c>
      <c r="E51" s="14" t="s">
        <v>61</v>
      </c>
      <c r="F51" s="16">
        <f>PROJECT_START+21</f>
        <v>46061</v>
      </c>
      <c r="G51" s="16">
        <f t="shared" si="2"/>
        <v>46061</v>
      </c>
      <c r="H51" s="14">
        <f>DUR_BUF</f>
        <v>0</v>
      </c>
      <c r="I51" s="14" t="s">
        <v>100</v>
      </c>
    </row>
    <row r="52" spans="1:9">
      <c r="A52" s="14" t="s">
        <v>167</v>
      </c>
      <c r="B52" s="14" t="s">
        <v>60</v>
      </c>
      <c r="C52" s="14" t="s">
        <v>168</v>
      </c>
      <c r="D52" s="17" t="s">
        <v>63</v>
      </c>
      <c r="E52" s="14" t="s">
        <v>61</v>
      </c>
      <c r="F52" s="16">
        <f>PROJECT_START+22</f>
        <v>46062</v>
      </c>
      <c r="G52" s="16">
        <f t="shared" si="2"/>
        <v>46062.05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104</v>
      </c>
      <c r="D53" s="17" t="s">
        <v>63</v>
      </c>
      <c r="E53" s="14" t="s">
        <v>61</v>
      </c>
      <c r="F53" s="16">
        <f>PROJECT_START+22</f>
        <v>46062</v>
      </c>
      <c r="G53" s="16">
        <f t="shared" si="2"/>
        <v>46062.3</v>
      </c>
      <c r="H53" s="14">
        <v>0.3</v>
      </c>
      <c r="I53" s="14" t="s">
        <v>87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92</v>
      </c>
      <c r="E54" s="14" t="s">
        <v>61</v>
      </c>
      <c r="F54" s="16">
        <f>PROJECT_START+22</f>
        <v>46062</v>
      </c>
      <c r="G54" s="16">
        <f t="shared" si="2"/>
        <v>46062.3</v>
      </c>
      <c r="H54" s="14">
        <v>0.3</v>
      </c>
      <c r="I54" s="14" t="s">
        <v>93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96</v>
      </c>
      <c r="E55" s="14" t="s">
        <v>61</v>
      </c>
      <c r="F55" s="16">
        <f>PROJECT_START+22</f>
        <v>46062</v>
      </c>
      <c r="G55" s="16">
        <f t="shared" si="2"/>
        <v>46062</v>
      </c>
      <c r="H55" s="14">
        <f>DUR_BUF</f>
        <v>0</v>
      </c>
      <c r="I55" s="14" t="s">
        <v>97</v>
      </c>
    </row>
    <row r="56" spans="1:9">
      <c r="A56" s="14" t="s">
        <v>174</v>
      </c>
      <c r="B56" s="14" t="s">
        <v>60</v>
      </c>
      <c r="C56" s="14" t="s">
        <v>110</v>
      </c>
      <c r="D56" s="17" t="s">
        <v>63</v>
      </c>
      <c r="E56" s="14" t="s">
        <v>61</v>
      </c>
      <c r="F56" s="16">
        <f>PROJECT_START+23</f>
        <v>46063</v>
      </c>
      <c r="G56" s="16">
        <f t="shared" si="2"/>
        <v>46063.199999999997</v>
      </c>
      <c r="H56" s="14">
        <v>0.2</v>
      </c>
      <c r="I56" s="14" t="s">
        <v>97</v>
      </c>
    </row>
    <row r="57" spans="1:9">
      <c r="A57" s="14" t="s">
        <v>175</v>
      </c>
      <c r="B57" s="14" t="s">
        <v>60</v>
      </c>
      <c r="C57" s="14" t="s">
        <v>112</v>
      </c>
      <c r="D57" s="21" t="s">
        <v>113</v>
      </c>
      <c r="E57" s="14" t="s">
        <v>61</v>
      </c>
      <c r="F57" s="16">
        <f>PROJECT_START+24</f>
        <v>46064</v>
      </c>
      <c r="G57" s="16">
        <f t="shared" si="2"/>
        <v>46064</v>
      </c>
      <c r="H57" s="14">
        <f>DUR_SAIL</f>
        <v>0</v>
      </c>
      <c r="I57" s="14" t="s">
        <v>114</v>
      </c>
    </row>
    <row r="58" spans="1:9">
      <c r="A58" s="14" t="s">
        <v>176</v>
      </c>
      <c r="B58" s="14" t="s">
        <v>60</v>
      </c>
      <c r="C58" s="14" t="s">
        <v>116</v>
      </c>
      <c r="D58" s="17" t="s">
        <v>63</v>
      </c>
      <c r="E58" s="14" t="s">
        <v>61</v>
      </c>
      <c r="F58" s="16">
        <f>PROJECT_START+25</f>
        <v>46065</v>
      </c>
      <c r="G58" s="16">
        <f t="shared" si="2"/>
        <v>46065</v>
      </c>
      <c r="H58" s="14">
        <f>DUR_BUF</f>
        <v>0</v>
      </c>
      <c r="I58" s="14" t="s">
        <v>117</v>
      </c>
    </row>
    <row r="59" spans="1:9">
      <c r="A59" s="14" t="s">
        <v>177</v>
      </c>
      <c r="B59" s="14" t="s">
        <v>60</v>
      </c>
      <c r="C59" s="14" t="s">
        <v>119</v>
      </c>
      <c r="D59" s="22" t="s">
        <v>120</v>
      </c>
      <c r="E59" s="14" t="s">
        <v>61</v>
      </c>
      <c r="F59" s="16">
        <f>PROJECT_START+25</f>
        <v>46065</v>
      </c>
      <c r="G59" s="16">
        <f t="shared" si="2"/>
        <v>46065</v>
      </c>
      <c r="H59" s="14">
        <f>DUR_BUF</f>
        <v>0</v>
      </c>
      <c r="I59" s="14" t="s">
        <v>87</v>
      </c>
    </row>
    <row r="60" spans="1:9">
      <c r="A60" s="14" t="s">
        <v>178</v>
      </c>
      <c r="B60" s="14" t="s">
        <v>60</v>
      </c>
      <c r="C60" s="14" t="s">
        <v>122</v>
      </c>
      <c r="D60" s="17" t="s">
        <v>63</v>
      </c>
      <c r="E60" s="14" t="s">
        <v>61</v>
      </c>
      <c r="F60" s="16">
        <f>PROJECT_START+25</f>
        <v>46065</v>
      </c>
      <c r="G60" s="16">
        <f t="shared" si="2"/>
        <v>46065</v>
      </c>
      <c r="H60" s="14">
        <f>DUR_BUF</f>
        <v>0</v>
      </c>
      <c r="I60" s="14" t="s">
        <v>123</v>
      </c>
    </row>
    <row r="61" spans="1:9">
      <c r="A61" s="14" t="s">
        <v>179</v>
      </c>
      <c r="B61" s="14" t="s">
        <v>60</v>
      </c>
      <c r="C61" s="14" t="s">
        <v>180</v>
      </c>
      <c r="D61" s="19" t="s">
        <v>92</v>
      </c>
      <c r="E61" s="14" t="s">
        <v>61</v>
      </c>
      <c r="F61" s="16">
        <f>PROJECT_START+26</f>
        <v>46066</v>
      </c>
      <c r="G61" s="16">
        <f t="shared" si="2"/>
        <v>46066</v>
      </c>
      <c r="H61" s="14">
        <f>DUR_UL</f>
        <v>0</v>
      </c>
      <c r="I61" s="14" t="s">
        <v>87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92</v>
      </c>
      <c r="E62" s="14" t="s">
        <v>61</v>
      </c>
      <c r="F62" s="16">
        <f>PROJECT_START+27</f>
        <v>46067</v>
      </c>
      <c r="G62" s="16">
        <f t="shared" si="2"/>
        <v>46067</v>
      </c>
      <c r="H62" s="14">
        <f>DUR_UL</f>
        <v>0</v>
      </c>
      <c r="I62" s="14" t="s">
        <v>87</v>
      </c>
    </row>
    <row r="63" spans="1:9">
      <c r="A63" s="14" t="s">
        <v>183</v>
      </c>
      <c r="B63" s="14" t="s">
        <v>60</v>
      </c>
      <c r="C63" s="14" t="s">
        <v>129</v>
      </c>
      <c r="D63" s="17" t="s">
        <v>63</v>
      </c>
      <c r="E63" s="14" t="s">
        <v>61</v>
      </c>
      <c r="F63" s="16">
        <f>PROJECT_START+28</f>
        <v>46068</v>
      </c>
      <c r="G63" s="16">
        <f t="shared" si="2"/>
        <v>46068.3</v>
      </c>
      <c r="H63" s="14">
        <v>0.3</v>
      </c>
      <c r="I63" s="14" t="s">
        <v>130</v>
      </c>
    </row>
    <row r="64" spans="1:9">
      <c r="A64" s="14" t="s">
        <v>184</v>
      </c>
      <c r="B64" s="14" t="s">
        <v>60</v>
      </c>
      <c r="C64" s="14" t="s">
        <v>185</v>
      </c>
      <c r="D64" s="17" t="s">
        <v>63</v>
      </c>
      <c r="E64" s="14" t="s">
        <v>61</v>
      </c>
      <c r="F64" s="16">
        <f>PROJECT_START+28</f>
        <v>46068</v>
      </c>
      <c r="G64" s="16">
        <f t="shared" si="2"/>
        <v>46068.7</v>
      </c>
      <c r="H64" s="14">
        <v>0.7</v>
      </c>
      <c r="I64" s="14" t="s">
        <v>133</v>
      </c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61</v>
      </c>
      <c r="F65" s="16">
        <f>PROJECT_START+29</f>
        <v>46069</v>
      </c>
      <c r="G65" s="16">
        <f t="shared" si="2"/>
        <v>46069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61</v>
      </c>
      <c r="F66" s="26">
        <f>PROJECT_START+32</f>
        <v>46072</v>
      </c>
      <c r="G66" s="26">
        <f t="shared" si="2"/>
        <v>46072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7" t="s">
        <v>63</v>
      </c>
      <c r="E67" s="14" t="s">
        <v>61</v>
      </c>
      <c r="F67" s="16">
        <f>PROJECT_START+32</f>
        <v>46072</v>
      </c>
      <c r="G67" s="16">
        <f t="shared" si="2"/>
        <v>46072.3</v>
      </c>
      <c r="H67" s="14">
        <v>0.3</v>
      </c>
      <c r="I67" s="14" t="s">
        <v>130</v>
      </c>
    </row>
    <row r="68" spans="1:9">
      <c r="A68" s="14" t="s">
        <v>191</v>
      </c>
      <c r="B68" s="14" t="s">
        <v>60</v>
      </c>
      <c r="C68" s="14" t="s">
        <v>192</v>
      </c>
      <c r="D68" s="17" t="s">
        <v>63</v>
      </c>
      <c r="E68" s="14" t="s">
        <v>61</v>
      </c>
      <c r="F68" s="16">
        <f>PROJECT_START+32</f>
        <v>46072</v>
      </c>
      <c r="G68" s="16">
        <f t="shared" si="2"/>
        <v>46072.7</v>
      </c>
      <c r="H68" s="14">
        <v>0.7</v>
      </c>
      <c r="I68" s="14" t="s">
        <v>133</v>
      </c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61</v>
      </c>
      <c r="F69" s="16">
        <f>PROJECT_START+33</f>
        <v>46073</v>
      </c>
      <c r="G69" s="16">
        <f t="shared" si="2"/>
        <v>46073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61</v>
      </c>
      <c r="F70" s="26">
        <f>PROJECT_START+36</f>
        <v>46076</v>
      </c>
      <c r="G70" s="26">
        <f t="shared" ref="G70:G101" si="3">F70+H70</f>
        <v>46076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151</v>
      </c>
      <c r="D71" s="17" t="s">
        <v>63</v>
      </c>
      <c r="E71" s="14" t="s">
        <v>61</v>
      </c>
      <c r="F71" s="16">
        <f>PROJECT_START+35</f>
        <v>46075</v>
      </c>
      <c r="G71" s="16">
        <f t="shared" si="3"/>
        <v>46075</v>
      </c>
      <c r="H71" s="14">
        <f>DUR_BUF</f>
        <v>0</v>
      </c>
      <c r="I71" s="14" t="s">
        <v>93</v>
      </c>
    </row>
    <row r="72" spans="1:9">
      <c r="A72" s="14" t="s">
        <v>198</v>
      </c>
      <c r="B72" s="14" t="s">
        <v>60</v>
      </c>
      <c r="C72" s="14" t="s">
        <v>153</v>
      </c>
      <c r="D72" s="15" t="s">
        <v>59</v>
      </c>
      <c r="E72" s="14" t="s">
        <v>61</v>
      </c>
      <c r="F72" s="16">
        <f>PROJECT_START+36</f>
        <v>46076</v>
      </c>
      <c r="G72" s="16">
        <f t="shared" si="3"/>
        <v>46076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5" t="s">
        <v>59</v>
      </c>
      <c r="E73" s="14" t="s">
        <v>61</v>
      </c>
      <c r="F73" s="16">
        <f>PROJECT_START+36</f>
        <v>46076</v>
      </c>
      <c r="G73" s="16">
        <f t="shared" si="3"/>
        <v>46076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200</v>
      </c>
      <c r="D74" s="17" t="s">
        <v>63</v>
      </c>
      <c r="E74" s="14" t="s">
        <v>61</v>
      </c>
      <c r="F74" s="16">
        <f>PROJECT_START+53</f>
        <v>46093</v>
      </c>
      <c r="G74" s="16">
        <f t="shared" si="3"/>
        <v>46093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7" t="s">
        <v>63</v>
      </c>
      <c r="E75" s="14" t="s">
        <v>61</v>
      </c>
      <c r="F75" s="16">
        <f>PROJECT_START+38</f>
        <v>46078</v>
      </c>
      <c r="G75" s="16">
        <f t="shared" si="3"/>
        <v>46078.3</v>
      </c>
      <c r="H75" s="14">
        <v>0.3</v>
      </c>
      <c r="I75" s="14" t="s">
        <v>87</v>
      </c>
    </row>
    <row r="76" spans="1:9">
      <c r="A76" s="14" t="s">
        <v>203</v>
      </c>
      <c r="B76" s="14" t="s">
        <v>60</v>
      </c>
      <c r="C76" s="14" t="s">
        <v>89</v>
      </c>
      <c r="D76" s="17" t="s">
        <v>63</v>
      </c>
      <c r="E76" s="14" t="s">
        <v>61</v>
      </c>
      <c r="F76" s="16">
        <f>PROJECT_START+38</f>
        <v>46078</v>
      </c>
      <c r="G76" s="16">
        <f t="shared" si="3"/>
        <v>46078.3</v>
      </c>
      <c r="H76" s="14">
        <v>0.3</v>
      </c>
      <c r="I76" s="14" t="s">
        <v>87</v>
      </c>
    </row>
    <row r="77" spans="1:9">
      <c r="A77" s="14" t="s">
        <v>204</v>
      </c>
      <c r="B77" s="14" t="s">
        <v>60</v>
      </c>
      <c r="C77" s="14" t="s">
        <v>205</v>
      </c>
      <c r="D77" s="19" t="s">
        <v>92</v>
      </c>
      <c r="E77" s="14" t="s">
        <v>61</v>
      </c>
      <c r="F77" s="16">
        <f>PROJECT_START+38</f>
        <v>46078</v>
      </c>
      <c r="G77" s="16">
        <f t="shared" si="3"/>
        <v>46078.2</v>
      </c>
      <c r="H77" s="14">
        <v>0.2</v>
      </c>
      <c r="I77" s="14" t="s">
        <v>93</v>
      </c>
    </row>
    <row r="78" spans="1:9">
      <c r="A78" s="14" t="s">
        <v>206</v>
      </c>
      <c r="B78" s="14" t="s">
        <v>60</v>
      </c>
      <c r="C78" s="14" t="s">
        <v>207</v>
      </c>
      <c r="D78" s="20" t="s">
        <v>96</v>
      </c>
      <c r="E78" s="14" t="s">
        <v>61</v>
      </c>
      <c r="F78" s="16">
        <f>PROJECT_START+38</f>
        <v>46078</v>
      </c>
      <c r="G78" s="16">
        <f t="shared" si="3"/>
        <v>46078</v>
      </c>
      <c r="H78" s="14">
        <f>DUR_BUF</f>
        <v>0</v>
      </c>
      <c r="I78" s="14" t="s">
        <v>97</v>
      </c>
    </row>
    <row r="79" spans="1:9">
      <c r="A79" s="14" t="s">
        <v>208</v>
      </c>
      <c r="B79" s="14" t="s">
        <v>60</v>
      </c>
      <c r="C79" s="14" t="s">
        <v>209</v>
      </c>
      <c r="D79" s="17" t="s">
        <v>63</v>
      </c>
      <c r="E79" s="14" t="s">
        <v>61</v>
      </c>
      <c r="F79" s="16">
        <f>PROJECT_START+38</f>
        <v>46078</v>
      </c>
      <c r="G79" s="16">
        <f t="shared" si="3"/>
        <v>46078</v>
      </c>
      <c r="H79" s="14">
        <f>DUR_BUF</f>
        <v>0</v>
      </c>
      <c r="I79" s="14" t="s">
        <v>100</v>
      </c>
    </row>
    <row r="80" spans="1:9">
      <c r="A80" s="14" t="s">
        <v>210</v>
      </c>
      <c r="B80" s="14" t="s">
        <v>60</v>
      </c>
      <c r="C80" s="14" t="s">
        <v>211</v>
      </c>
      <c r="D80" s="17" t="s">
        <v>63</v>
      </c>
      <c r="E80" s="14" t="s">
        <v>61</v>
      </c>
      <c r="F80" s="16">
        <f>PROJECT_START+39</f>
        <v>46079</v>
      </c>
      <c r="G80" s="16">
        <f t="shared" si="3"/>
        <v>46079.05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104</v>
      </c>
      <c r="D81" s="17" t="s">
        <v>63</v>
      </c>
      <c r="E81" s="14" t="s">
        <v>61</v>
      </c>
      <c r="F81" s="16">
        <f>PROJECT_START+39</f>
        <v>46079</v>
      </c>
      <c r="G81" s="16">
        <f t="shared" si="3"/>
        <v>46079.3</v>
      </c>
      <c r="H81" s="14">
        <v>0.3</v>
      </c>
      <c r="I81" s="14" t="s">
        <v>87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92</v>
      </c>
      <c r="E82" s="14" t="s">
        <v>61</v>
      </c>
      <c r="F82" s="16">
        <f>PROJECT_START+39</f>
        <v>46079</v>
      </c>
      <c r="G82" s="16">
        <f t="shared" si="3"/>
        <v>46079.3</v>
      </c>
      <c r="H82" s="14">
        <v>0.3</v>
      </c>
      <c r="I82" s="14" t="s">
        <v>93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96</v>
      </c>
      <c r="E83" s="14" t="s">
        <v>61</v>
      </c>
      <c r="F83" s="16">
        <f>PROJECT_START+39</f>
        <v>46079</v>
      </c>
      <c r="G83" s="16">
        <f t="shared" si="3"/>
        <v>46079</v>
      </c>
      <c r="H83" s="14">
        <f>DUR_BUF</f>
        <v>0</v>
      </c>
      <c r="I83" s="14" t="s">
        <v>97</v>
      </c>
    </row>
    <row r="84" spans="1:9">
      <c r="A84" s="14" t="s">
        <v>217</v>
      </c>
      <c r="B84" s="14" t="s">
        <v>60</v>
      </c>
      <c r="C84" s="14" t="s">
        <v>110</v>
      </c>
      <c r="D84" s="17" t="s">
        <v>63</v>
      </c>
      <c r="E84" s="14" t="s">
        <v>61</v>
      </c>
      <c r="F84" s="16">
        <f>PROJECT_START+40</f>
        <v>46080</v>
      </c>
      <c r="G84" s="16">
        <f t="shared" si="3"/>
        <v>46080.2</v>
      </c>
      <c r="H84" s="14">
        <v>0.2</v>
      </c>
      <c r="I84" s="14" t="s">
        <v>97</v>
      </c>
    </row>
    <row r="85" spans="1:9">
      <c r="A85" s="14" t="s">
        <v>218</v>
      </c>
      <c r="B85" s="14" t="s">
        <v>60</v>
      </c>
      <c r="C85" s="14" t="s">
        <v>112</v>
      </c>
      <c r="D85" s="21" t="s">
        <v>113</v>
      </c>
      <c r="E85" s="14" t="s">
        <v>61</v>
      </c>
      <c r="F85" s="16">
        <f>PROJECT_START+41</f>
        <v>46081</v>
      </c>
      <c r="G85" s="16">
        <f t="shared" si="3"/>
        <v>46081</v>
      </c>
      <c r="H85" s="14">
        <f>DUR_SAIL</f>
        <v>0</v>
      </c>
      <c r="I85" s="14" t="s">
        <v>114</v>
      </c>
    </row>
    <row r="86" spans="1:9">
      <c r="A86" s="14" t="s">
        <v>219</v>
      </c>
      <c r="B86" s="14" t="s">
        <v>60</v>
      </c>
      <c r="C86" s="14" t="s">
        <v>116</v>
      </c>
      <c r="D86" s="17" t="s">
        <v>63</v>
      </c>
      <c r="E86" s="14" t="s">
        <v>61</v>
      </c>
      <c r="F86" s="16">
        <f>PROJECT_START+42</f>
        <v>46082</v>
      </c>
      <c r="G86" s="16">
        <f t="shared" si="3"/>
        <v>46082</v>
      </c>
      <c r="H86" s="14">
        <f>DUR_BUF</f>
        <v>0</v>
      </c>
      <c r="I86" s="14" t="s">
        <v>117</v>
      </c>
    </row>
    <row r="87" spans="1:9">
      <c r="A87" s="14" t="s">
        <v>220</v>
      </c>
      <c r="B87" s="14" t="s">
        <v>60</v>
      </c>
      <c r="C87" s="14" t="s">
        <v>119</v>
      </c>
      <c r="D87" s="22" t="s">
        <v>120</v>
      </c>
      <c r="E87" s="14" t="s">
        <v>61</v>
      </c>
      <c r="F87" s="16">
        <f>PROJECT_START+42</f>
        <v>46082</v>
      </c>
      <c r="G87" s="16">
        <f t="shared" si="3"/>
        <v>46082</v>
      </c>
      <c r="H87" s="14">
        <f>DUR_BUF</f>
        <v>0</v>
      </c>
      <c r="I87" s="14" t="s">
        <v>87</v>
      </c>
    </row>
    <row r="88" spans="1:9">
      <c r="A88" s="14" t="s">
        <v>221</v>
      </c>
      <c r="B88" s="14" t="s">
        <v>60</v>
      </c>
      <c r="C88" s="14" t="s">
        <v>122</v>
      </c>
      <c r="D88" s="17" t="s">
        <v>63</v>
      </c>
      <c r="E88" s="14" t="s">
        <v>61</v>
      </c>
      <c r="F88" s="16">
        <f>PROJECT_START+42</f>
        <v>46082</v>
      </c>
      <c r="G88" s="16">
        <f t="shared" si="3"/>
        <v>46082</v>
      </c>
      <c r="H88" s="14">
        <f>DUR_BUF</f>
        <v>0</v>
      </c>
      <c r="I88" s="14" t="s">
        <v>123</v>
      </c>
    </row>
    <row r="89" spans="1:9">
      <c r="A89" s="14" t="s">
        <v>222</v>
      </c>
      <c r="B89" s="14" t="s">
        <v>60</v>
      </c>
      <c r="C89" s="14" t="s">
        <v>223</v>
      </c>
      <c r="D89" s="19" t="s">
        <v>92</v>
      </c>
      <c r="E89" s="14" t="s">
        <v>61</v>
      </c>
      <c r="F89" s="16">
        <f>PROJECT_START+43</f>
        <v>46083</v>
      </c>
      <c r="G89" s="16">
        <f t="shared" si="3"/>
        <v>46083</v>
      </c>
      <c r="H89" s="14">
        <f>DUR_UL</f>
        <v>0</v>
      </c>
      <c r="I89" s="14" t="s">
        <v>87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92</v>
      </c>
      <c r="E90" s="14" t="s">
        <v>61</v>
      </c>
      <c r="F90" s="16">
        <f>PROJECT_START+44</f>
        <v>46084</v>
      </c>
      <c r="G90" s="16">
        <f t="shared" si="3"/>
        <v>46084</v>
      </c>
      <c r="H90" s="14">
        <f>DUR_UL</f>
        <v>0</v>
      </c>
      <c r="I90" s="14" t="s">
        <v>87</v>
      </c>
    </row>
    <row r="91" spans="1:9">
      <c r="A91" s="14" t="s">
        <v>226</v>
      </c>
      <c r="B91" s="14" t="s">
        <v>60</v>
      </c>
      <c r="C91" s="14" t="s">
        <v>129</v>
      </c>
      <c r="D91" s="17" t="s">
        <v>63</v>
      </c>
      <c r="E91" s="14" t="s">
        <v>61</v>
      </c>
      <c r="F91" s="16">
        <f>PROJECT_START+45</f>
        <v>46085</v>
      </c>
      <c r="G91" s="16">
        <f t="shared" si="3"/>
        <v>46085.3</v>
      </c>
      <c r="H91" s="14">
        <v>0.3</v>
      </c>
      <c r="I91" s="14" t="s">
        <v>130</v>
      </c>
    </row>
    <row r="92" spans="1:9">
      <c r="A92" s="14" t="s">
        <v>227</v>
      </c>
      <c r="B92" s="14" t="s">
        <v>60</v>
      </c>
      <c r="C92" s="14" t="s">
        <v>228</v>
      </c>
      <c r="D92" s="17" t="s">
        <v>63</v>
      </c>
      <c r="E92" s="14" t="s">
        <v>61</v>
      </c>
      <c r="F92" s="16">
        <f>PROJECT_START+45</f>
        <v>46085</v>
      </c>
      <c r="G92" s="16">
        <f t="shared" si="3"/>
        <v>46085.7</v>
      </c>
      <c r="H92" s="14">
        <v>0.7</v>
      </c>
      <c r="I92" s="14" t="s">
        <v>133</v>
      </c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61</v>
      </c>
      <c r="F93" s="16">
        <f>PROJECT_START+46</f>
        <v>46086</v>
      </c>
      <c r="G93" s="16">
        <f t="shared" si="3"/>
        <v>46086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61</v>
      </c>
      <c r="F94" s="26">
        <f>PROJECT_START+49</f>
        <v>46089</v>
      </c>
      <c r="G94" s="26">
        <f t="shared" si="3"/>
        <v>46089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7" t="s">
        <v>63</v>
      </c>
      <c r="E95" s="14" t="s">
        <v>61</v>
      </c>
      <c r="F95" s="16">
        <f>PROJECT_START+49</f>
        <v>46089</v>
      </c>
      <c r="G95" s="16">
        <f t="shared" si="3"/>
        <v>46089.3</v>
      </c>
      <c r="H95" s="14">
        <v>0.3</v>
      </c>
      <c r="I95" s="14" t="s">
        <v>130</v>
      </c>
    </row>
    <row r="96" spans="1:9">
      <c r="A96" s="14" t="s">
        <v>234</v>
      </c>
      <c r="B96" s="14" t="s">
        <v>60</v>
      </c>
      <c r="C96" s="14" t="s">
        <v>235</v>
      </c>
      <c r="D96" s="17" t="s">
        <v>63</v>
      </c>
      <c r="E96" s="14" t="s">
        <v>61</v>
      </c>
      <c r="F96" s="16">
        <f>PROJECT_START+49</f>
        <v>46089</v>
      </c>
      <c r="G96" s="16">
        <f t="shared" si="3"/>
        <v>46089.7</v>
      </c>
      <c r="H96" s="14">
        <v>0.7</v>
      </c>
      <c r="I96" s="14" t="s">
        <v>133</v>
      </c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61</v>
      </c>
      <c r="F97" s="16">
        <f>PROJECT_START+50</f>
        <v>46090</v>
      </c>
      <c r="G97" s="16">
        <f t="shared" si="3"/>
        <v>46090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61</v>
      </c>
      <c r="F98" s="26">
        <f>PROJECT_START+53</f>
        <v>46093</v>
      </c>
      <c r="G98" s="26">
        <f t="shared" si="3"/>
        <v>46093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151</v>
      </c>
      <c r="D99" s="17" t="s">
        <v>63</v>
      </c>
      <c r="E99" s="14" t="s">
        <v>61</v>
      </c>
      <c r="F99" s="16">
        <f>PROJECT_START+52</f>
        <v>46092</v>
      </c>
      <c r="G99" s="16">
        <f t="shared" si="3"/>
        <v>46092</v>
      </c>
      <c r="H99" s="14">
        <f>DUR_BUF</f>
        <v>0</v>
      </c>
      <c r="I99" s="14" t="s">
        <v>93</v>
      </c>
    </row>
    <row r="100" spans="1:9">
      <c r="A100" s="14" t="s">
        <v>241</v>
      </c>
      <c r="B100" s="14" t="s">
        <v>60</v>
      </c>
      <c r="C100" s="14" t="s">
        <v>153</v>
      </c>
      <c r="D100" s="15" t="s">
        <v>59</v>
      </c>
      <c r="E100" s="14" t="s">
        <v>61</v>
      </c>
      <c r="F100" s="16">
        <f>PROJECT_START+53</f>
        <v>46093</v>
      </c>
      <c r="G100" s="16">
        <f t="shared" si="3"/>
        <v>46093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5" t="s">
        <v>59</v>
      </c>
      <c r="E101" s="14" t="s">
        <v>61</v>
      </c>
      <c r="F101" s="16">
        <f>PROJECT_START+53</f>
        <v>46093</v>
      </c>
      <c r="G101" s="16">
        <f t="shared" si="3"/>
        <v>46093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243</v>
      </c>
      <c r="D102" s="17" t="s">
        <v>63</v>
      </c>
      <c r="E102" s="14" t="s">
        <v>61</v>
      </c>
      <c r="F102" s="16">
        <f>PROJECT_START+63</f>
        <v>46103</v>
      </c>
      <c r="G102" s="16">
        <f t="shared" ref="G102:G133" si="4">F102+H102</f>
        <v>46103</v>
      </c>
      <c r="H102" s="14">
        <f>DUR_BUF</f>
        <v>0</v>
      </c>
      <c r="I102" s="14"/>
    </row>
    <row r="103" spans="1:9">
      <c r="A103" s="14" t="s">
        <v>244</v>
      </c>
      <c r="B103" s="14" t="s">
        <v>60</v>
      </c>
      <c r="C103" s="14" t="s">
        <v>245</v>
      </c>
      <c r="D103" s="17" t="s">
        <v>63</v>
      </c>
      <c r="E103" s="14" t="s">
        <v>61</v>
      </c>
      <c r="F103" s="16">
        <f>PROJECT_START+54</f>
        <v>46094</v>
      </c>
      <c r="G103" s="16">
        <f t="shared" si="4"/>
        <v>46094.3</v>
      </c>
      <c r="H103" s="14">
        <v>0.3</v>
      </c>
      <c r="I103" s="14" t="s">
        <v>87</v>
      </c>
    </row>
    <row r="104" spans="1:9">
      <c r="A104" s="14" t="s">
        <v>246</v>
      </c>
      <c r="B104" s="14" t="s">
        <v>60</v>
      </c>
      <c r="C104" s="14" t="s">
        <v>89</v>
      </c>
      <c r="D104" s="17" t="s">
        <v>63</v>
      </c>
      <c r="E104" s="14" t="s">
        <v>61</v>
      </c>
      <c r="F104" s="16">
        <f>PROJECT_START+54</f>
        <v>46094</v>
      </c>
      <c r="G104" s="16">
        <f t="shared" si="4"/>
        <v>46094.3</v>
      </c>
      <c r="H104" s="14">
        <v>0.3</v>
      </c>
      <c r="I104" s="14" t="s">
        <v>87</v>
      </c>
    </row>
    <row r="105" spans="1:9">
      <c r="A105" s="14" t="s">
        <v>247</v>
      </c>
      <c r="B105" s="14" t="s">
        <v>60</v>
      </c>
      <c r="C105" s="14" t="s">
        <v>248</v>
      </c>
      <c r="D105" s="19" t="s">
        <v>92</v>
      </c>
      <c r="E105" s="14" t="s">
        <v>61</v>
      </c>
      <c r="F105" s="16">
        <f>PROJECT_START+54</f>
        <v>46094</v>
      </c>
      <c r="G105" s="16">
        <f t="shared" si="4"/>
        <v>46094.2</v>
      </c>
      <c r="H105" s="14">
        <v>0.2</v>
      </c>
      <c r="I105" s="14" t="s">
        <v>93</v>
      </c>
    </row>
    <row r="106" spans="1:9">
      <c r="A106" s="14" t="s">
        <v>249</v>
      </c>
      <c r="B106" s="14" t="s">
        <v>60</v>
      </c>
      <c r="C106" s="14" t="s">
        <v>250</v>
      </c>
      <c r="D106" s="20" t="s">
        <v>96</v>
      </c>
      <c r="E106" s="14" t="s">
        <v>61</v>
      </c>
      <c r="F106" s="16">
        <f>PROJECT_START+54</f>
        <v>46094</v>
      </c>
      <c r="G106" s="16">
        <f t="shared" si="4"/>
        <v>46094</v>
      </c>
      <c r="H106" s="14">
        <f>DUR_BUF</f>
        <v>0</v>
      </c>
      <c r="I106" s="14" t="s">
        <v>97</v>
      </c>
    </row>
    <row r="107" spans="1:9">
      <c r="A107" s="14" t="s">
        <v>251</v>
      </c>
      <c r="B107" s="14" t="s">
        <v>60</v>
      </c>
      <c r="C107" s="14" t="s">
        <v>110</v>
      </c>
      <c r="D107" s="17" t="s">
        <v>63</v>
      </c>
      <c r="E107" s="14" t="s">
        <v>61</v>
      </c>
      <c r="F107" s="16">
        <f>PROJECT_START+55</f>
        <v>46095</v>
      </c>
      <c r="G107" s="16">
        <f t="shared" si="4"/>
        <v>46095.199999999997</v>
      </c>
      <c r="H107" s="14">
        <v>0.2</v>
      </c>
      <c r="I107" s="14" t="s">
        <v>97</v>
      </c>
    </row>
    <row r="108" spans="1:9">
      <c r="A108" s="14" t="s">
        <v>252</v>
      </c>
      <c r="B108" s="14" t="s">
        <v>60</v>
      </c>
      <c r="C108" s="14" t="s">
        <v>112</v>
      </c>
      <c r="D108" s="21" t="s">
        <v>113</v>
      </c>
      <c r="E108" s="14" t="s">
        <v>61</v>
      </c>
      <c r="F108" s="16">
        <f>PROJECT_START+56</f>
        <v>46096</v>
      </c>
      <c r="G108" s="16">
        <f t="shared" si="4"/>
        <v>46096</v>
      </c>
      <c r="H108" s="14">
        <f>DUR_SAIL</f>
        <v>0</v>
      </c>
      <c r="I108" s="14" t="s">
        <v>114</v>
      </c>
    </row>
    <row r="109" spans="1:9">
      <c r="A109" s="14" t="s">
        <v>253</v>
      </c>
      <c r="B109" s="14" t="s">
        <v>60</v>
      </c>
      <c r="C109" s="14" t="s">
        <v>116</v>
      </c>
      <c r="D109" s="17" t="s">
        <v>63</v>
      </c>
      <c r="E109" s="14" t="s">
        <v>61</v>
      </c>
      <c r="F109" s="16">
        <f>PROJECT_START+57</f>
        <v>46097</v>
      </c>
      <c r="G109" s="16">
        <f t="shared" si="4"/>
        <v>46097</v>
      </c>
      <c r="H109" s="14">
        <f>DUR_BUF</f>
        <v>0</v>
      </c>
      <c r="I109" s="14" t="s">
        <v>117</v>
      </c>
    </row>
    <row r="110" spans="1:9">
      <c r="A110" s="14" t="s">
        <v>254</v>
      </c>
      <c r="B110" s="14" t="s">
        <v>60</v>
      </c>
      <c r="C110" s="14" t="s">
        <v>119</v>
      </c>
      <c r="D110" s="22" t="s">
        <v>120</v>
      </c>
      <c r="E110" s="14" t="s">
        <v>61</v>
      </c>
      <c r="F110" s="16">
        <f>PROJECT_START+57</f>
        <v>46097</v>
      </c>
      <c r="G110" s="16">
        <f t="shared" si="4"/>
        <v>46097</v>
      </c>
      <c r="H110" s="14">
        <f>DUR_BUF</f>
        <v>0</v>
      </c>
      <c r="I110" s="14" t="s">
        <v>87</v>
      </c>
    </row>
    <row r="111" spans="1:9">
      <c r="A111" s="14" t="s">
        <v>255</v>
      </c>
      <c r="B111" s="14" t="s">
        <v>60</v>
      </c>
      <c r="C111" s="14" t="s">
        <v>122</v>
      </c>
      <c r="D111" s="17" t="s">
        <v>63</v>
      </c>
      <c r="E111" s="14" t="s">
        <v>61</v>
      </c>
      <c r="F111" s="16">
        <f>PROJECT_START+57</f>
        <v>46097</v>
      </c>
      <c r="G111" s="16">
        <f t="shared" si="4"/>
        <v>46097</v>
      </c>
      <c r="H111" s="14">
        <f>DUR_BUF</f>
        <v>0</v>
      </c>
      <c r="I111" s="14" t="s">
        <v>123</v>
      </c>
    </row>
    <row r="112" spans="1:9">
      <c r="A112" s="14" t="s">
        <v>256</v>
      </c>
      <c r="B112" s="14" t="s">
        <v>60</v>
      </c>
      <c r="C112" s="14" t="s">
        <v>257</v>
      </c>
      <c r="D112" s="19" t="s">
        <v>92</v>
      </c>
      <c r="E112" s="14" t="s">
        <v>61</v>
      </c>
      <c r="F112" s="16">
        <f>PROJECT_START+58</f>
        <v>46098</v>
      </c>
      <c r="G112" s="16">
        <f t="shared" si="4"/>
        <v>46098</v>
      </c>
      <c r="H112" s="14">
        <f>DUR_UL</f>
        <v>0</v>
      </c>
      <c r="I112" s="14" t="s">
        <v>87</v>
      </c>
    </row>
    <row r="113" spans="1:9">
      <c r="A113" s="14" t="s">
        <v>258</v>
      </c>
      <c r="B113" s="14" t="s">
        <v>60</v>
      </c>
      <c r="C113" s="14" t="s">
        <v>129</v>
      </c>
      <c r="D113" s="17" t="s">
        <v>63</v>
      </c>
      <c r="E113" s="14" t="s">
        <v>61</v>
      </c>
      <c r="F113" s="16">
        <f>PROJECT_START+59</f>
        <v>46099</v>
      </c>
      <c r="G113" s="16">
        <f t="shared" si="4"/>
        <v>46099.3</v>
      </c>
      <c r="H113" s="14">
        <v>0.3</v>
      </c>
      <c r="I113" s="14" t="s">
        <v>130</v>
      </c>
    </row>
    <row r="114" spans="1:9">
      <c r="A114" s="14" t="s">
        <v>259</v>
      </c>
      <c r="B114" s="14" t="s">
        <v>60</v>
      </c>
      <c r="C114" s="14" t="s">
        <v>260</v>
      </c>
      <c r="D114" s="17" t="s">
        <v>63</v>
      </c>
      <c r="E114" s="14" t="s">
        <v>61</v>
      </c>
      <c r="F114" s="16">
        <f>PROJECT_START+59</f>
        <v>46099</v>
      </c>
      <c r="G114" s="16">
        <f t="shared" si="4"/>
        <v>46099.7</v>
      </c>
      <c r="H114" s="14">
        <v>0.7</v>
      </c>
      <c r="I114" s="14" t="s">
        <v>133</v>
      </c>
    </row>
    <row r="115" spans="1:9">
      <c r="A115" s="14" t="s">
        <v>261</v>
      </c>
      <c r="B115" s="14" t="s">
        <v>60</v>
      </c>
      <c r="C115" s="14" t="s">
        <v>262</v>
      </c>
      <c r="D115" s="23" t="s">
        <v>136</v>
      </c>
      <c r="E115" s="14" t="s">
        <v>61</v>
      </c>
      <c r="F115" s="16">
        <f>PROJECT_START+60</f>
        <v>46100</v>
      </c>
      <c r="G115" s="16">
        <f t="shared" si="4"/>
        <v>46100</v>
      </c>
      <c r="H115" s="14">
        <f>DUR_TURN</f>
        <v>0</v>
      </c>
      <c r="I115" s="14" t="s">
        <v>137</v>
      </c>
    </row>
    <row r="116" spans="1:9">
      <c r="A116" s="24" t="s">
        <v>263</v>
      </c>
      <c r="B116" s="24" t="s">
        <v>60</v>
      </c>
      <c r="C116" s="24" t="s">
        <v>264</v>
      </c>
      <c r="D116" s="25" t="s">
        <v>140</v>
      </c>
      <c r="E116" s="24" t="s">
        <v>61</v>
      </c>
      <c r="F116" s="26">
        <f>PROJECT_START+63</f>
        <v>46103</v>
      </c>
      <c r="G116" s="26">
        <f t="shared" si="4"/>
        <v>46103</v>
      </c>
      <c r="H116" s="24">
        <f>DUR_JD</f>
        <v>0</v>
      </c>
      <c r="I116" s="24" t="s">
        <v>141</v>
      </c>
    </row>
    <row r="117" spans="1:9">
      <c r="A117" s="14" t="s">
        <v>265</v>
      </c>
      <c r="B117" s="14" t="s">
        <v>60</v>
      </c>
      <c r="C117" s="14" t="s">
        <v>151</v>
      </c>
      <c r="D117" s="17" t="s">
        <v>63</v>
      </c>
      <c r="E117" s="14" t="s">
        <v>61</v>
      </c>
      <c r="F117" s="16">
        <f>PROJECT_START+62</f>
        <v>46102</v>
      </c>
      <c r="G117" s="16">
        <f t="shared" si="4"/>
        <v>46102</v>
      </c>
      <c r="H117" s="14">
        <f>DUR_BUF</f>
        <v>0</v>
      </c>
      <c r="I117" s="14" t="s">
        <v>93</v>
      </c>
    </row>
    <row r="118" spans="1:9">
      <c r="A118" s="14" t="s">
        <v>266</v>
      </c>
      <c r="B118" s="14" t="s">
        <v>60</v>
      </c>
      <c r="C118" s="14" t="s">
        <v>153</v>
      </c>
      <c r="D118" s="15" t="s">
        <v>59</v>
      </c>
      <c r="E118" s="14" t="s">
        <v>61</v>
      </c>
      <c r="F118" s="16">
        <f>PROJECT_START+63</f>
        <v>46103</v>
      </c>
      <c r="G118" s="16">
        <f t="shared" si="4"/>
        <v>46103</v>
      </c>
      <c r="H118" s="14">
        <v>0</v>
      </c>
      <c r="I118" s="14" t="s">
        <v>154</v>
      </c>
    </row>
    <row r="119" spans="1:9">
      <c r="A119" s="14" t="s">
        <v>267</v>
      </c>
      <c r="B119" s="14" t="s">
        <v>60</v>
      </c>
      <c r="C119" s="14" t="s">
        <v>156</v>
      </c>
      <c r="D119" s="15" t="s">
        <v>59</v>
      </c>
      <c r="E119" s="14" t="s">
        <v>61</v>
      </c>
      <c r="F119" s="16">
        <f>PROJECT_START+63</f>
        <v>46103</v>
      </c>
      <c r="G119" s="16">
        <f t="shared" si="4"/>
        <v>46103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W118"/>
  <sheetViews>
    <sheetView zoomScale="70" zoomScaleNormal="70" workbookViewId="0">
      <pane xSplit="7" ySplit="4" topLeftCell="BX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268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269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Schedule_Data_Mammoet_Orig!A6</f>
        <v>MOBILIZATION</v>
      </c>
      <c r="B5" s="14" t="str">
        <f>Schedule_Data_Mammoet_Orig!B6</f>
        <v>A0</v>
      </c>
      <c r="C5" s="14" t="str">
        <f>Schedule_Data_Mammoet_Orig!C6</f>
        <v>MOBILIZATION</v>
      </c>
      <c r="D5" s="15" t="str">
        <f>Schedule_Data_Mammoet_Orig!D6</f>
        <v>MOBILIZATION</v>
      </c>
      <c r="E5" s="30">
        <f>Schedule_Data_Mammoet_Orig!F6</f>
        <v>46028</v>
      </c>
      <c r="F5" s="30">
        <f>Schedule_Data_Mammoet_Orig!G6</f>
        <v>46028</v>
      </c>
      <c r="G5" s="14">
        <f>Schedule_Data_Mammoet_Orig!H6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Schedule_Data_Mammoet_Orig!A7</f>
        <v>SPMT</v>
      </c>
      <c r="B6" s="14" t="str">
        <f>Schedule_Data_Mammoet_Orig!B7</f>
        <v>A0</v>
      </c>
      <c r="C6" s="14" t="str">
        <f>Schedule_Data_Mammoet_Orig!C7</f>
        <v>SPMT</v>
      </c>
      <c r="D6" s="17" t="str">
        <f>Schedule_Data_Mammoet_Orig!D7</f>
        <v>BUFFER</v>
      </c>
      <c r="E6" s="30">
        <f>Schedule_Data_Mammoet_Orig!F7</f>
        <v>46028</v>
      </c>
      <c r="F6" s="30">
        <f>Schedule_Data_Mammoet_Orig!G7</f>
        <v>46028</v>
      </c>
      <c r="G6" s="14">
        <f>Schedule_Data_Mammoet_Orig!H7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Schedule_Data_Mammoet_Orig!A8</f>
        <v>A1000</v>
      </c>
      <c r="B7" s="14" t="str">
        <f>Schedule_Data_Mammoet_Orig!B8</f>
        <v>A0</v>
      </c>
      <c r="C7" s="14" t="str">
        <f>Schedule_Data_Mammoet_Orig!C8</f>
        <v>Mobilization of SPMTs; Asembly + Function Test</v>
      </c>
      <c r="D7" s="15" t="str">
        <f>Schedule_Data_Mammoet_Orig!D8</f>
        <v>MOBILIZATION</v>
      </c>
      <c r="E7" s="30">
        <f>Schedule_Data_Mammoet_Orig!F8</f>
        <v>46028</v>
      </c>
      <c r="F7" s="30">
        <f>Schedule_Data_Mammoet_Orig!G8</f>
        <v>46031</v>
      </c>
      <c r="G7" s="14">
        <f>Schedule_Data_Mammoet_Orig!H8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Schedule_Data_Mammoet_Orig!A9</f>
        <v>MARINE</v>
      </c>
      <c r="B8" s="14" t="str">
        <f>Schedule_Data_Mammoet_Orig!B9</f>
        <v>A0</v>
      </c>
      <c r="C8" s="14" t="str">
        <f>Schedule_Data_Mammoet_Orig!C9</f>
        <v>MARINE</v>
      </c>
      <c r="D8" s="17" t="str">
        <f>Schedule_Data_Mammoet_Orig!D9</f>
        <v>BUFFER</v>
      </c>
      <c r="E8" s="30">
        <f>Schedule_Data_Mammoet_Orig!F9</f>
        <v>46028</v>
      </c>
      <c r="F8" s="30">
        <f>Schedule_Data_Mammoet_Orig!G9</f>
        <v>46028</v>
      </c>
      <c r="G8" s="14">
        <f>Schedule_Data_Mammoet_Orig!H9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Schedule_Data_Mammoet_Orig!A10</f>
        <v>A1001</v>
      </c>
      <c r="B9" s="14" t="str">
        <f>Schedule_Data_Mammoet_Orig!B10</f>
        <v>A0</v>
      </c>
      <c r="C9" s="14" t="str">
        <f>Schedule_Data_Mammoet_Orig!C10</f>
        <v>Mobilization of Marine Equipment and Steelworks</v>
      </c>
      <c r="D9" s="15" t="str">
        <f>Schedule_Data_Mammoet_Orig!D10</f>
        <v>MOBILIZATION</v>
      </c>
      <c r="E9" s="30">
        <f>Schedule_Data_Mammoet_Orig!F10</f>
        <v>46028</v>
      </c>
      <c r="F9" s="30">
        <f>Schedule_Data_Mammoet_Orig!G10</f>
        <v>46028</v>
      </c>
      <c r="G9" s="14">
        <f>Schedule_Data_Mammoet_Orig!H10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Schedule_Data_Mammoet_Orig!A11</f>
        <v>OPERATIONAL</v>
      </c>
      <c r="B10" s="14" t="str">
        <f>Schedule_Data_Mammoet_Orig!B11</f>
        <v>A0</v>
      </c>
      <c r="C10" s="14" t="str">
        <f>Schedule_Data_Mammoet_Orig!C11</f>
        <v>OPERATIONAL</v>
      </c>
      <c r="D10" s="17" t="str">
        <f>Schedule_Data_Mammoet_Orig!D11</f>
        <v>BUFFER</v>
      </c>
      <c r="E10" s="30">
        <f>Schedule_Data_Mammoet_Orig!F11</f>
        <v>46047</v>
      </c>
      <c r="F10" s="30">
        <f>Schedule_Data_Mammoet_Orig!G11</f>
        <v>46047</v>
      </c>
      <c r="G10" s="14">
        <f>Schedule_Data_Mammoet_Orig!H11</f>
        <v>0</v>
      </c>
      <c r="H10" s="14"/>
      <c r="I10" s="14"/>
      <c r="J10" s="14"/>
      <c r="K10" s="14"/>
      <c r="L10" s="14"/>
      <c r="M10" s="14"/>
      <c r="N10" s="14"/>
      <c r="O10" s="17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Schedule_Data_Mammoet_Orig!A12</f>
        <v>Beam Replacement</v>
      </c>
      <c r="B11" s="14" t="str">
        <f>Schedule_Data_Mammoet_Orig!B12</f>
        <v>A0</v>
      </c>
      <c r="C11" s="14" t="str">
        <f>Schedule_Data_Mammoet_Orig!C12</f>
        <v>Beam Replacement</v>
      </c>
      <c r="D11" s="17" t="str">
        <f>Schedule_Data_Mammoet_Orig!D12</f>
        <v>BUFFER</v>
      </c>
      <c r="E11" s="30">
        <f>Schedule_Data_Mammoet_Orig!F12</f>
        <v>46030</v>
      </c>
      <c r="F11" s="30">
        <f>Schedule_Data_Mammoet_Orig!G12</f>
        <v>46030</v>
      </c>
      <c r="G11" s="14">
        <f>Schedule_Data_Mammoet_Orig!H12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Schedule_Data_Mammoet_Orig!A13</f>
        <v>A1002</v>
      </c>
      <c r="B12" s="14" t="str">
        <f>Schedule_Data_Mammoet_Orig!B13</f>
        <v>A0</v>
      </c>
      <c r="C12" s="14" t="str">
        <f>Schedule_Data_Mammoet_Orig!C13</f>
        <v>Beam Replacement AGI TR Unit 1 (TR Bay 4) - Two 5t forklifts required</v>
      </c>
      <c r="D12" s="17" t="str">
        <f>Schedule_Data_Mammoet_Orig!D13</f>
        <v>BUFFER</v>
      </c>
      <c r="E12" s="30">
        <f>Schedule_Data_Mammoet_Orig!F13</f>
        <v>46029</v>
      </c>
      <c r="F12" s="30">
        <f>Schedule_Data_Mammoet_Orig!G13</f>
        <v>46029</v>
      </c>
      <c r="G12" s="14">
        <f>Schedule_Data_Mammoet_Orig!H13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Schedule_Data_Mammoet_Orig!A14</f>
        <v>A1003</v>
      </c>
      <c r="B13" s="14" t="str">
        <f>Schedule_Data_Mammoet_Orig!B14</f>
        <v>A0</v>
      </c>
      <c r="C13" s="14" t="str">
        <f>Schedule_Data_Mammoet_Orig!C14</f>
        <v>Beam Replacement AGI TR Unit 2 (TR Bay 3) - Two 5t forklifts required</v>
      </c>
      <c r="D13" s="17" t="str">
        <f>Schedule_Data_Mammoet_Orig!D14</f>
        <v>BUFFER</v>
      </c>
      <c r="E13" s="30">
        <f>Schedule_Data_Mammoet_Orig!F14</f>
        <v>46030</v>
      </c>
      <c r="F13" s="30">
        <f>Schedule_Data_Mammoet_Orig!G14</f>
        <v>46030</v>
      </c>
      <c r="G13" s="14">
        <f>Schedule_Data_Mammoet_Orig!H14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Schedule_Data_Mammoet_Orig!A15</f>
        <v>Deck Preparations</v>
      </c>
      <c r="B14" s="14" t="str">
        <f>Schedule_Data_Mammoet_Orig!B15</f>
        <v>A0</v>
      </c>
      <c r="C14" s="14" t="str">
        <f>Schedule_Data_Mammoet_Orig!C15</f>
        <v>Deck Preparations</v>
      </c>
      <c r="D14" s="18" t="str">
        <f>Schedule_Data_Mammoet_Orig!D15</f>
        <v>DECK_PREP</v>
      </c>
      <c r="E14" s="30">
        <f>Schedule_Data_Mammoet_Orig!F15</f>
        <v>46030</v>
      </c>
      <c r="F14" s="30">
        <f>Schedule_Data_Mammoet_Orig!G15</f>
        <v>46030</v>
      </c>
      <c r="G14" s="14">
        <f>Schedule_Data_Mammoet_Orig!H15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Schedule_Data_Mammoet_Orig!A16</f>
        <v>A1004</v>
      </c>
      <c r="B15" s="14" t="str">
        <f>Schedule_Data_Mammoet_Orig!B16</f>
        <v>A0</v>
      </c>
      <c r="C15" s="14" t="str">
        <f>Schedule_Data_Mammoet_Orig!C16</f>
        <v>Deck Preparations (D-ring cutting; marking, steel sets installation) - One 5t forklift and Crane required</v>
      </c>
      <c r="D15" s="18" t="str">
        <f>Schedule_Data_Mammoet_Orig!D16</f>
        <v>DECK_PREP</v>
      </c>
      <c r="E15" s="30">
        <f>Schedule_Data_Mammoet_Orig!F16</f>
        <v>46029</v>
      </c>
      <c r="F15" s="30">
        <f>Schedule_Data_Mammoet_Orig!G16</f>
        <v>46029</v>
      </c>
      <c r="G15" s="14">
        <f>Schedule_Data_Mammoet_Orig!H16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Schedule_Data_Mammoet_Orig!A17</f>
        <v>A1005</v>
      </c>
      <c r="B16" s="14" t="str">
        <f>Schedule_Data_Mammoet_Orig!B17</f>
        <v>A0</v>
      </c>
      <c r="C16" s="14" t="str">
        <f>Schedule_Data_Mammoet_Orig!C17</f>
        <v>Deck Preparations (Steel sets installation, welding) - Crane Required for steel sets installation</v>
      </c>
      <c r="D16" s="18" t="str">
        <f>Schedule_Data_Mammoet_Orig!D17</f>
        <v>DECK_PREP</v>
      </c>
      <c r="E16" s="30">
        <f>Schedule_Data_Mammoet_Orig!F17</f>
        <v>46030</v>
      </c>
      <c r="F16" s="30">
        <f>Schedule_Data_Mammoet_Orig!G17</f>
        <v>46030</v>
      </c>
      <c r="G16" s="14">
        <f>Schedule_Data_Mammoet_Orig!H17</f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Schedule_Data_Mammoet_Orig!A18</f>
        <v>AGI TR Units 1-2</v>
      </c>
      <c r="B17" s="14" t="str">
        <f>Schedule_Data_Mammoet_Orig!B18</f>
        <v>A0</v>
      </c>
      <c r="C17" s="14" t="str">
        <f>Schedule_Data_Mammoet_Orig!C18</f>
        <v>AGI TR Units 1-2</v>
      </c>
      <c r="D17" s="17" t="str">
        <f>Schedule_Data_Mammoet_Orig!D18</f>
        <v>BUFFER</v>
      </c>
      <c r="E17" s="30">
        <f>Schedule_Data_Mammoet_Orig!F18</f>
        <v>46047</v>
      </c>
      <c r="F17" s="30">
        <f>Schedule_Data_Mammoet_Orig!G18</f>
        <v>46047</v>
      </c>
      <c r="G17" s="14">
        <f>Schedule_Data_Mammoet_Orig!H18</f>
        <v>0</v>
      </c>
      <c r="H17" s="14"/>
      <c r="I17" s="14"/>
      <c r="J17" s="14"/>
      <c r="K17" s="14"/>
      <c r="L17" s="14"/>
      <c r="M17" s="14"/>
      <c r="N17" s="14"/>
      <c r="O17" s="17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Schedule_Data_Mammoet_Orig!A19</f>
        <v>A1030</v>
      </c>
      <c r="B18" s="14" t="str">
        <f>Schedule_Data_Mammoet_Orig!B19</f>
        <v>A0</v>
      </c>
      <c r="C18" s="14" t="str">
        <f>Schedule_Data_Mammoet_Orig!C19</f>
        <v>Loading of AGI TR Unit 1 on SPMT; lashing; Shifting to Mina Zayed Port RoRo Jetty area</v>
      </c>
      <c r="D18" s="17" t="str">
        <f>Schedule_Data_Mammoet_Orig!D19</f>
        <v>BUFFER</v>
      </c>
      <c r="E18" s="30">
        <f>Schedule_Data_Mammoet_Orig!F19</f>
        <v>46031</v>
      </c>
      <c r="F18" s="30">
        <f>Schedule_Data_Mammoet_Orig!G19</f>
        <v>46031.3</v>
      </c>
      <c r="G18" s="14">
        <f>Schedule_Data_Mammoet_Orig!H19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Schedule_Data_Mammoet_Orig!A20</f>
        <v>A1040</v>
      </c>
      <c r="B19" s="14" t="str">
        <f>Schedule_Data_Mammoet_Orig!B20</f>
        <v>A0</v>
      </c>
      <c r="C19" s="14" t="str">
        <f>Schedule_Data_Mammoet_Orig!C20</f>
        <v>RoRo Ramp Installation - 5t Frokift and Crane required</v>
      </c>
      <c r="D19" s="17" t="str">
        <f>Schedule_Data_Mammoet_Orig!D20</f>
        <v>BUFFER</v>
      </c>
      <c r="E19" s="30">
        <f>Schedule_Data_Mammoet_Orig!F20</f>
        <v>46031</v>
      </c>
      <c r="F19" s="30">
        <f>Schedule_Data_Mammoet_Orig!G20</f>
        <v>46031.3</v>
      </c>
      <c r="G19" s="14">
        <f>Schedule_Data_Mammoet_Orig!H20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Schedule_Data_Mammoet_Orig!A21</f>
        <v>A1060</v>
      </c>
      <c r="B20" s="14" t="str">
        <f>Schedule_Data_Mammoet_Orig!B21</f>
        <v>A0</v>
      </c>
      <c r="C20" s="14" t="str">
        <f>Schedule_Data_Mammoet_Orig!C21</f>
        <v>Load-out of AGL TR Unit 1; stool down</v>
      </c>
      <c r="D20" s="19" t="str">
        <f>Schedule_Data_Mammoet_Orig!D21</f>
        <v>LOADOUT</v>
      </c>
      <c r="E20" s="30">
        <f>Schedule_Data_Mammoet_Orig!F21</f>
        <v>46031</v>
      </c>
      <c r="F20" s="30">
        <f>Schedule_Data_Mammoet_Orig!G21</f>
        <v>46031.199999999997</v>
      </c>
      <c r="G20" s="14">
        <f>Schedule_Data_Mammoet_Orig!H21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Schedule_Data_Mammoet_Orig!A22</f>
        <v>A1070</v>
      </c>
      <c r="B21" s="14" t="str">
        <f>Schedule_Data_Mammoet_Orig!B22</f>
        <v>A0</v>
      </c>
      <c r="C21" s="14" t="str">
        <f>Schedule_Data_Mammoet_Orig!C22</f>
        <v>RoRo ramp removal; Seafastening AGL TR Unit 1 - Crane required</v>
      </c>
      <c r="D21" s="20" t="str">
        <f>Schedule_Data_Mammoet_Orig!D22</f>
        <v>SEAFAST</v>
      </c>
      <c r="E21" s="30">
        <f>Schedule_Data_Mammoet_Orig!F22</f>
        <v>46031</v>
      </c>
      <c r="F21" s="30">
        <f>Schedule_Data_Mammoet_Orig!G22</f>
        <v>46031</v>
      </c>
      <c r="G21" s="14">
        <f>Schedule_Data_Mammoet_Orig!H22</f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Schedule_Data_Mammoet_Orig!A23</f>
        <v>A1071</v>
      </c>
      <c r="B22" s="14" t="str">
        <f>Schedule_Data_Mammoet_Orig!B23</f>
        <v>A0</v>
      </c>
      <c r="C22" s="14" t="str">
        <f>Schedule_Data_Mammoet_Orig!C23</f>
        <v>Loading of AGI TR Unit 2 on SPMT</v>
      </c>
      <c r="D22" s="17" t="str">
        <f>Schedule_Data_Mammoet_Orig!D23</f>
        <v>BUFFER</v>
      </c>
      <c r="E22" s="30">
        <f>Schedule_Data_Mammoet_Orig!F23</f>
        <v>46031</v>
      </c>
      <c r="F22" s="30">
        <f>Schedule_Data_Mammoet_Orig!G23</f>
        <v>46031</v>
      </c>
      <c r="G22" s="14">
        <f>Schedule_Data_Mammoet_Orig!H23</f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Schedule_Data_Mammoet_Orig!A24</f>
        <v>A1072</v>
      </c>
      <c r="B23" s="14" t="str">
        <f>Schedule_Data_Mammoet_Orig!B24</f>
        <v>A0</v>
      </c>
      <c r="C23" s="14" t="str">
        <f>Schedule_Data_Mammoet_Orig!C24</f>
        <v>Shifting of AGL TR Unit 2 to Jetty area</v>
      </c>
      <c r="D23" s="17" t="str">
        <f>Schedule_Data_Mammoet_Orig!D24</f>
        <v>BUFFER</v>
      </c>
      <c r="E23" s="30">
        <f>Schedule_Data_Mammoet_Orig!F24</f>
        <v>46032</v>
      </c>
      <c r="F23" s="30">
        <f>Schedule_Data_Mammoet_Orig!G24</f>
        <v>46032.05</v>
      </c>
      <c r="G23" s="14">
        <f>Schedule_Data_Mammoet_Orig!H24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Schedule_Data_Mammoet_Orig!A25</f>
        <v>A1073</v>
      </c>
      <c r="B24" s="14" t="str">
        <f>Schedule_Data_Mammoet_Orig!B25</f>
        <v>A0</v>
      </c>
      <c r="C24" s="14" t="str">
        <f>Schedule_Data_Mammoet_Orig!C25</f>
        <v>RoRo Ramp Installation - Crane required</v>
      </c>
      <c r="D24" s="17" t="str">
        <f>Schedule_Data_Mammoet_Orig!D25</f>
        <v>BUFFER</v>
      </c>
      <c r="E24" s="30">
        <f>Schedule_Data_Mammoet_Orig!F25</f>
        <v>46032</v>
      </c>
      <c r="F24" s="30">
        <f>Schedule_Data_Mammoet_Orig!G25</f>
        <v>46032.3</v>
      </c>
      <c r="G24" s="14">
        <f>Schedule_Data_Mammoet_Orig!H25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Schedule_Data_Mammoet_Orig!A26</f>
        <v>A1074</v>
      </c>
      <c r="B25" s="14" t="str">
        <f>Schedule_Data_Mammoet_Orig!B26</f>
        <v>A0</v>
      </c>
      <c r="C25" s="14" t="str">
        <f>Schedule_Data_Mammoet_Orig!C26</f>
        <v>Load-out of AGI TR Unit 2; stoold down; securing of SPMT</v>
      </c>
      <c r="D25" s="19" t="str">
        <f>Schedule_Data_Mammoet_Orig!D26</f>
        <v>LOADOUT</v>
      </c>
      <c r="E25" s="30">
        <f>Schedule_Data_Mammoet_Orig!F26</f>
        <v>46032</v>
      </c>
      <c r="F25" s="30">
        <f>Schedule_Data_Mammoet_Orig!G26</f>
        <v>46032.3</v>
      </c>
      <c r="G25" s="14">
        <f>Schedule_Data_Mammoet_Orig!H26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Schedule_Data_Mammoet_Orig!A27</f>
        <v>A1075</v>
      </c>
      <c r="B26" s="14" t="str">
        <f>Schedule_Data_Mammoet_Orig!B27</f>
        <v>A0</v>
      </c>
      <c r="C26" s="14" t="str">
        <f>Schedule_Data_Mammoet_Orig!C27</f>
        <v>Removal of RoRo Ramp; Sea fastening AGI TR Unit 2 - Crane required</v>
      </c>
      <c r="D26" s="20" t="str">
        <f>Schedule_Data_Mammoet_Orig!D27</f>
        <v>SEAFAST</v>
      </c>
      <c r="E26" s="30">
        <f>Schedule_Data_Mammoet_Orig!F27</f>
        <v>46032</v>
      </c>
      <c r="F26" s="30">
        <f>Schedule_Data_Mammoet_Orig!G27</f>
        <v>46032</v>
      </c>
      <c r="G26" s="14">
        <f>Schedule_Data_Mammoet_Orig!H27</f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Schedule_Data_Mammoet_Orig!A28</f>
        <v>A1080</v>
      </c>
      <c r="B27" s="14" t="str">
        <f>Schedule_Data_Mammoet_Orig!B28</f>
        <v>A0</v>
      </c>
      <c r="C27" s="14" t="str">
        <f>Schedule_Data_Mammoet_Orig!C28</f>
        <v>MWS + MPI + Final Preparations</v>
      </c>
      <c r="D27" s="17" t="str">
        <f>Schedule_Data_Mammoet_Orig!D28</f>
        <v>BUFFER</v>
      </c>
      <c r="E27" s="30">
        <f>Schedule_Data_Mammoet_Orig!F28</f>
        <v>46033</v>
      </c>
      <c r="F27" s="30">
        <f>Schedule_Data_Mammoet_Orig!G28</f>
        <v>46033.2</v>
      </c>
      <c r="G27" s="14">
        <f>Schedule_Data_Mammoet_Orig!H28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Schedule_Data_Mammoet_Orig!A29</f>
        <v>A1081</v>
      </c>
      <c r="B28" s="14" t="str">
        <f>Schedule_Data_Mammoet_Orig!B29</f>
        <v>A0</v>
      </c>
      <c r="C28" s="14" t="str">
        <f>Schedule_Data_Mammoet_Orig!C29</f>
        <v>Sail-away - Marine Transportation by LCT to Al Ghallan Island</v>
      </c>
      <c r="D28" s="21" t="str">
        <f>Schedule_Data_Mammoet_Orig!D29</f>
        <v>SAIL</v>
      </c>
      <c r="E28" s="30">
        <f>Schedule_Data_Mammoet_Orig!F29</f>
        <v>46034</v>
      </c>
      <c r="F28" s="30">
        <f>Schedule_Data_Mammoet_Orig!G29</f>
        <v>46034</v>
      </c>
      <c r="G28" s="14">
        <f>Schedule_Data_Mammoet_Orig!H29</f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Schedule_Data_Mammoet_Orig!A30</f>
        <v>A1090</v>
      </c>
      <c r="B29" s="14" t="str">
        <f>Schedule_Data_Mammoet_Orig!B30</f>
        <v>A0</v>
      </c>
      <c r="C29" s="14" t="str">
        <f>Schedule_Data_Mammoet_Orig!C30</f>
        <v>MMT Crew Mob to AGI</v>
      </c>
      <c r="D29" s="17" t="str">
        <f>Schedule_Data_Mammoet_Orig!D30</f>
        <v>BUFFER</v>
      </c>
      <c r="E29" s="30">
        <f>Schedule_Data_Mammoet_Orig!F30</f>
        <v>46035</v>
      </c>
      <c r="F29" s="30">
        <f>Schedule_Data_Mammoet_Orig!G30</f>
        <v>46035</v>
      </c>
      <c r="G29" s="14">
        <f>Schedule_Data_Mammoet_Orig!H30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Schedule_Data_Mammoet_Orig!A31</f>
        <v>A1091</v>
      </c>
      <c r="B30" s="14" t="str">
        <f>Schedule_Data_Mammoet_Orig!B31</f>
        <v>A0</v>
      </c>
      <c r="C30" s="14" t="str">
        <f>Schedule_Data_Mammoet_Orig!C31</f>
        <v>LCT Arrival; Berthing at AGL RoRo Jetty</v>
      </c>
      <c r="D30" s="22" t="str">
        <f>Schedule_Data_Mammoet_Orig!D31</f>
        <v>AGI_UNLOAD</v>
      </c>
      <c r="E30" s="30">
        <f>Schedule_Data_Mammoet_Orig!F31</f>
        <v>46035</v>
      </c>
      <c r="F30" s="30">
        <f>Schedule_Data_Mammoet_Orig!G31</f>
        <v>46035</v>
      </c>
      <c r="G30" s="14">
        <f>Schedule_Data_Mammoet_Orig!H31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Schedule_Data_Mammoet_Orig!A32</f>
        <v>A1100</v>
      </c>
      <c r="B31" s="14" t="str">
        <f>Schedule_Data_Mammoet_Orig!B32</f>
        <v>A0</v>
      </c>
      <c r="C31" s="14" t="str">
        <f>Schedule_Data_Mammoet_Orig!C32</f>
        <v>Unlashing and cutting</v>
      </c>
      <c r="D31" s="17" t="str">
        <f>Schedule_Data_Mammoet_Orig!D32</f>
        <v>BUFFER</v>
      </c>
      <c r="E31" s="30">
        <f>Schedule_Data_Mammoet_Orig!F32</f>
        <v>46035</v>
      </c>
      <c r="F31" s="30">
        <f>Schedule_Data_Mammoet_Orig!G32</f>
        <v>46035</v>
      </c>
      <c r="G31" s="14">
        <f>Schedule_Data_Mammoet_Orig!H32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Schedule_Data_Mammoet_Orig!A33</f>
        <v>A1110</v>
      </c>
      <c r="B32" s="14" t="str">
        <f>Schedule_Data_Mammoet_Orig!B33</f>
        <v>A0</v>
      </c>
      <c r="C32" s="14" t="str">
        <f>Schedule_Data_Mammoet_Orig!C33</f>
        <v>Load-in of AGI TR Unit 2 (including RoRo Ramp Installation); store on Jetty - Crane required</v>
      </c>
      <c r="D32" s="19" t="str">
        <f>Schedule_Data_Mammoet_Orig!D33</f>
        <v>LOADOUT</v>
      </c>
      <c r="E32" s="30">
        <f>Schedule_Data_Mammoet_Orig!F33</f>
        <v>46036</v>
      </c>
      <c r="F32" s="30">
        <f>Schedule_Data_Mammoet_Orig!G33</f>
        <v>46036</v>
      </c>
      <c r="G32" s="14">
        <f>Schedule_Data_Mammoet_Orig!H33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Schedule_Data_Mammoet_Orig!A34</f>
        <v>A1120</v>
      </c>
      <c r="B33" s="14" t="str">
        <f>Schedule_Data_Mammoet_Orig!B34</f>
        <v>A0</v>
      </c>
      <c r="C33" s="14" t="str">
        <f>Schedule_Data_Mammoet_Orig!C34</f>
        <v>Load-in of AGI TR Unit 1 (including RoRo Ramp Installation); store on Jetty - Crane required</v>
      </c>
      <c r="D33" s="19" t="str">
        <f>Schedule_Data_Mammoet_Orig!D34</f>
        <v>LOADOUT</v>
      </c>
      <c r="E33" s="30">
        <f>Schedule_Data_Mammoet_Orig!F34</f>
        <v>46037</v>
      </c>
      <c r="F33" s="30">
        <f>Schedule_Data_Mammoet_Orig!G34</f>
        <v>46037</v>
      </c>
      <c r="G33" s="14">
        <f>Schedule_Data_Mammoet_Orig!H34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Schedule_Data_Mammoet_Orig!A35</f>
        <v>A1121</v>
      </c>
      <c r="B34" s="14" t="str">
        <f>Schedule_Data_Mammoet_Orig!B35</f>
        <v>A0</v>
      </c>
      <c r="C34" s="14" t="str">
        <f>Schedule_Data_Mammoet_Orig!C35</f>
        <v>Steel bridge Installation 1</v>
      </c>
      <c r="D34" s="17" t="str">
        <f>Schedule_Data_Mammoet_Orig!D35</f>
        <v>BUFFER</v>
      </c>
      <c r="E34" s="30">
        <f>Schedule_Data_Mammoet_Orig!F35</f>
        <v>46038</v>
      </c>
      <c r="F34" s="30">
        <f>Schedule_Data_Mammoet_Orig!G35</f>
        <v>46038.3</v>
      </c>
      <c r="G34" s="14">
        <f>Schedule_Data_Mammoet_Orig!H35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Schedule_Data_Mammoet_Orig!A36</f>
        <v>A1140</v>
      </c>
      <c r="B35" s="14" t="str">
        <f>Schedule_Data_Mammoet_Orig!B36</f>
        <v>A0</v>
      </c>
      <c r="C35" s="14" t="str">
        <f>Schedule_Data_Mammoet_Orig!C36</f>
        <v>AGL TR Unit 1 (TR Bay 4) load on SPMT</v>
      </c>
      <c r="D35" s="17" t="str">
        <f>Schedule_Data_Mammoet_Orig!D36</f>
        <v>BUFFER</v>
      </c>
      <c r="E35" s="30">
        <f>Schedule_Data_Mammoet_Orig!F36</f>
        <v>46038</v>
      </c>
      <c r="F35" s="30">
        <f>Schedule_Data_Mammoet_Orig!G36</f>
        <v>46038.7</v>
      </c>
      <c r="G35" s="14">
        <f>Schedule_Data_Mammoet_Orig!H36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Schedule_Data_Mammoet_Orig!A37</f>
        <v>A1141</v>
      </c>
      <c r="B36" s="14" t="str">
        <f>Schedule_Data_Mammoet_Orig!B37</f>
        <v>A0</v>
      </c>
      <c r="C36" s="14" t="str">
        <f>Schedule_Data_Mammoet_Orig!C37</f>
        <v>Turning of AGI TR Unit 1 (TR Bay 4) - 10t Forklift required</v>
      </c>
      <c r="D36" s="23" t="str">
        <f>Schedule_Data_Mammoet_Orig!D37</f>
        <v>TURNING</v>
      </c>
      <c r="E36" s="30">
        <f>Schedule_Data_Mammoet_Orig!F37</f>
        <v>46039</v>
      </c>
      <c r="F36" s="30">
        <f>Schedule_Data_Mammoet_Orig!G37</f>
        <v>46039</v>
      </c>
      <c r="G36" s="14">
        <f>Schedule_Data_Mammoet_Orig!H37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Schedule_Data_Mammoet_Orig!A38</f>
        <v>A1150</v>
      </c>
      <c r="B37" s="14" t="str">
        <f>Schedule_Data_Mammoet_Orig!B38</f>
        <v>A0</v>
      </c>
      <c r="C37" s="14" t="str">
        <f>Schedule_Data_Mammoet_Orig!C38</f>
        <v>Jacking down of AGI TR Unit 1 (TR Bay 4) on temporary support - Forklift required</v>
      </c>
      <c r="D37" s="31" t="str">
        <f>Schedule_Data_Mammoet_Orig!D38</f>
        <v>JACKDOWN</v>
      </c>
      <c r="E37" s="30">
        <f>Schedule_Data_Mammoet_Orig!F38</f>
        <v>46042</v>
      </c>
      <c r="F37" s="30">
        <f>Schedule_Data_Mammoet_Orig!G38</f>
        <v>46042</v>
      </c>
      <c r="G37" s="14">
        <f>Schedule_Data_Mammoet_Orig!H38</f>
        <v>0</v>
      </c>
      <c r="H37" s="14"/>
      <c r="I37" s="14"/>
      <c r="J37" s="3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Schedule_Data_Mammoet_Orig!A39</f>
        <v>A1160</v>
      </c>
      <c r="B38" s="14" t="str">
        <f>Schedule_Data_Mammoet_Orig!B39</f>
        <v>A0</v>
      </c>
      <c r="C38" s="14" t="str">
        <f>Schedule_Data_Mammoet_Orig!C39</f>
        <v>Steel bridge Installation 2</v>
      </c>
      <c r="D38" s="17" t="str">
        <f>Schedule_Data_Mammoet_Orig!D39</f>
        <v>BUFFER</v>
      </c>
      <c r="E38" s="30">
        <f>Schedule_Data_Mammoet_Orig!F39</f>
        <v>46042</v>
      </c>
      <c r="F38" s="30">
        <f>Schedule_Data_Mammoet_Orig!G39</f>
        <v>46042.3</v>
      </c>
      <c r="G38" s="14">
        <f>Schedule_Data_Mammoet_Orig!H39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Schedule_Data_Mammoet_Orig!A40</f>
        <v>A1170</v>
      </c>
      <c r="B39" s="14" t="str">
        <f>Schedule_Data_Mammoet_Orig!B40</f>
        <v>A0</v>
      </c>
      <c r="C39" s="14" t="str">
        <f>Schedule_Data_Mammoet_Orig!C40</f>
        <v>AGL TR Unit 2 (TR Bay 3) load on SPMT</v>
      </c>
      <c r="D39" s="17" t="str">
        <f>Schedule_Data_Mammoet_Orig!D40</f>
        <v>BUFFER</v>
      </c>
      <c r="E39" s="30">
        <f>Schedule_Data_Mammoet_Orig!F40</f>
        <v>46042</v>
      </c>
      <c r="F39" s="30">
        <f>Schedule_Data_Mammoet_Orig!G40</f>
        <v>46042.7</v>
      </c>
      <c r="G39" s="14">
        <f>Schedule_Data_Mammoet_Orig!H40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Schedule_Data_Mammoet_Orig!A41</f>
        <v>A1180</v>
      </c>
      <c r="B40" s="14" t="str">
        <f>Schedule_Data_Mammoet_Orig!B41</f>
        <v>A0</v>
      </c>
      <c r="C40" s="14" t="str">
        <f>Schedule_Data_Mammoet_Orig!C41</f>
        <v>Turning of AGI TR Unit 2 (TR Bay 3) - 10t Forklift required</v>
      </c>
      <c r="D40" s="23" t="str">
        <f>Schedule_Data_Mammoet_Orig!D41</f>
        <v>TURNING</v>
      </c>
      <c r="E40" s="30">
        <f>Schedule_Data_Mammoet_Orig!F41</f>
        <v>46043</v>
      </c>
      <c r="F40" s="30">
        <f>Schedule_Data_Mammoet_Orig!G41</f>
        <v>46043</v>
      </c>
      <c r="G40" s="14">
        <f>Schedule_Data_Mammoet_Orig!H41</f>
        <v>0</v>
      </c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Schedule_Data_Mammoet_Orig!A42</f>
        <v>A1190</v>
      </c>
      <c r="B41" s="14" t="str">
        <f>Schedule_Data_Mammoet_Orig!B42</f>
        <v>A0</v>
      </c>
      <c r="C41" s="14" t="str">
        <f>Schedule_Data_Mammoet_Orig!C42</f>
        <v>Jacking down of AGI TR Unit 2 (TR Bay 3) on temporary support - Forklift and Crane required</v>
      </c>
      <c r="D41" s="31" t="str">
        <f>Schedule_Data_Mammoet_Orig!D42</f>
        <v>JACKDOWN</v>
      </c>
      <c r="E41" s="30">
        <f>Schedule_Data_Mammoet_Orig!F42</f>
        <v>46046</v>
      </c>
      <c r="F41" s="30">
        <f>Schedule_Data_Mammoet_Orig!G42</f>
        <v>46046</v>
      </c>
      <c r="G41" s="14">
        <f>Schedule_Data_Mammoet_Orig!H42</f>
        <v>0</v>
      </c>
      <c r="H41" s="14"/>
      <c r="I41" s="14"/>
      <c r="J41" s="14"/>
      <c r="K41" s="14"/>
      <c r="L41" s="14"/>
      <c r="M41" s="14"/>
      <c r="N41" s="31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Schedule_Data_Mammoet_Orig!A43</f>
        <v>A1200</v>
      </c>
      <c r="B42" s="14" t="str">
        <f>Schedule_Data_Mammoet_Orig!B43</f>
        <v>A0</v>
      </c>
      <c r="C42" s="14" t="str">
        <f>Schedule_Data_Mammoet_Orig!C43</f>
        <v>SPMT shiifting from TR Bay Area to Jetty; Loading on LCT (if tide allows)</v>
      </c>
      <c r="D42" s="17" t="str">
        <f>Schedule_Data_Mammoet_Orig!D43</f>
        <v>BUFFER</v>
      </c>
      <c r="E42" s="30">
        <f>Schedule_Data_Mammoet_Orig!F43</f>
        <v>46045</v>
      </c>
      <c r="F42" s="30">
        <f>Schedule_Data_Mammoet_Orig!G43</f>
        <v>46045</v>
      </c>
      <c r="G42" s="14">
        <f>Schedule_Data_Mammoet_Orig!H43</f>
        <v>0</v>
      </c>
      <c r="H42" s="14"/>
      <c r="I42" s="14"/>
      <c r="J42" s="14"/>
      <c r="K42" s="14"/>
      <c r="L42" s="14"/>
      <c r="M42" s="17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Schedule_Data_Mammoet_Orig!A44</f>
        <v>A1210</v>
      </c>
      <c r="B43" s="14" t="str">
        <f>Schedule_Data_Mammoet_Orig!B44</f>
        <v>A0</v>
      </c>
      <c r="C43" s="14" t="str">
        <f>Schedule_Data_Mammoet_Orig!C44</f>
        <v>LCT Sail-away back to Mina Zayed Port; MMT SPMT Crew Demobilization</v>
      </c>
      <c r="D43" s="15" t="str">
        <f>Schedule_Data_Mammoet_Orig!D44</f>
        <v>MOBILIZATION</v>
      </c>
      <c r="E43" s="30">
        <f>Schedule_Data_Mammoet_Orig!F44</f>
        <v>46046</v>
      </c>
      <c r="F43" s="30">
        <f>Schedule_Data_Mammoet_Orig!G44</f>
        <v>46046</v>
      </c>
      <c r="G43" s="14">
        <f>Schedule_Data_Mammoet_Orig!H44</f>
        <v>0</v>
      </c>
      <c r="H43" s="14"/>
      <c r="I43" s="14"/>
      <c r="J43" s="14"/>
      <c r="K43" s="14"/>
      <c r="L43" s="14"/>
      <c r="M43" s="14"/>
      <c r="N43" s="32" t="s">
        <v>272</v>
      </c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Schedule_Data_Mammoet_Orig!A45</f>
        <v>A1220</v>
      </c>
      <c r="B44" s="14" t="str">
        <f>Schedule_Data_Mammoet_Orig!B45</f>
        <v>A0</v>
      </c>
      <c r="C44" s="14" t="str">
        <f>Schedule_Data_Mammoet_Orig!C45</f>
        <v>MMT Jacking Crew Demobilization</v>
      </c>
      <c r="D44" s="15" t="str">
        <f>Schedule_Data_Mammoet_Orig!D45</f>
        <v>MOBILIZATION</v>
      </c>
      <c r="E44" s="30">
        <f>Schedule_Data_Mammoet_Orig!F45</f>
        <v>46047</v>
      </c>
      <c r="F44" s="30">
        <f>Schedule_Data_Mammoet_Orig!G45</f>
        <v>46047</v>
      </c>
      <c r="G44" s="14">
        <f>Schedule_Data_Mammoet_Orig!H45</f>
        <v>0</v>
      </c>
      <c r="H44" s="14"/>
      <c r="I44" s="14"/>
      <c r="J44" s="14"/>
      <c r="K44" s="14"/>
      <c r="L44" s="14"/>
      <c r="M44" s="14"/>
      <c r="N44" s="14"/>
      <c r="O44" s="32" t="s">
        <v>272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Schedule_Data_Mammoet_Orig!A46</f>
        <v>AGI TR Units 3-4</v>
      </c>
      <c r="B45" s="14" t="str">
        <f>Schedule_Data_Mammoet_Orig!B46</f>
        <v>A0</v>
      </c>
      <c r="C45" s="14" t="str">
        <f>Schedule_Data_Mammoet_Orig!C46</f>
        <v>AGI TR Units 3-4</v>
      </c>
      <c r="D45" s="17" t="str">
        <f>Schedule_Data_Mammoet_Orig!D46</f>
        <v>BUFFER</v>
      </c>
      <c r="E45" s="30">
        <f>Schedule_Data_Mammoet_Orig!F46</f>
        <v>46076</v>
      </c>
      <c r="F45" s="30">
        <f>Schedule_Data_Mammoet_Orig!G46</f>
        <v>46076</v>
      </c>
      <c r="G45" s="14">
        <f>Schedule_Data_Mammoet_Orig!H46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7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Schedule_Data_Mammoet_Orig!A47</f>
        <v>A2030</v>
      </c>
      <c r="B46" s="14" t="str">
        <f>Schedule_Data_Mammoet_Orig!B47</f>
        <v>A0</v>
      </c>
      <c r="C46" s="14" t="str">
        <f>Schedule_Data_Mammoet_Orig!C47</f>
        <v>Loading of AGI TR Unit 3 on SPMT; lashing; Shifting to Mina Zayed Port RoRo Jetty area</v>
      </c>
      <c r="D46" s="17" t="str">
        <f>Schedule_Data_Mammoet_Orig!D47</f>
        <v>BUFFER</v>
      </c>
      <c r="E46" s="30">
        <f>Schedule_Data_Mammoet_Orig!F47</f>
        <v>46061</v>
      </c>
      <c r="F46" s="30">
        <f>Schedule_Data_Mammoet_Orig!G47</f>
        <v>46061.3</v>
      </c>
      <c r="G46" s="14">
        <f>Schedule_Data_Mammoet_Orig!H47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Schedule_Data_Mammoet_Orig!A48</f>
        <v>A2040</v>
      </c>
      <c r="B47" s="14" t="str">
        <f>Schedule_Data_Mammoet_Orig!B48</f>
        <v>A0</v>
      </c>
      <c r="C47" s="14" t="str">
        <f>Schedule_Data_Mammoet_Orig!C48</f>
        <v>RoRo Ramp Installation - 5t Frokift and Crane required</v>
      </c>
      <c r="D47" s="17" t="str">
        <f>Schedule_Data_Mammoet_Orig!D48</f>
        <v>BUFFER</v>
      </c>
      <c r="E47" s="30">
        <f>Schedule_Data_Mammoet_Orig!F48</f>
        <v>46061</v>
      </c>
      <c r="F47" s="30">
        <f>Schedule_Data_Mammoet_Orig!G48</f>
        <v>46061.3</v>
      </c>
      <c r="G47" s="14">
        <f>Schedule_Data_Mammoet_Orig!H48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Schedule_Data_Mammoet_Orig!A49</f>
        <v>A2060</v>
      </c>
      <c r="B48" s="14" t="str">
        <f>Schedule_Data_Mammoet_Orig!B49</f>
        <v>A0</v>
      </c>
      <c r="C48" s="14" t="str">
        <f>Schedule_Data_Mammoet_Orig!C49</f>
        <v>Load-out of AGL TR Unit 3; stool down</v>
      </c>
      <c r="D48" s="19" t="str">
        <f>Schedule_Data_Mammoet_Orig!D49</f>
        <v>LOADOUT</v>
      </c>
      <c r="E48" s="30">
        <f>Schedule_Data_Mammoet_Orig!F49</f>
        <v>46061</v>
      </c>
      <c r="F48" s="30">
        <f>Schedule_Data_Mammoet_Orig!G49</f>
        <v>46061.2</v>
      </c>
      <c r="G48" s="14">
        <f>Schedule_Data_Mammoet_Orig!H49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Schedule_Data_Mammoet_Orig!A50</f>
        <v>A2070</v>
      </c>
      <c r="B49" s="14" t="str">
        <f>Schedule_Data_Mammoet_Orig!B50</f>
        <v>A0</v>
      </c>
      <c r="C49" s="14" t="str">
        <f>Schedule_Data_Mammoet_Orig!C50</f>
        <v>RoRo ramp removal; Seafastening AGL TR Unit 3 - Crane required</v>
      </c>
      <c r="D49" s="20" t="str">
        <f>Schedule_Data_Mammoet_Orig!D50</f>
        <v>SEAFAST</v>
      </c>
      <c r="E49" s="30">
        <f>Schedule_Data_Mammoet_Orig!F50</f>
        <v>46061</v>
      </c>
      <c r="F49" s="30">
        <f>Schedule_Data_Mammoet_Orig!G50</f>
        <v>46061</v>
      </c>
      <c r="G49" s="14">
        <f>Schedule_Data_Mammoet_Orig!H50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20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Schedule_Data_Mammoet_Orig!A51</f>
        <v>A2071</v>
      </c>
      <c r="B50" s="14" t="str">
        <f>Schedule_Data_Mammoet_Orig!B51</f>
        <v>A0</v>
      </c>
      <c r="C50" s="14" t="str">
        <f>Schedule_Data_Mammoet_Orig!C51</f>
        <v>Loading of AGI TR Unit 4 on SPMT</v>
      </c>
      <c r="D50" s="17" t="str">
        <f>Schedule_Data_Mammoet_Orig!D51</f>
        <v>BUFFER</v>
      </c>
      <c r="E50" s="30">
        <f>Schedule_Data_Mammoet_Orig!F51</f>
        <v>46061</v>
      </c>
      <c r="F50" s="30">
        <f>Schedule_Data_Mammoet_Orig!G51</f>
        <v>46061</v>
      </c>
      <c r="G50" s="14">
        <f>Schedule_Data_Mammoet_Orig!H51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7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Schedule_Data_Mammoet_Orig!A52</f>
        <v>A2072</v>
      </c>
      <c r="B51" s="14" t="str">
        <f>Schedule_Data_Mammoet_Orig!B52</f>
        <v>A0</v>
      </c>
      <c r="C51" s="14" t="str">
        <f>Schedule_Data_Mammoet_Orig!C52</f>
        <v>Shifting of AGL TR Unit 4 to Jetty area</v>
      </c>
      <c r="D51" s="17" t="str">
        <f>Schedule_Data_Mammoet_Orig!D52</f>
        <v>BUFFER</v>
      </c>
      <c r="E51" s="30">
        <f>Schedule_Data_Mammoet_Orig!F52</f>
        <v>46062</v>
      </c>
      <c r="F51" s="30">
        <f>Schedule_Data_Mammoet_Orig!G52</f>
        <v>46062.05</v>
      </c>
      <c r="G51" s="14">
        <f>Schedule_Data_Mammoet_Orig!H52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Schedule_Data_Mammoet_Orig!A53</f>
        <v>A2073</v>
      </c>
      <c r="B52" s="14" t="str">
        <f>Schedule_Data_Mammoet_Orig!B53</f>
        <v>A0</v>
      </c>
      <c r="C52" s="14" t="str">
        <f>Schedule_Data_Mammoet_Orig!C53</f>
        <v>RoRo Ramp Installation - Crane required</v>
      </c>
      <c r="D52" s="17" t="str">
        <f>Schedule_Data_Mammoet_Orig!D53</f>
        <v>BUFFER</v>
      </c>
      <c r="E52" s="30">
        <f>Schedule_Data_Mammoet_Orig!F53</f>
        <v>46062</v>
      </c>
      <c r="F52" s="30">
        <f>Schedule_Data_Mammoet_Orig!G53</f>
        <v>46062.3</v>
      </c>
      <c r="G52" s="14">
        <f>Schedule_Data_Mammoet_Orig!H53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Schedule_Data_Mammoet_Orig!A54</f>
        <v>A2074</v>
      </c>
      <c r="B53" s="14" t="str">
        <f>Schedule_Data_Mammoet_Orig!B54</f>
        <v>A0</v>
      </c>
      <c r="C53" s="14" t="str">
        <f>Schedule_Data_Mammoet_Orig!C54</f>
        <v>Load-out of AGI TR Unit 4; stoold down; securing of SPMT</v>
      </c>
      <c r="D53" s="19" t="str">
        <f>Schedule_Data_Mammoet_Orig!D54</f>
        <v>LOADOUT</v>
      </c>
      <c r="E53" s="30">
        <f>Schedule_Data_Mammoet_Orig!F54</f>
        <v>46062</v>
      </c>
      <c r="F53" s="30">
        <f>Schedule_Data_Mammoet_Orig!G54</f>
        <v>46062.3</v>
      </c>
      <c r="G53" s="14">
        <f>Schedule_Data_Mammoet_Orig!H54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Schedule_Data_Mammoet_Orig!A55</f>
        <v>A2075</v>
      </c>
      <c r="B54" s="14" t="str">
        <f>Schedule_Data_Mammoet_Orig!B55</f>
        <v>A0</v>
      </c>
      <c r="C54" s="14" t="str">
        <f>Schedule_Data_Mammoet_Orig!C55</f>
        <v>Removal of RoRo Ramp; Sea fastening AGI TR Unit 4 - Crane required</v>
      </c>
      <c r="D54" s="20" t="str">
        <f>Schedule_Data_Mammoet_Orig!D55</f>
        <v>SEAFAST</v>
      </c>
      <c r="E54" s="30">
        <f>Schedule_Data_Mammoet_Orig!F55</f>
        <v>46062</v>
      </c>
      <c r="F54" s="30">
        <f>Schedule_Data_Mammoet_Orig!G55</f>
        <v>46062</v>
      </c>
      <c r="G54" s="14">
        <f>Schedule_Data_Mammoet_Orig!H55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20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Schedule_Data_Mammoet_Orig!A56</f>
        <v>A2080</v>
      </c>
      <c r="B55" s="14" t="str">
        <f>Schedule_Data_Mammoet_Orig!B56</f>
        <v>A0</v>
      </c>
      <c r="C55" s="14" t="str">
        <f>Schedule_Data_Mammoet_Orig!C56</f>
        <v>MWS + MPI + Final Preparations</v>
      </c>
      <c r="D55" s="17" t="str">
        <f>Schedule_Data_Mammoet_Orig!D56</f>
        <v>BUFFER</v>
      </c>
      <c r="E55" s="30">
        <f>Schedule_Data_Mammoet_Orig!F56</f>
        <v>46063</v>
      </c>
      <c r="F55" s="30">
        <f>Schedule_Data_Mammoet_Orig!G56</f>
        <v>46063.199999999997</v>
      </c>
      <c r="G55" s="14">
        <f>Schedule_Data_Mammoet_Orig!H56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Schedule_Data_Mammoet_Orig!A57</f>
        <v>A2081</v>
      </c>
      <c r="B56" s="14" t="str">
        <f>Schedule_Data_Mammoet_Orig!B57</f>
        <v>A0</v>
      </c>
      <c r="C56" s="14" t="str">
        <f>Schedule_Data_Mammoet_Orig!C57</f>
        <v>Sail-away - Marine Transportation by LCT to Al Ghallan Island</v>
      </c>
      <c r="D56" s="21" t="str">
        <f>Schedule_Data_Mammoet_Orig!D57</f>
        <v>SAIL</v>
      </c>
      <c r="E56" s="30">
        <f>Schedule_Data_Mammoet_Orig!F57</f>
        <v>46064</v>
      </c>
      <c r="F56" s="30">
        <f>Schedule_Data_Mammoet_Orig!G57</f>
        <v>46064</v>
      </c>
      <c r="G56" s="14">
        <f>Schedule_Data_Mammoet_Orig!H57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21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Schedule_Data_Mammoet_Orig!A58</f>
        <v>A2090</v>
      </c>
      <c r="B57" s="14" t="str">
        <f>Schedule_Data_Mammoet_Orig!B58</f>
        <v>A0</v>
      </c>
      <c r="C57" s="14" t="str">
        <f>Schedule_Data_Mammoet_Orig!C58</f>
        <v>MMT Crew Mob to AGI</v>
      </c>
      <c r="D57" s="17" t="str">
        <f>Schedule_Data_Mammoet_Orig!D58</f>
        <v>BUFFER</v>
      </c>
      <c r="E57" s="30">
        <f>Schedule_Data_Mammoet_Orig!F58</f>
        <v>46065</v>
      </c>
      <c r="F57" s="30">
        <f>Schedule_Data_Mammoet_Orig!G58</f>
        <v>46065</v>
      </c>
      <c r="G57" s="14">
        <f>Schedule_Data_Mammoet_Orig!H58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7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Schedule_Data_Mammoet_Orig!A59</f>
        <v>A2091</v>
      </c>
      <c r="B58" s="14" t="str">
        <f>Schedule_Data_Mammoet_Orig!B59</f>
        <v>A0</v>
      </c>
      <c r="C58" s="14" t="str">
        <f>Schedule_Data_Mammoet_Orig!C59</f>
        <v>LCT Arrival; Berthing at AGL RoRo Jetty</v>
      </c>
      <c r="D58" s="22" t="str">
        <f>Schedule_Data_Mammoet_Orig!D59</f>
        <v>AGI_UNLOAD</v>
      </c>
      <c r="E58" s="30">
        <f>Schedule_Data_Mammoet_Orig!F59</f>
        <v>46065</v>
      </c>
      <c r="F58" s="30">
        <f>Schedule_Data_Mammoet_Orig!G59</f>
        <v>46065</v>
      </c>
      <c r="G58" s="14">
        <f>Schedule_Data_Mammoet_Orig!H59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22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Schedule_Data_Mammoet_Orig!A60</f>
        <v>A2100</v>
      </c>
      <c r="B59" s="14" t="str">
        <f>Schedule_Data_Mammoet_Orig!B60</f>
        <v>A0</v>
      </c>
      <c r="C59" s="14" t="str">
        <f>Schedule_Data_Mammoet_Orig!C60</f>
        <v>Unlashing and cutting</v>
      </c>
      <c r="D59" s="17" t="str">
        <f>Schedule_Data_Mammoet_Orig!D60</f>
        <v>BUFFER</v>
      </c>
      <c r="E59" s="30">
        <f>Schedule_Data_Mammoet_Orig!F60</f>
        <v>46065</v>
      </c>
      <c r="F59" s="30">
        <f>Schedule_Data_Mammoet_Orig!G60</f>
        <v>46065</v>
      </c>
      <c r="G59" s="14">
        <f>Schedule_Data_Mammoet_Orig!H60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7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Schedule_Data_Mammoet_Orig!A61</f>
        <v>A2110</v>
      </c>
      <c r="B60" s="14" t="str">
        <f>Schedule_Data_Mammoet_Orig!B61</f>
        <v>A0</v>
      </c>
      <c r="C60" s="14" t="str">
        <f>Schedule_Data_Mammoet_Orig!C61</f>
        <v>Load-in of AGI TR Unit 4 (including RoRo Ramp Installation); store on Jetty - Crane required</v>
      </c>
      <c r="D60" s="19" t="str">
        <f>Schedule_Data_Mammoet_Orig!D61</f>
        <v>LOADOUT</v>
      </c>
      <c r="E60" s="30">
        <f>Schedule_Data_Mammoet_Orig!F61</f>
        <v>46066</v>
      </c>
      <c r="F60" s="30">
        <f>Schedule_Data_Mammoet_Orig!G61</f>
        <v>46066</v>
      </c>
      <c r="G60" s="14">
        <f>Schedule_Data_Mammoet_Orig!H61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9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Schedule_Data_Mammoet_Orig!A62</f>
        <v>A2120</v>
      </c>
      <c r="B61" s="14" t="str">
        <f>Schedule_Data_Mammoet_Orig!B62</f>
        <v>A0</v>
      </c>
      <c r="C61" s="14" t="str">
        <f>Schedule_Data_Mammoet_Orig!C62</f>
        <v>Load-in of AGI TR Unit 3 (including RoRo Ramp Installation); store on Jetty - Crane required</v>
      </c>
      <c r="D61" s="19" t="str">
        <f>Schedule_Data_Mammoet_Orig!D62</f>
        <v>LOADOUT</v>
      </c>
      <c r="E61" s="30">
        <f>Schedule_Data_Mammoet_Orig!F62</f>
        <v>46067</v>
      </c>
      <c r="F61" s="30">
        <f>Schedule_Data_Mammoet_Orig!G62</f>
        <v>46067</v>
      </c>
      <c r="G61" s="14">
        <f>Schedule_Data_Mammoet_Orig!H62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9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Schedule_Data_Mammoet_Orig!A63</f>
        <v>A2121</v>
      </c>
      <c r="B62" s="14" t="str">
        <f>Schedule_Data_Mammoet_Orig!B63</f>
        <v>A0</v>
      </c>
      <c r="C62" s="14" t="str">
        <f>Schedule_Data_Mammoet_Orig!C63</f>
        <v>Steel bridge Installation 1</v>
      </c>
      <c r="D62" s="17" t="str">
        <f>Schedule_Data_Mammoet_Orig!D63</f>
        <v>BUFFER</v>
      </c>
      <c r="E62" s="30">
        <f>Schedule_Data_Mammoet_Orig!F63</f>
        <v>46068</v>
      </c>
      <c r="F62" s="30">
        <f>Schedule_Data_Mammoet_Orig!G63</f>
        <v>46068.3</v>
      </c>
      <c r="G62" s="14">
        <f>Schedule_Data_Mammoet_Orig!H63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Schedule_Data_Mammoet_Orig!A64</f>
        <v>A2140</v>
      </c>
      <c r="B63" s="14" t="str">
        <f>Schedule_Data_Mammoet_Orig!B64</f>
        <v>A0</v>
      </c>
      <c r="C63" s="14" t="str">
        <f>Schedule_Data_Mammoet_Orig!C64</f>
        <v>AGL TR Unit 3 load on SPMT</v>
      </c>
      <c r="D63" s="17" t="str">
        <f>Schedule_Data_Mammoet_Orig!D64</f>
        <v>BUFFER</v>
      </c>
      <c r="E63" s="30">
        <f>Schedule_Data_Mammoet_Orig!F64</f>
        <v>46068</v>
      </c>
      <c r="F63" s="30">
        <f>Schedule_Data_Mammoet_Orig!G64</f>
        <v>46068.7</v>
      </c>
      <c r="G63" s="14">
        <f>Schedule_Data_Mammoet_Orig!H64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Schedule_Data_Mammoet_Orig!A65</f>
        <v>A2141</v>
      </c>
      <c r="B64" s="14" t="str">
        <f>Schedule_Data_Mammoet_Orig!B65</f>
        <v>A0</v>
      </c>
      <c r="C64" s="14" t="str">
        <f>Schedule_Data_Mammoet_Orig!C65</f>
        <v>Turning of AGI TR Unit 3 - 10t Forklift required</v>
      </c>
      <c r="D64" s="23" t="str">
        <f>Schedule_Data_Mammoet_Orig!D65</f>
        <v>TURNING</v>
      </c>
      <c r="E64" s="30">
        <f>Schedule_Data_Mammoet_Orig!F65</f>
        <v>46069</v>
      </c>
      <c r="F64" s="30">
        <f>Schedule_Data_Mammoet_Orig!G65</f>
        <v>46069</v>
      </c>
      <c r="G64" s="14">
        <f>Schedule_Data_Mammoet_Orig!H65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23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Schedule_Data_Mammoet_Orig!A66</f>
        <v>A2150</v>
      </c>
      <c r="B65" s="14" t="str">
        <f>Schedule_Data_Mammoet_Orig!B66</f>
        <v>A0</v>
      </c>
      <c r="C65" s="14" t="str">
        <f>Schedule_Data_Mammoet_Orig!C66</f>
        <v>Jacking down of AGI TR Unit 3 on temporary support - Forklift required</v>
      </c>
      <c r="D65" s="31" t="str">
        <f>Schedule_Data_Mammoet_Orig!D66</f>
        <v>JACKDOWN</v>
      </c>
      <c r="E65" s="30">
        <f>Schedule_Data_Mammoet_Orig!F66</f>
        <v>46072</v>
      </c>
      <c r="F65" s="30">
        <f>Schedule_Data_Mammoet_Orig!G66</f>
        <v>46072</v>
      </c>
      <c r="G65" s="14">
        <f>Schedule_Data_Mammoet_Orig!H66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31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Schedule_Data_Mammoet_Orig!A67</f>
        <v>A2160</v>
      </c>
      <c r="B66" s="14" t="str">
        <f>Schedule_Data_Mammoet_Orig!B67</f>
        <v>A0</v>
      </c>
      <c r="C66" s="14" t="str">
        <f>Schedule_Data_Mammoet_Orig!C67</f>
        <v>Steel bridge Installation 2</v>
      </c>
      <c r="D66" s="17" t="str">
        <f>Schedule_Data_Mammoet_Orig!D67</f>
        <v>BUFFER</v>
      </c>
      <c r="E66" s="30">
        <f>Schedule_Data_Mammoet_Orig!F67</f>
        <v>46072</v>
      </c>
      <c r="F66" s="30">
        <f>Schedule_Data_Mammoet_Orig!G67</f>
        <v>46072.3</v>
      </c>
      <c r="G66" s="14">
        <f>Schedule_Data_Mammoet_Orig!H67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Schedule_Data_Mammoet_Orig!A68</f>
        <v>A2170</v>
      </c>
      <c r="B67" s="14" t="str">
        <f>Schedule_Data_Mammoet_Orig!B68</f>
        <v>A0</v>
      </c>
      <c r="C67" s="14" t="str">
        <f>Schedule_Data_Mammoet_Orig!C68</f>
        <v>AGL TR Unit 4 load on SPMT</v>
      </c>
      <c r="D67" s="17" t="str">
        <f>Schedule_Data_Mammoet_Orig!D68</f>
        <v>BUFFER</v>
      </c>
      <c r="E67" s="30">
        <f>Schedule_Data_Mammoet_Orig!F68</f>
        <v>46072</v>
      </c>
      <c r="F67" s="30">
        <f>Schedule_Data_Mammoet_Orig!G68</f>
        <v>46072.7</v>
      </c>
      <c r="G67" s="14">
        <f>Schedule_Data_Mammoet_Orig!H68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Schedule_Data_Mammoet_Orig!A69</f>
        <v>A2180</v>
      </c>
      <c r="B68" s="14" t="str">
        <f>Schedule_Data_Mammoet_Orig!B69</f>
        <v>A0</v>
      </c>
      <c r="C68" s="14" t="str">
        <f>Schedule_Data_Mammoet_Orig!C69</f>
        <v>Turning of AGI TR Unit 4 - 10t Forklift required</v>
      </c>
      <c r="D68" s="23" t="str">
        <f>Schedule_Data_Mammoet_Orig!D69</f>
        <v>TURNING</v>
      </c>
      <c r="E68" s="30">
        <f>Schedule_Data_Mammoet_Orig!F69</f>
        <v>46073</v>
      </c>
      <c r="F68" s="30">
        <f>Schedule_Data_Mammoet_Orig!G69</f>
        <v>46073</v>
      </c>
      <c r="G68" s="14">
        <f>Schedule_Data_Mammoet_Orig!H69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23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Schedule_Data_Mammoet_Orig!A70</f>
        <v>A2190</v>
      </c>
      <c r="B69" s="14" t="str">
        <f>Schedule_Data_Mammoet_Orig!B70</f>
        <v>A0</v>
      </c>
      <c r="C69" s="14" t="str">
        <f>Schedule_Data_Mammoet_Orig!C70</f>
        <v>Jacking down of AGI TR Unit 4 on temporary support - Forklift and Crane required</v>
      </c>
      <c r="D69" s="31" t="str">
        <f>Schedule_Data_Mammoet_Orig!D70</f>
        <v>JACKDOWN</v>
      </c>
      <c r="E69" s="30">
        <f>Schedule_Data_Mammoet_Orig!F70</f>
        <v>46076</v>
      </c>
      <c r="F69" s="30">
        <f>Schedule_Data_Mammoet_Orig!G70</f>
        <v>46076</v>
      </c>
      <c r="G69" s="14">
        <f>Schedule_Data_Mammoet_Orig!H70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1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Schedule_Data_Mammoet_Orig!A71</f>
        <v>A2200</v>
      </c>
      <c r="B70" s="14" t="str">
        <f>Schedule_Data_Mammoet_Orig!B71</f>
        <v>A0</v>
      </c>
      <c r="C70" s="14" t="str">
        <f>Schedule_Data_Mammoet_Orig!C71</f>
        <v>SPMT shiifting from TR Bay Area to Jetty; Loading on LCT (if tide allows)</v>
      </c>
      <c r="D70" s="17" t="str">
        <f>Schedule_Data_Mammoet_Orig!D71</f>
        <v>BUFFER</v>
      </c>
      <c r="E70" s="30">
        <f>Schedule_Data_Mammoet_Orig!F71</f>
        <v>46075</v>
      </c>
      <c r="F70" s="30">
        <f>Schedule_Data_Mammoet_Orig!G71</f>
        <v>46075</v>
      </c>
      <c r="G70" s="14">
        <f>Schedule_Data_Mammoet_Orig!H71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Schedule_Data_Mammoet_Orig!A72</f>
        <v>A2210</v>
      </c>
      <c r="B71" s="14" t="str">
        <f>Schedule_Data_Mammoet_Orig!B72</f>
        <v>A0</v>
      </c>
      <c r="C71" s="14" t="str">
        <f>Schedule_Data_Mammoet_Orig!C72</f>
        <v>LCT Sail-away back to Mina Zayed Port; MMT SPMT Crew Demobilization</v>
      </c>
      <c r="D71" s="15" t="str">
        <f>Schedule_Data_Mammoet_Orig!D72</f>
        <v>MOBILIZATION</v>
      </c>
      <c r="E71" s="30">
        <f>Schedule_Data_Mammoet_Orig!F72</f>
        <v>46076</v>
      </c>
      <c r="F71" s="30">
        <f>Schedule_Data_Mammoet_Orig!G72</f>
        <v>46076</v>
      </c>
      <c r="G71" s="14">
        <f>Schedule_Data_Mammoet_Orig!H72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32" t="s">
        <v>272</v>
      </c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Schedule_Data_Mammoet_Orig!A73</f>
        <v>A2220</v>
      </c>
      <c r="B72" s="14" t="str">
        <f>Schedule_Data_Mammoet_Orig!B73</f>
        <v>A0</v>
      </c>
      <c r="C72" s="14" t="str">
        <f>Schedule_Data_Mammoet_Orig!C73</f>
        <v>MMT Jacking Crew Demobilization</v>
      </c>
      <c r="D72" s="15" t="str">
        <f>Schedule_Data_Mammoet_Orig!D73</f>
        <v>MOBILIZATION</v>
      </c>
      <c r="E72" s="30">
        <f>Schedule_Data_Mammoet_Orig!F73</f>
        <v>46076</v>
      </c>
      <c r="F72" s="30">
        <f>Schedule_Data_Mammoet_Orig!G73</f>
        <v>46076</v>
      </c>
      <c r="G72" s="14">
        <f>Schedule_Data_Mammoet_Orig!H73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32" t="s">
        <v>272</v>
      </c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Schedule_Data_Mammoet_Orig!A74</f>
        <v>AGI TR Units 5-6</v>
      </c>
      <c r="B73" s="14" t="str">
        <f>Schedule_Data_Mammoet_Orig!B74</f>
        <v>A0</v>
      </c>
      <c r="C73" s="14" t="str">
        <f>Schedule_Data_Mammoet_Orig!C74</f>
        <v>AGI TR Units 5-6</v>
      </c>
      <c r="D73" s="17" t="str">
        <f>Schedule_Data_Mammoet_Orig!D74</f>
        <v>BUFFER</v>
      </c>
      <c r="E73" s="30">
        <f>Schedule_Data_Mammoet_Orig!F74</f>
        <v>46093</v>
      </c>
      <c r="F73" s="30">
        <f>Schedule_Data_Mammoet_Orig!G74</f>
        <v>46093</v>
      </c>
      <c r="G73" s="14">
        <f>Schedule_Data_Mammoet_Orig!H74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7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Schedule_Data_Mammoet_Orig!A75</f>
        <v>A3030</v>
      </c>
      <c r="B74" s="14" t="str">
        <f>Schedule_Data_Mammoet_Orig!B75</f>
        <v>A0</v>
      </c>
      <c r="C74" s="14" t="str">
        <f>Schedule_Data_Mammoet_Orig!C75</f>
        <v>Loading of AGI TR Unit 5 on SPMT; lashing; Shifting to Mina Zayed Port RoRo Jetty area</v>
      </c>
      <c r="D74" s="17" t="str">
        <f>Schedule_Data_Mammoet_Orig!D75</f>
        <v>BUFFER</v>
      </c>
      <c r="E74" s="30">
        <f>Schedule_Data_Mammoet_Orig!F75</f>
        <v>46078</v>
      </c>
      <c r="F74" s="30">
        <f>Schedule_Data_Mammoet_Orig!G75</f>
        <v>46078.3</v>
      </c>
      <c r="G74" s="14">
        <f>Schedule_Data_Mammoet_Orig!H75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Schedule_Data_Mammoet_Orig!A76</f>
        <v>A3040</v>
      </c>
      <c r="B75" s="14" t="str">
        <f>Schedule_Data_Mammoet_Orig!B76</f>
        <v>A0</v>
      </c>
      <c r="C75" s="14" t="str">
        <f>Schedule_Data_Mammoet_Orig!C76</f>
        <v>RoRo Ramp Installation - 5t Frokift and Crane required</v>
      </c>
      <c r="D75" s="17" t="str">
        <f>Schedule_Data_Mammoet_Orig!D76</f>
        <v>BUFFER</v>
      </c>
      <c r="E75" s="30">
        <f>Schedule_Data_Mammoet_Orig!F76</f>
        <v>46078</v>
      </c>
      <c r="F75" s="30">
        <f>Schedule_Data_Mammoet_Orig!G76</f>
        <v>46078.3</v>
      </c>
      <c r="G75" s="14">
        <f>Schedule_Data_Mammoet_Orig!H76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Schedule_Data_Mammoet_Orig!A77</f>
        <v>A3060</v>
      </c>
      <c r="B76" s="14" t="str">
        <f>Schedule_Data_Mammoet_Orig!B77</f>
        <v>A0</v>
      </c>
      <c r="C76" s="14" t="str">
        <f>Schedule_Data_Mammoet_Orig!C77</f>
        <v>Load-out of AGL TR Unit 5; stool down</v>
      </c>
      <c r="D76" s="19" t="str">
        <f>Schedule_Data_Mammoet_Orig!D77</f>
        <v>LOADOUT</v>
      </c>
      <c r="E76" s="30">
        <f>Schedule_Data_Mammoet_Orig!F77</f>
        <v>46078</v>
      </c>
      <c r="F76" s="30">
        <f>Schedule_Data_Mammoet_Orig!G77</f>
        <v>46078.2</v>
      </c>
      <c r="G76" s="14">
        <f>Schedule_Data_Mammoet_Orig!H77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Schedule_Data_Mammoet_Orig!A78</f>
        <v>A3070</v>
      </c>
      <c r="B77" s="14" t="str">
        <f>Schedule_Data_Mammoet_Orig!B78</f>
        <v>A0</v>
      </c>
      <c r="C77" s="14" t="str">
        <f>Schedule_Data_Mammoet_Orig!C78</f>
        <v>RoRo ramp removal; Seafastening AGL TR Unit 5 - Crane required</v>
      </c>
      <c r="D77" s="20" t="str">
        <f>Schedule_Data_Mammoet_Orig!D78</f>
        <v>SEAFAST</v>
      </c>
      <c r="E77" s="30">
        <f>Schedule_Data_Mammoet_Orig!F78</f>
        <v>46078</v>
      </c>
      <c r="F77" s="30">
        <f>Schedule_Data_Mammoet_Orig!G78</f>
        <v>46078</v>
      </c>
      <c r="G77" s="14">
        <f>Schedule_Data_Mammoet_Orig!H78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20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Schedule_Data_Mammoet_Orig!A79</f>
        <v>A3071</v>
      </c>
      <c r="B78" s="14" t="str">
        <f>Schedule_Data_Mammoet_Orig!B79</f>
        <v>A0</v>
      </c>
      <c r="C78" s="14" t="str">
        <f>Schedule_Data_Mammoet_Orig!C79</f>
        <v>Loading of AGI TR Unit 6 on SPMT</v>
      </c>
      <c r="D78" s="17" t="str">
        <f>Schedule_Data_Mammoet_Orig!D79</f>
        <v>BUFFER</v>
      </c>
      <c r="E78" s="30">
        <f>Schedule_Data_Mammoet_Orig!F79</f>
        <v>46078</v>
      </c>
      <c r="F78" s="30">
        <f>Schedule_Data_Mammoet_Orig!G79</f>
        <v>46078</v>
      </c>
      <c r="G78" s="14">
        <f>Schedule_Data_Mammoet_Orig!H79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7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Schedule_Data_Mammoet_Orig!A80</f>
        <v>A3072</v>
      </c>
      <c r="B79" s="14" t="str">
        <f>Schedule_Data_Mammoet_Orig!B80</f>
        <v>A0</v>
      </c>
      <c r="C79" s="14" t="str">
        <f>Schedule_Data_Mammoet_Orig!C80</f>
        <v>Shifting of AGL TR Unit 6 to Jetty area</v>
      </c>
      <c r="D79" s="17" t="str">
        <f>Schedule_Data_Mammoet_Orig!D80</f>
        <v>BUFFER</v>
      </c>
      <c r="E79" s="30">
        <f>Schedule_Data_Mammoet_Orig!F80</f>
        <v>46079</v>
      </c>
      <c r="F79" s="30">
        <f>Schedule_Data_Mammoet_Orig!G80</f>
        <v>46079.05</v>
      </c>
      <c r="G79" s="14">
        <f>Schedule_Data_Mammoet_Orig!H80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Schedule_Data_Mammoet_Orig!A81</f>
        <v>A3073</v>
      </c>
      <c r="B80" s="14" t="str">
        <f>Schedule_Data_Mammoet_Orig!B81</f>
        <v>A0</v>
      </c>
      <c r="C80" s="14" t="str">
        <f>Schedule_Data_Mammoet_Orig!C81</f>
        <v>RoRo Ramp Installation - Crane required</v>
      </c>
      <c r="D80" s="17" t="str">
        <f>Schedule_Data_Mammoet_Orig!D81</f>
        <v>BUFFER</v>
      </c>
      <c r="E80" s="30">
        <f>Schedule_Data_Mammoet_Orig!F81</f>
        <v>46079</v>
      </c>
      <c r="F80" s="30">
        <f>Schedule_Data_Mammoet_Orig!G81</f>
        <v>46079.3</v>
      </c>
      <c r="G80" s="14">
        <f>Schedule_Data_Mammoet_Orig!H81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Schedule_Data_Mammoet_Orig!A82</f>
        <v>A3074</v>
      </c>
      <c r="B81" s="14" t="str">
        <f>Schedule_Data_Mammoet_Orig!B82</f>
        <v>A0</v>
      </c>
      <c r="C81" s="14" t="str">
        <f>Schedule_Data_Mammoet_Orig!C82</f>
        <v>Load-out of AGI TR Unit 6; stoold down; securing of SPMT</v>
      </c>
      <c r="D81" s="19" t="str">
        <f>Schedule_Data_Mammoet_Orig!D82</f>
        <v>LOADOUT</v>
      </c>
      <c r="E81" s="30">
        <f>Schedule_Data_Mammoet_Orig!F82</f>
        <v>46079</v>
      </c>
      <c r="F81" s="30">
        <f>Schedule_Data_Mammoet_Orig!G82</f>
        <v>46079.3</v>
      </c>
      <c r="G81" s="14">
        <f>Schedule_Data_Mammoet_Orig!H82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Schedule_Data_Mammoet_Orig!A83</f>
        <v>A3075</v>
      </c>
      <c r="B82" s="14" t="str">
        <f>Schedule_Data_Mammoet_Orig!B83</f>
        <v>A0</v>
      </c>
      <c r="C82" s="14" t="str">
        <f>Schedule_Data_Mammoet_Orig!C83</f>
        <v>Removal of RoRo Ramp; Sea fastening AGI TR Unit 6 - Crane required</v>
      </c>
      <c r="D82" s="20" t="str">
        <f>Schedule_Data_Mammoet_Orig!D83</f>
        <v>SEAFAST</v>
      </c>
      <c r="E82" s="30">
        <f>Schedule_Data_Mammoet_Orig!F83</f>
        <v>46079</v>
      </c>
      <c r="F82" s="30">
        <f>Schedule_Data_Mammoet_Orig!G83</f>
        <v>46079</v>
      </c>
      <c r="G82" s="14">
        <f>Schedule_Data_Mammoet_Orig!H83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20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Schedule_Data_Mammoet_Orig!A84</f>
        <v>A3080</v>
      </c>
      <c r="B83" s="14" t="str">
        <f>Schedule_Data_Mammoet_Orig!B84</f>
        <v>A0</v>
      </c>
      <c r="C83" s="14" t="str">
        <f>Schedule_Data_Mammoet_Orig!C84</f>
        <v>MWS + MPI + Final Preparations</v>
      </c>
      <c r="D83" s="17" t="str">
        <f>Schedule_Data_Mammoet_Orig!D84</f>
        <v>BUFFER</v>
      </c>
      <c r="E83" s="30">
        <f>Schedule_Data_Mammoet_Orig!F84</f>
        <v>46080</v>
      </c>
      <c r="F83" s="30">
        <f>Schedule_Data_Mammoet_Orig!G84</f>
        <v>46080.2</v>
      </c>
      <c r="G83" s="14">
        <f>Schedule_Data_Mammoet_Orig!H84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Schedule_Data_Mammoet_Orig!A85</f>
        <v>A3081</v>
      </c>
      <c r="B84" s="14" t="str">
        <f>Schedule_Data_Mammoet_Orig!B85</f>
        <v>A0</v>
      </c>
      <c r="C84" s="14" t="str">
        <f>Schedule_Data_Mammoet_Orig!C85</f>
        <v>Sail-away - Marine Transportation by LCT to Al Ghallan Island</v>
      </c>
      <c r="D84" s="21" t="str">
        <f>Schedule_Data_Mammoet_Orig!D85</f>
        <v>SAIL</v>
      </c>
      <c r="E84" s="30">
        <f>Schedule_Data_Mammoet_Orig!F85</f>
        <v>46081</v>
      </c>
      <c r="F84" s="30">
        <f>Schedule_Data_Mammoet_Orig!G85</f>
        <v>46081</v>
      </c>
      <c r="G84" s="14">
        <f>Schedule_Data_Mammoet_Orig!H85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21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Schedule_Data_Mammoet_Orig!A86</f>
        <v>A3090</v>
      </c>
      <c r="B85" s="14" t="str">
        <f>Schedule_Data_Mammoet_Orig!B86</f>
        <v>A0</v>
      </c>
      <c r="C85" s="14" t="str">
        <f>Schedule_Data_Mammoet_Orig!C86</f>
        <v>MMT Crew Mob to AGI</v>
      </c>
      <c r="D85" s="17" t="str">
        <f>Schedule_Data_Mammoet_Orig!D86</f>
        <v>BUFFER</v>
      </c>
      <c r="E85" s="30">
        <f>Schedule_Data_Mammoet_Orig!F86</f>
        <v>46082</v>
      </c>
      <c r="F85" s="30">
        <f>Schedule_Data_Mammoet_Orig!G86</f>
        <v>46082</v>
      </c>
      <c r="G85" s="14">
        <f>Schedule_Data_Mammoet_Orig!H86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7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Schedule_Data_Mammoet_Orig!A87</f>
        <v>A3091</v>
      </c>
      <c r="B86" s="14" t="str">
        <f>Schedule_Data_Mammoet_Orig!B87</f>
        <v>A0</v>
      </c>
      <c r="C86" s="14" t="str">
        <f>Schedule_Data_Mammoet_Orig!C87</f>
        <v>LCT Arrival; Berthing at AGL RoRo Jetty</v>
      </c>
      <c r="D86" s="22" t="str">
        <f>Schedule_Data_Mammoet_Orig!D87</f>
        <v>AGI_UNLOAD</v>
      </c>
      <c r="E86" s="30">
        <f>Schedule_Data_Mammoet_Orig!F87</f>
        <v>46082</v>
      </c>
      <c r="F86" s="30">
        <f>Schedule_Data_Mammoet_Orig!G87</f>
        <v>46082</v>
      </c>
      <c r="G86" s="14">
        <f>Schedule_Data_Mammoet_Orig!H87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22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Schedule_Data_Mammoet_Orig!A88</f>
        <v>A3100</v>
      </c>
      <c r="B87" s="14" t="str">
        <f>Schedule_Data_Mammoet_Orig!B88</f>
        <v>A0</v>
      </c>
      <c r="C87" s="14" t="str">
        <f>Schedule_Data_Mammoet_Orig!C88</f>
        <v>Unlashing and cutting</v>
      </c>
      <c r="D87" s="17" t="str">
        <f>Schedule_Data_Mammoet_Orig!D88</f>
        <v>BUFFER</v>
      </c>
      <c r="E87" s="30">
        <f>Schedule_Data_Mammoet_Orig!F88</f>
        <v>46082</v>
      </c>
      <c r="F87" s="30">
        <f>Schedule_Data_Mammoet_Orig!G88</f>
        <v>46082</v>
      </c>
      <c r="G87" s="14">
        <f>Schedule_Data_Mammoet_Orig!H88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7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Schedule_Data_Mammoet_Orig!A89</f>
        <v>A3110</v>
      </c>
      <c r="B88" s="14" t="str">
        <f>Schedule_Data_Mammoet_Orig!B89</f>
        <v>A0</v>
      </c>
      <c r="C88" s="14" t="str">
        <f>Schedule_Data_Mammoet_Orig!C89</f>
        <v>Load-in of AGI TR Unit 6 (including RoRo Ramp Installation); store on Jetty - Crane required</v>
      </c>
      <c r="D88" s="19" t="str">
        <f>Schedule_Data_Mammoet_Orig!D89</f>
        <v>LOADOUT</v>
      </c>
      <c r="E88" s="30">
        <f>Schedule_Data_Mammoet_Orig!F89</f>
        <v>46083</v>
      </c>
      <c r="F88" s="30">
        <f>Schedule_Data_Mammoet_Orig!G89</f>
        <v>46083</v>
      </c>
      <c r="G88" s="14">
        <f>Schedule_Data_Mammoet_Orig!H89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9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Schedule_Data_Mammoet_Orig!A90</f>
        <v>A3120</v>
      </c>
      <c r="B89" s="14" t="str">
        <f>Schedule_Data_Mammoet_Orig!B90</f>
        <v>A0</v>
      </c>
      <c r="C89" s="14" t="str">
        <f>Schedule_Data_Mammoet_Orig!C90</f>
        <v>Load-in of AGI TR Unit 5 (including RoRo Ramp Installation); store on Jetty - Crane required</v>
      </c>
      <c r="D89" s="19" t="str">
        <f>Schedule_Data_Mammoet_Orig!D90</f>
        <v>LOADOUT</v>
      </c>
      <c r="E89" s="30">
        <f>Schedule_Data_Mammoet_Orig!F90</f>
        <v>46084</v>
      </c>
      <c r="F89" s="30">
        <f>Schedule_Data_Mammoet_Orig!G90</f>
        <v>46084</v>
      </c>
      <c r="G89" s="14">
        <f>Schedule_Data_Mammoet_Orig!H90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9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Schedule_Data_Mammoet_Orig!A91</f>
        <v>A3121</v>
      </c>
      <c r="B90" s="14" t="str">
        <f>Schedule_Data_Mammoet_Orig!B91</f>
        <v>A0</v>
      </c>
      <c r="C90" s="14" t="str">
        <f>Schedule_Data_Mammoet_Orig!C91</f>
        <v>Steel bridge Installation 1</v>
      </c>
      <c r="D90" s="17" t="str">
        <f>Schedule_Data_Mammoet_Orig!D91</f>
        <v>BUFFER</v>
      </c>
      <c r="E90" s="30">
        <f>Schedule_Data_Mammoet_Orig!F91</f>
        <v>46085</v>
      </c>
      <c r="F90" s="30">
        <f>Schedule_Data_Mammoet_Orig!G91</f>
        <v>46085.3</v>
      </c>
      <c r="G90" s="14">
        <f>Schedule_Data_Mammoet_Orig!H91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Schedule_Data_Mammoet_Orig!A92</f>
        <v>A3140</v>
      </c>
      <c r="B91" s="14" t="str">
        <f>Schedule_Data_Mammoet_Orig!B92</f>
        <v>A0</v>
      </c>
      <c r="C91" s="14" t="str">
        <f>Schedule_Data_Mammoet_Orig!C92</f>
        <v>AGL TR Unit 5 load on SPMT</v>
      </c>
      <c r="D91" s="17" t="str">
        <f>Schedule_Data_Mammoet_Orig!D92</f>
        <v>BUFFER</v>
      </c>
      <c r="E91" s="30">
        <f>Schedule_Data_Mammoet_Orig!F92</f>
        <v>46085</v>
      </c>
      <c r="F91" s="30">
        <f>Schedule_Data_Mammoet_Orig!G92</f>
        <v>46085.7</v>
      </c>
      <c r="G91" s="14">
        <f>Schedule_Data_Mammoet_Orig!H92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Schedule_Data_Mammoet_Orig!A93</f>
        <v>A3141</v>
      </c>
      <c r="B92" s="14" t="str">
        <f>Schedule_Data_Mammoet_Orig!B93</f>
        <v>A0</v>
      </c>
      <c r="C92" s="14" t="str">
        <f>Schedule_Data_Mammoet_Orig!C93</f>
        <v>Turning of AGI TR Unit 5 - 10t Forklift required</v>
      </c>
      <c r="D92" s="23" t="str">
        <f>Schedule_Data_Mammoet_Orig!D93</f>
        <v>TURNING</v>
      </c>
      <c r="E92" s="30">
        <f>Schedule_Data_Mammoet_Orig!F93</f>
        <v>46086</v>
      </c>
      <c r="F92" s="30">
        <f>Schedule_Data_Mammoet_Orig!G93</f>
        <v>46086</v>
      </c>
      <c r="G92" s="14">
        <f>Schedule_Data_Mammoet_Orig!H93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23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Schedule_Data_Mammoet_Orig!A94</f>
        <v>A3150</v>
      </c>
      <c r="B93" s="14" t="str">
        <f>Schedule_Data_Mammoet_Orig!B94</f>
        <v>A0</v>
      </c>
      <c r="C93" s="14" t="str">
        <f>Schedule_Data_Mammoet_Orig!C94</f>
        <v>Jacking down of AGI TR Unit 5 on temporary support - Forklift required</v>
      </c>
      <c r="D93" s="31" t="str">
        <f>Schedule_Data_Mammoet_Orig!D94</f>
        <v>JACKDOWN</v>
      </c>
      <c r="E93" s="30">
        <f>Schedule_Data_Mammoet_Orig!F94</f>
        <v>46089</v>
      </c>
      <c r="F93" s="30">
        <f>Schedule_Data_Mammoet_Orig!G94</f>
        <v>46089</v>
      </c>
      <c r="G93" s="14">
        <f>Schedule_Data_Mammoet_Orig!H94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31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Schedule_Data_Mammoet_Orig!A95</f>
        <v>A3160</v>
      </c>
      <c r="B94" s="14" t="str">
        <f>Schedule_Data_Mammoet_Orig!B95</f>
        <v>A0</v>
      </c>
      <c r="C94" s="14" t="str">
        <f>Schedule_Data_Mammoet_Orig!C95</f>
        <v>Steel bridge Installation 2</v>
      </c>
      <c r="D94" s="17" t="str">
        <f>Schedule_Data_Mammoet_Orig!D95</f>
        <v>BUFFER</v>
      </c>
      <c r="E94" s="30">
        <f>Schedule_Data_Mammoet_Orig!F95</f>
        <v>46089</v>
      </c>
      <c r="F94" s="30">
        <f>Schedule_Data_Mammoet_Orig!G95</f>
        <v>46089.3</v>
      </c>
      <c r="G94" s="14">
        <f>Schedule_Data_Mammoet_Orig!H95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Schedule_Data_Mammoet_Orig!A96</f>
        <v>A3170</v>
      </c>
      <c r="B95" s="14" t="str">
        <f>Schedule_Data_Mammoet_Orig!B96</f>
        <v>A0</v>
      </c>
      <c r="C95" s="14" t="str">
        <f>Schedule_Data_Mammoet_Orig!C96</f>
        <v>AGL TR Unit 6 load on SPMT</v>
      </c>
      <c r="D95" s="17" t="str">
        <f>Schedule_Data_Mammoet_Orig!D96</f>
        <v>BUFFER</v>
      </c>
      <c r="E95" s="30">
        <f>Schedule_Data_Mammoet_Orig!F96</f>
        <v>46089</v>
      </c>
      <c r="F95" s="30">
        <f>Schedule_Data_Mammoet_Orig!G96</f>
        <v>46089.7</v>
      </c>
      <c r="G95" s="14">
        <f>Schedule_Data_Mammoet_Orig!H96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Schedule_Data_Mammoet_Orig!A97</f>
        <v>A3180</v>
      </c>
      <c r="B96" s="14" t="str">
        <f>Schedule_Data_Mammoet_Orig!B97</f>
        <v>A0</v>
      </c>
      <c r="C96" s="14" t="str">
        <f>Schedule_Data_Mammoet_Orig!C97</f>
        <v>Turning of AGI TR Unit 6 - 10t Forklift required</v>
      </c>
      <c r="D96" s="23" t="str">
        <f>Schedule_Data_Mammoet_Orig!D97</f>
        <v>TURNING</v>
      </c>
      <c r="E96" s="30">
        <f>Schedule_Data_Mammoet_Orig!F97</f>
        <v>46090</v>
      </c>
      <c r="F96" s="30">
        <f>Schedule_Data_Mammoet_Orig!G97</f>
        <v>46090</v>
      </c>
      <c r="G96" s="14">
        <f>Schedule_Data_Mammoet_Orig!H97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23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Schedule_Data_Mammoet_Orig!A98</f>
        <v>A3190</v>
      </c>
      <c r="B97" s="14" t="str">
        <f>Schedule_Data_Mammoet_Orig!B98</f>
        <v>A0</v>
      </c>
      <c r="C97" s="14" t="str">
        <f>Schedule_Data_Mammoet_Orig!C98</f>
        <v>Jacking down of AGI TR Unit 6 on temporary support - Forklift and Crane required</v>
      </c>
      <c r="D97" s="31" t="str">
        <f>Schedule_Data_Mammoet_Orig!D98</f>
        <v>JACKDOWN</v>
      </c>
      <c r="E97" s="30">
        <f>Schedule_Data_Mammoet_Orig!F98</f>
        <v>46093</v>
      </c>
      <c r="F97" s="30">
        <f>Schedule_Data_Mammoet_Orig!G98</f>
        <v>46093</v>
      </c>
      <c r="G97" s="14">
        <f>Schedule_Data_Mammoet_Orig!H98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31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Schedule_Data_Mammoet_Orig!A99</f>
        <v>A3200</v>
      </c>
      <c r="B98" s="14" t="str">
        <f>Schedule_Data_Mammoet_Orig!B99</f>
        <v>A0</v>
      </c>
      <c r="C98" s="14" t="str">
        <f>Schedule_Data_Mammoet_Orig!C99</f>
        <v>SPMT shiifting from TR Bay Area to Jetty; Loading on LCT (if tide allows)</v>
      </c>
      <c r="D98" s="17" t="str">
        <f>Schedule_Data_Mammoet_Orig!D99</f>
        <v>BUFFER</v>
      </c>
      <c r="E98" s="30">
        <f>Schedule_Data_Mammoet_Orig!F99</f>
        <v>46092</v>
      </c>
      <c r="F98" s="30">
        <f>Schedule_Data_Mammoet_Orig!G99</f>
        <v>46092</v>
      </c>
      <c r="G98" s="14">
        <f>Schedule_Data_Mammoet_Orig!H99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7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Schedule_Data_Mammoet_Orig!A100</f>
        <v>A3210</v>
      </c>
      <c r="B99" s="14" t="str">
        <f>Schedule_Data_Mammoet_Orig!B100</f>
        <v>A0</v>
      </c>
      <c r="C99" s="14" t="str">
        <f>Schedule_Data_Mammoet_Orig!C100</f>
        <v>LCT Sail-away back to Mina Zayed Port; MMT SPMT Crew Demobilization</v>
      </c>
      <c r="D99" s="15" t="str">
        <f>Schedule_Data_Mammoet_Orig!D100</f>
        <v>MOBILIZATION</v>
      </c>
      <c r="E99" s="30">
        <f>Schedule_Data_Mammoet_Orig!F100</f>
        <v>46093</v>
      </c>
      <c r="F99" s="30">
        <f>Schedule_Data_Mammoet_Orig!G100</f>
        <v>46093</v>
      </c>
      <c r="G99" s="14">
        <f>Schedule_Data_Mammoet_Orig!H100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32" t="s">
        <v>272</v>
      </c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Schedule_Data_Mammoet_Orig!A101</f>
        <v>A3220</v>
      </c>
      <c r="B100" s="14" t="str">
        <f>Schedule_Data_Mammoet_Orig!B101</f>
        <v>A0</v>
      </c>
      <c r="C100" s="14" t="str">
        <f>Schedule_Data_Mammoet_Orig!C101</f>
        <v>MMT Jacking Crew Demobilization</v>
      </c>
      <c r="D100" s="15" t="str">
        <f>Schedule_Data_Mammoet_Orig!D101</f>
        <v>MOBILIZATION</v>
      </c>
      <c r="E100" s="30">
        <f>Schedule_Data_Mammoet_Orig!F101</f>
        <v>46093</v>
      </c>
      <c r="F100" s="30">
        <f>Schedule_Data_Mammoet_Orig!G101</f>
        <v>46093</v>
      </c>
      <c r="G100" s="14">
        <f>Schedule_Data_Mammoet_Orig!H101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32" t="s">
        <v>272</v>
      </c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Schedule_Data_Mammoet_Orig!A102</f>
        <v>AGI TR Unit 7</v>
      </c>
      <c r="B101" s="14" t="str">
        <f>Schedule_Data_Mammoet_Orig!B102</f>
        <v>A0</v>
      </c>
      <c r="C101" s="14" t="str">
        <f>Schedule_Data_Mammoet_Orig!C102</f>
        <v>AGI TR Unit 7</v>
      </c>
      <c r="D101" s="17" t="str">
        <f>Schedule_Data_Mammoet_Orig!D102</f>
        <v>BUFFER</v>
      </c>
      <c r="E101" s="30">
        <f>Schedule_Data_Mammoet_Orig!F102</f>
        <v>46103</v>
      </c>
      <c r="F101" s="30">
        <f>Schedule_Data_Mammoet_Orig!G102</f>
        <v>46103</v>
      </c>
      <c r="G101" s="14">
        <f>Schedule_Data_Mammoet_Orig!H102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7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Schedule_Data_Mammoet_Orig!A103</f>
        <v>A4030</v>
      </c>
      <c r="B102" s="14" t="str">
        <f>Schedule_Data_Mammoet_Orig!B103</f>
        <v>A0</v>
      </c>
      <c r="C102" s="14" t="str">
        <f>Schedule_Data_Mammoet_Orig!C103</f>
        <v>Loading of AGI TR Unit 7 on SPMT; lashing; Shifting to Mina Zayed Port RoRo Jetty area</v>
      </c>
      <c r="D102" s="17" t="str">
        <f>Schedule_Data_Mammoet_Orig!D103</f>
        <v>BUFFER</v>
      </c>
      <c r="E102" s="30">
        <f>Schedule_Data_Mammoet_Orig!F103</f>
        <v>46094</v>
      </c>
      <c r="F102" s="30">
        <f>Schedule_Data_Mammoet_Orig!G103</f>
        <v>46094.3</v>
      </c>
      <c r="G102" s="14">
        <f>Schedule_Data_Mammoet_Orig!H103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Schedule_Data_Mammoet_Orig!A104</f>
        <v>A4040</v>
      </c>
      <c r="B103" s="14" t="str">
        <f>Schedule_Data_Mammoet_Orig!B104</f>
        <v>A0</v>
      </c>
      <c r="C103" s="14" t="str">
        <f>Schedule_Data_Mammoet_Orig!C104</f>
        <v>RoRo Ramp Installation - 5t Frokift and Crane required</v>
      </c>
      <c r="D103" s="17" t="str">
        <f>Schedule_Data_Mammoet_Orig!D104</f>
        <v>BUFFER</v>
      </c>
      <c r="E103" s="30">
        <f>Schedule_Data_Mammoet_Orig!F104</f>
        <v>46094</v>
      </c>
      <c r="F103" s="30">
        <f>Schedule_Data_Mammoet_Orig!G104</f>
        <v>46094.3</v>
      </c>
      <c r="G103" s="14">
        <f>Schedule_Data_Mammoet_Orig!H104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Schedule_Data_Mammoet_Orig!A105</f>
        <v>A4060</v>
      </c>
      <c r="B104" s="14" t="str">
        <f>Schedule_Data_Mammoet_Orig!B105</f>
        <v>A0</v>
      </c>
      <c r="C104" s="14" t="str">
        <f>Schedule_Data_Mammoet_Orig!C105</f>
        <v>Load-out of AGL TR Unit 7; stool down</v>
      </c>
      <c r="D104" s="19" t="str">
        <f>Schedule_Data_Mammoet_Orig!D105</f>
        <v>LOADOUT</v>
      </c>
      <c r="E104" s="30">
        <f>Schedule_Data_Mammoet_Orig!F105</f>
        <v>46094</v>
      </c>
      <c r="F104" s="30">
        <f>Schedule_Data_Mammoet_Orig!G105</f>
        <v>46094.2</v>
      </c>
      <c r="G104" s="14">
        <f>Schedule_Data_Mammoet_Orig!H105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Schedule_Data_Mammoet_Orig!A106</f>
        <v>A4070</v>
      </c>
      <c r="B105" s="14" t="str">
        <f>Schedule_Data_Mammoet_Orig!B106</f>
        <v>A0</v>
      </c>
      <c r="C105" s="14" t="str">
        <f>Schedule_Data_Mammoet_Orig!C106</f>
        <v>RoRo ramp removal; Seafastening AGL TR Unit 7 - Crane required</v>
      </c>
      <c r="D105" s="20" t="str">
        <f>Schedule_Data_Mammoet_Orig!D106</f>
        <v>SEAFAST</v>
      </c>
      <c r="E105" s="30">
        <f>Schedule_Data_Mammoet_Orig!F106</f>
        <v>46094</v>
      </c>
      <c r="F105" s="30">
        <f>Schedule_Data_Mammoet_Orig!G106</f>
        <v>46094</v>
      </c>
      <c r="G105" s="14">
        <f>Schedule_Data_Mammoet_Orig!H106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20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Schedule_Data_Mammoet_Orig!A107</f>
        <v>A4080</v>
      </c>
      <c r="B106" s="14" t="str">
        <f>Schedule_Data_Mammoet_Orig!B107</f>
        <v>A0</v>
      </c>
      <c r="C106" s="14" t="str">
        <f>Schedule_Data_Mammoet_Orig!C107</f>
        <v>MWS + MPI + Final Preparations</v>
      </c>
      <c r="D106" s="17" t="str">
        <f>Schedule_Data_Mammoet_Orig!D107</f>
        <v>BUFFER</v>
      </c>
      <c r="E106" s="30">
        <f>Schedule_Data_Mammoet_Orig!F107</f>
        <v>46095</v>
      </c>
      <c r="F106" s="30">
        <f>Schedule_Data_Mammoet_Orig!G107</f>
        <v>46095.199999999997</v>
      </c>
      <c r="G106" s="14">
        <f>Schedule_Data_Mammoet_Orig!H107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Schedule_Data_Mammoet_Orig!A108</f>
        <v>A4081</v>
      </c>
      <c r="B107" s="14" t="str">
        <f>Schedule_Data_Mammoet_Orig!B108</f>
        <v>A0</v>
      </c>
      <c r="C107" s="14" t="str">
        <f>Schedule_Data_Mammoet_Orig!C108</f>
        <v>Sail-away - Marine Transportation by LCT to Al Ghallan Island</v>
      </c>
      <c r="D107" s="21" t="str">
        <f>Schedule_Data_Mammoet_Orig!D108</f>
        <v>SAIL</v>
      </c>
      <c r="E107" s="30">
        <f>Schedule_Data_Mammoet_Orig!F108</f>
        <v>46096</v>
      </c>
      <c r="F107" s="30">
        <f>Schedule_Data_Mammoet_Orig!G108</f>
        <v>46096</v>
      </c>
      <c r="G107" s="14">
        <f>Schedule_Data_Mammoet_Orig!H108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21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Schedule_Data_Mammoet_Orig!A109</f>
        <v>A4090</v>
      </c>
      <c r="B108" s="14" t="str">
        <f>Schedule_Data_Mammoet_Orig!B109</f>
        <v>A0</v>
      </c>
      <c r="C108" s="14" t="str">
        <f>Schedule_Data_Mammoet_Orig!C109</f>
        <v>MMT Crew Mob to AGI</v>
      </c>
      <c r="D108" s="17" t="str">
        <f>Schedule_Data_Mammoet_Orig!D109</f>
        <v>BUFFER</v>
      </c>
      <c r="E108" s="30">
        <f>Schedule_Data_Mammoet_Orig!F109</f>
        <v>46097</v>
      </c>
      <c r="F108" s="30">
        <f>Schedule_Data_Mammoet_Orig!G109</f>
        <v>46097</v>
      </c>
      <c r="G108" s="14">
        <f>Schedule_Data_Mammoet_Orig!H109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7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Schedule_Data_Mammoet_Orig!A110</f>
        <v>A4091</v>
      </c>
      <c r="B109" s="14" t="str">
        <f>Schedule_Data_Mammoet_Orig!B110</f>
        <v>A0</v>
      </c>
      <c r="C109" s="14" t="str">
        <f>Schedule_Data_Mammoet_Orig!C110</f>
        <v>LCT Arrival; Berthing at AGL RoRo Jetty</v>
      </c>
      <c r="D109" s="22" t="str">
        <f>Schedule_Data_Mammoet_Orig!D110</f>
        <v>AGI_UNLOAD</v>
      </c>
      <c r="E109" s="30">
        <f>Schedule_Data_Mammoet_Orig!F110</f>
        <v>46097</v>
      </c>
      <c r="F109" s="30">
        <f>Schedule_Data_Mammoet_Orig!G110</f>
        <v>46097</v>
      </c>
      <c r="G109" s="14">
        <f>Schedule_Data_Mammoet_Orig!H110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22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Schedule_Data_Mammoet_Orig!A111</f>
        <v>A4100</v>
      </c>
      <c r="B110" s="14" t="str">
        <f>Schedule_Data_Mammoet_Orig!B111</f>
        <v>A0</v>
      </c>
      <c r="C110" s="14" t="str">
        <f>Schedule_Data_Mammoet_Orig!C111</f>
        <v>Unlashing and cutting</v>
      </c>
      <c r="D110" s="17" t="str">
        <f>Schedule_Data_Mammoet_Orig!D111</f>
        <v>BUFFER</v>
      </c>
      <c r="E110" s="30">
        <f>Schedule_Data_Mammoet_Orig!F111</f>
        <v>46097</v>
      </c>
      <c r="F110" s="30">
        <f>Schedule_Data_Mammoet_Orig!G111</f>
        <v>46097</v>
      </c>
      <c r="G110" s="14">
        <f>Schedule_Data_Mammoet_Orig!H111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7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Schedule_Data_Mammoet_Orig!A112</f>
        <v>A4120</v>
      </c>
      <c r="B111" s="14" t="str">
        <f>Schedule_Data_Mammoet_Orig!B112</f>
        <v>A0</v>
      </c>
      <c r="C111" s="14" t="str">
        <f>Schedule_Data_Mammoet_Orig!C112</f>
        <v>Load-in of AGI TR Unit 7 (including RoRo Ramp Installation); store on Jetty - Crane required</v>
      </c>
      <c r="D111" s="19" t="str">
        <f>Schedule_Data_Mammoet_Orig!D112</f>
        <v>LOADOUT</v>
      </c>
      <c r="E111" s="30">
        <f>Schedule_Data_Mammoet_Orig!F112</f>
        <v>46098</v>
      </c>
      <c r="F111" s="30">
        <f>Schedule_Data_Mammoet_Orig!G112</f>
        <v>46098</v>
      </c>
      <c r="G111" s="14">
        <f>Schedule_Data_Mammoet_Orig!H112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9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Schedule_Data_Mammoet_Orig!A113</f>
        <v>A4121</v>
      </c>
      <c r="B112" s="14" t="str">
        <f>Schedule_Data_Mammoet_Orig!B113</f>
        <v>A0</v>
      </c>
      <c r="C112" s="14" t="str">
        <f>Schedule_Data_Mammoet_Orig!C113</f>
        <v>Steel bridge Installation 1</v>
      </c>
      <c r="D112" s="17" t="str">
        <f>Schedule_Data_Mammoet_Orig!D113</f>
        <v>BUFFER</v>
      </c>
      <c r="E112" s="30">
        <f>Schedule_Data_Mammoet_Orig!F113</f>
        <v>46099</v>
      </c>
      <c r="F112" s="30">
        <f>Schedule_Data_Mammoet_Orig!G113</f>
        <v>46099.3</v>
      </c>
      <c r="G112" s="14">
        <f>Schedule_Data_Mammoet_Orig!H113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Schedule_Data_Mammoet_Orig!A114</f>
        <v>A4140</v>
      </c>
      <c r="B113" s="14" t="str">
        <f>Schedule_Data_Mammoet_Orig!B114</f>
        <v>A0</v>
      </c>
      <c r="C113" s="14" t="str">
        <f>Schedule_Data_Mammoet_Orig!C114</f>
        <v>AGL TR Unit 7 load on SPMT</v>
      </c>
      <c r="D113" s="17" t="str">
        <f>Schedule_Data_Mammoet_Orig!D114</f>
        <v>BUFFER</v>
      </c>
      <c r="E113" s="30">
        <f>Schedule_Data_Mammoet_Orig!F114</f>
        <v>46099</v>
      </c>
      <c r="F113" s="30">
        <f>Schedule_Data_Mammoet_Orig!G114</f>
        <v>46099.7</v>
      </c>
      <c r="G113" s="14">
        <f>Schedule_Data_Mammoet_Orig!H114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Schedule_Data_Mammoet_Orig!A115</f>
        <v>A4141</v>
      </c>
      <c r="B114" s="14" t="str">
        <f>Schedule_Data_Mammoet_Orig!B115</f>
        <v>A0</v>
      </c>
      <c r="C114" s="14" t="str">
        <f>Schedule_Data_Mammoet_Orig!C115</f>
        <v>Turning of AGI TR Unit 7 - 10t Forklift required</v>
      </c>
      <c r="D114" s="23" t="str">
        <f>Schedule_Data_Mammoet_Orig!D115</f>
        <v>TURNING</v>
      </c>
      <c r="E114" s="30">
        <f>Schedule_Data_Mammoet_Orig!F115</f>
        <v>46100</v>
      </c>
      <c r="F114" s="30">
        <f>Schedule_Data_Mammoet_Orig!G115</f>
        <v>46100</v>
      </c>
      <c r="G114" s="14">
        <f>Schedule_Data_Mammoet_Orig!H115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23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Schedule_Data_Mammoet_Orig!A116</f>
        <v>A4150</v>
      </c>
      <c r="B115" s="14" t="str">
        <f>Schedule_Data_Mammoet_Orig!B116</f>
        <v>A0</v>
      </c>
      <c r="C115" s="14" t="str">
        <f>Schedule_Data_Mammoet_Orig!C116</f>
        <v>Jacking down of AGI TR Unit 7 on temporary support - Forklift and Crane required</v>
      </c>
      <c r="D115" s="31" t="str">
        <f>Schedule_Data_Mammoet_Orig!D116</f>
        <v>JACKDOWN</v>
      </c>
      <c r="E115" s="30">
        <f>Schedule_Data_Mammoet_Orig!F116</f>
        <v>46103</v>
      </c>
      <c r="F115" s="30">
        <f>Schedule_Data_Mammoet_Orig!G116</f>
        <v>46103</v>
      </c>
      <c r="G115" s="14">
        <f>Schedule_Data_Mammoet_Orig!H116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31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Schedule_Data_Mammoet_Orig!A117</f>
        <v>A4200</v>
      </c>
      <c r="B116" s="14" t="str">
        <f>Schedule_Data_Mammoet_Orig!B117</f>
        <v>A0</v>
      </c>
      <c r="C116" s="14" t="str">
        <f>Schedule_Data_Mammoet_Orig!C117</f>
        <v>SPMT shiifting from TR Bay Area to Jetty; Loading on LCT (if tide allows)</v>
      </c>
      <c r="D116" s="17" t="str">
        <f>Schedule_Data_Mammoet_Orig!D117</f>
        <v>BUFFER</v>
      </c>
      <c r="E116" s="30">
        <f>Schedule_Data_Mammoet_Orig!F117</f>
        <v>46102</v>
      </c>
      <c r="F116" s="30">
        <f>Schedule_Data_Mammoet_Orig!G117</f>
        <v>46102</v>
      </c>
      <c r="G116" s="14">
        <f>Schedule_Data_Mammoet_Orig!H117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7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Schedule_Data_Mammoet_Orig!A118</f>
        <v>A4210</v>
      </c>
      <c r="B117" s="14" t="str">
        <f>Schedule_Data_Mammoet_Orig!B118</f>
        <v>A0</v>
      </c>
      <c r="C117" s="14" t="str">
        <f>Schedule_Data_Mammoet_Orig!C118</f>
        <v>LCT Sail-away back to Mina Zayed Port; MMT SPMT Crew Demobilization</v>
      </c>
      <c r="D117" s="15" t="str">
        <f>Schedule_Data_Mammoet_Orig!D118</f>
        <v>MOBILIZATION</v>
      </c>
      <c r="E117" s="30">
        <f>Schedule_Data_Mammoet_Orig!F118</f>
        <v>46103</v>
      </c>
      <c r="F117" s="30">
        <f>Schedule_Data_Mammoet_Orig!G118</f>
        <v>46103</v>
      </c>
      <c r="G117" s="14">
        <f>Schedule_Data_Mammoet_Orig!H118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32" t="s">
        <v>272</v>
      </c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Schedule_Data_Mammoet_Orig!A119</f>
        <v>A4220</v>
      </c>
      <c r="B118" s="14" t="str">
        <f>Schedule_Data_Mammoet_Orig!B119</f>
        <v>A0</v>
      </c>
      <c r="C118" s="14" t="str">
        <f>Schedule_Data_Mammoet_Orig!C119</f>
        <v>MMT Jacking Crew Demobilization</v>
      </c>
      <c r="D118" s="15" t="str">
        <f>Schedule_Data_Mammoet_Orig!D119</f>
        <v>MOBILIZATION</v>
      </c>
      <c r="E118" s="30">
        <f>Schedule_Data_Mammoet_Orig!F119</f>
        <v>46103</v>
      </c>
      <c r="F118" s="30">
        <f>Schedule_Data_Mammoet_Orig!G119</f>
        <v>46103</v>
      </c>
      <c r="G118" s="14">
        <f>Schedule_Data_Mammoet_Orig!H119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32" t="s">
        <v>272</v>
      </c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43"/>
  <sheetViews>
    <sheetView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273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PROJECT_START+-3</f>
        <v>46037</v>
      </c>
      <c r="G6" s="16">
        <f t="shared" ref="G6:G37" si="0">F6+H6</f>
        <v>46037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PROJECT_START+-3</f>
        <v>46037</v>
      </c>
      <c r="G7" s="16">
        <f t="shared" si="0"/>
        <v>46037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274</v>
      </c>
      <c r="D8" s="15" t="s">
        <v>59</v>
      </c>
      <c r="E8" s="14" t="s">
        <v>61</v>
      </c>
      <c r="F8" s="16">
        <f>PROJECT_START+-3</f>
        <v>46037</v>
      </c>
      <c r="G8" s="16">
        <f t="shared" si="0"/>
        <v>46040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PROJECT_START+-3</f>
        <v>46037</v>
      </c>
      <c r="G9" s="16">
        <f t="shared" si="0"/>
        <v>46037</v>
      </c>
      <c r="H9" s="14">
        <f t="shared" ref="H9:H16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PROJECT_START+-3</f>
        <v>46037</v>
      </c>
      <c r="G10" s="16">
        <f t="shared" si="0"/>
        <v>46037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PROJECT_START+77</f>
        <v>46117</v>
      </c>
      <c r="G11" s="16">
        <f t="shared" si="0"/>
        <v>46117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PROJECT_START+-1</f>
        <v>46039</v>
      </c>
      <c r="G12" s="16">
        <f t="shared" si="0"/>
        <v>46039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PROJECT_START+-2</f>
        <v>46038</v>
      </c>
      <c r="G13" s="16">
        <f t="shared" si="0"/>
        <v>46038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PROJECT_START+-1</f>
        <v>46039</v>
      </c>
      <c r="G14" s="16">
        <f t="shared" si="0"/>
        <v>46039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PROJECT_START+0</f>
        <v>46040</v>
      </c>
      <c r="G15" s="16">
        <f t="shared" si="0"/>
        <v>46040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PROJECT_START+-2</f>
        <v>46038</v>
      </c>
      <c r="G16" s="16">
        <f t="shared" si="0"/>
        <v>46038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PROJECT_START+-1</f>
        <v>46039</v>
      </c>
      <c r="G17" s="16">
        <f t="shared" si="0"/>
        <v>46041</v>
      </c>
      <c r="H17" s="14">
        <v>2</v>
      </c>
      <c r="I17" s="14" t="s">
        <v>81</v>
      </c>
    </row>
    <row r="18" spans="1:9">
      <c r="A18" s="14" t="s">
        <v>275</v>
      </c>
      <c r="B18" s="14" t="s">
        <v>60</v>
      </c>
      <c r="C18" s="14" t="s">
        <v>275</v>
      </c>
      <c r="D18" s="17" t="s">
        <v>63</v>
      </c>
      <c r="E18" s="14" t="s">
        <v>61</v>
      </c>
      <c r="F18" s="16">
        <f>PROJECT_START+10</f>
        <v>46050</v>
      </c>
      <c r="G18" s="16">
        <f t="shared" si="0"/>
        <v>46050</v>
      </c>
      <c r="H18" s="14">
        <f>DUR_BUF</f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PROJECT_START+1</f>
        <v>46041</v>
      </c>
      <c r="G19" s="16">
        <f t="shared" si="0"/>
        <v>46041.3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276</v>
      </c>
      <c r="D20" s="17" t="s">
        <v>63</v>
      </c>
      <c r="E20" s="14" t="s">
        <v>61</v>
      </c>
      <c r="F20" s="16">
        <f>PROJECT_START+1</f>
        <v>46041</v>
      </c>
      <c r="G20" s="16">
        <f t="shared" si="0"/>
        <v>46041.3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277</v>
      </c>
      <c r="D21" s="19" t="s">
        <v>92</v>
      </c>
      <c r="E21" s="14" t="s">
        <v>61</v>
      </c>
      <c r="F21" s="16">
        <f>PROJECT_START+1</f>
        <v>46041</v>
      </c>
      <c r="G21" s="16">
        <f t="shared" si="0"/>
        <v>46041.2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278</v>
      </c>
      <c r="D22" s="20" t="s">
        <v>96</v>
      </c>
      <c r="E22" s="14" t="s">
        <v>61</v>
      </c>
      <c r="F22" s="16">
        <f>PROJECT_START+1</f>
        <v>46041</v>
      </c>
      <c r="G22" s="16">
        <f t="shared" si="0"/>
        <v>46041</v>
      </c>
      <c r="H22" s="14">
        <f>DUR_BUF</f>
        <v>0</v>
      </c>
      <c r="I22" s="14" t="s">
        <v>97</v>
      </c>
    </row>
    <row r="23" spans="1:9">
      <c r="A23" s="14" t="s">
        <v>109</v>
      </c>
      <c r="B23" s="14" t="s">
        <v>60</v>
      </c>
      <c r="C23" s="14" t="s">
        <v>110</v>
      </c>
      <c r="D23" s="17" t="s">
        <v>63</v>
      </c>
      <c r="E23" s="14" t="s">
        <v>61</v>
      </c>
      <c r="F23" s="16">
        <f>PROJECT_START+2</f>
        <v>46042</v>
      </c>
      <c r="G23" s="16">
        <f t="shared" si="0"/>
        <v>46042.2</v>
      </c>
      <c r="H23" s="14">
        <v>0.2</v>
      </c>
      <c r="I23" s="14" t="s">
        <v>97</v>
      </c>
    </row>
    <row r="24" spans="1:9">
      <c r="A24" s="14" t="s">
        <v>111</v>
      </c>
      <c r="B24" s="14" t="s">
        <v>60</v>
      </c>
      <c r="C24" s="14" t="s">
        <v>112</v>
      </c>
      <c r="D24" s="21" t="s">
        <v>113</v>
      </c>
      <c r="E24" s="14" t="s">
        <v>61</v>
      </c>
      <c r="F24" s="16">
        <f>PROJECT_START+3</f>
        <v>46043</v>
      </c>
      <c r="G24" s="16">
        <f t="shared" si="0"/>
        <v>46043</v>
      </c>
      <c r="H24" s="14">
        <f>DUR_SAIL</f>
        <v>0</v>
      </c>
      <c r="I24" s="14" t="s">
        <v>114</v>
      </c>
    </row>
    <row r="25" spans="1:9">
      <c r="A25" s="14" t="s">
        <v>115</v>
      </c>
      <c r="B25" s="14" t="s">
        <v>60</v>
      </c>
      <c r="C25" s="14" t="s">
        <v>116</v>
      </c>
      <c r="D25" s="17" t="s">
        <v>63</v>
      </c>
      <c r="E25" s="14" t="s">
        <v>61</v>
      </c>
      <c r="F25" s="16">
        <f>PROJECT_START+4</f>
        <v>46044</v>
      </c>
      <c r="G25" s="16">
        <f t="shared" si="0"/>
        <v>46044</v>
      </c>
      <c r="H25" s="14">
        <f>DUR_BUF</f>
        <v>0</v>
      </c>
      <c r="I25" s="14" t="s">
        <v>117</v>
      </c>
    </row>
    <row r="26" spans="1:9">
      <c r="A26" s="14" t="s">
        <v>118</v>
      </c>
      <c r="B26" s="14" t="s">
        <v>60</v>
      </c>
      <c r="C26" s="14" t="s">
        <v>279</v>
      </c>
      <c r="D26" s="22" t="s">
        <v>120</v>
      </c>
      <c r="E26" s="14" t="s">
        <v>61</v>
      </c>
      <c r="F26" s="16">
        <f>PROJECT_START+4</f>
        <v>46044</v>
      </c>
      <c r="G26" s="16">
        <f t="shared" si="0"/>
        <v>46044</v>
      </c>
      <c r="H26" s="14">
        <f>DUR_BUF</f>
        <v>0</v>
      </c>
      <c r="I26" s="14" t="s">
        <v>87</v>
      </c>
    </row>
    <row r="27" spans="1:9">
      <c r="A27" s="14" t="s">
        <v>121</v>
      </c>
      <c r="B27" s="14" t="s">
        <v>60</v>
      </c>
      <c r="C27" s="14" t="s">
        <v>122</v>
      </c>
      <c r="D27" s="17" t="s">
        <v>63</v>
      </c>
      <c r="E27" s="14" t="s">
        <v>61</v>
      </c>
      <c r="F27" s="16">
        <f>PROJECT_START+4</f>
        <v>46044</v>
      </c>
      <c r="G27" s="16">
        <f t="shared" si="0"/>
        <v>46044</v>
      </c>
      <c r="H27" s="14">
        <f>DUR_BUF</f>
        <v>0</v>
      </c>
      <c r="I27" s="14" t="s">
        <v>123</v>
      </c>
    </row>
    <row r="28" spans="1:9">
      <c r="A28" s="14" t="s">
        <v>126</v>
      </c>
      <c r="B28" s="14" t="s">
        <v>60</v>
      </c>
      <c r="C28" s="14" t="s">
        <v>127</v>
      </c>
      <c r="D28" s="19" t="s">
        <v>92</v>
      </c>
      <c r="E28" s="14" t="s">
        <v>61</v>
      </c>
      <c r="F28" s="16">
        <f>PROJECT_START+4</f>
        <v>46044</v>
      </c>
      <c r="G28" s="16">
        <f t="shared" si="0"/>
        <v>46044</v>
      </c>
      <c r="H28" s="14">
        <f>DUR_UL</f>
        <v>0</v>
      </c>
      <c r="I28" s="14" t="s">
        <v>87</v>
      </c>
    </row>
    <row r="29" spans="1:9">
      <c r="A29" s="14" t="s">
        <v>128</v>
      </c>
      <c r="B29" s="14" t="s">
        <v>60</v>
      </c>
      <c r="C29" s="14" t="s">
        <v>129</v>
      </c>
      <c r="D29" s="17" t="s">
        <v>63</v>
      </c>
      <c r="E29" s="14" t="s">
        <v>61</v>
      </c>
      <c r="F29" s="16">
        <f>PROJECT_START+5</f>
        <v>46045</v>
      </c>
      <c r="G29" s="16">
        <f t="shared" si="0"/>
        <v>46045.3</v>
      </c>
      <c r="H29" s="14">
        <v>0.3</v>
      </c>
      <c r="I29" s="14" t="s">
        <v>130</v>
      </c>
    </row>
    <row r="30" spans="1:9">
      <c r="A30" s="14" t="s">
        <v>131</v>
      </c>
      <c r="B30" s="14" t="s">
        <v>60</v>
      </c>
      <c r="C30" s="14" t="s">
        <v>280</v>
      </c>
      <c r="D30" s="17" t="s">
        <v>63</v>
      </c>
      <c r="E30" s="14" t="s">
        <v>61</v>
      </c>
      <c r="F30" s="16">
        <f>PROJECT_START+5</f>
        <v>46045</v>
      </c>
      <c r="G30" s="16">
        <f t="shared" si="0"/>
        <v>46045.7</v>
      </c>
      <c r="H30" s="14">
        <v>0.7</v>
      </c>
      <c r="I30" s="14" t="s">
        <v>133</v>
      </c>
    </row>
    <row r="31" spans="1:9">
      <c r="A31" s="14" t="s">
        <v>134</v>
      </c>
      <c r="B31" s="14" t="s">
        <v>60</v>
      </c>
      <c r="C31" s="14" t="s">
        <v>281</v>
      </c>
      <c r="D31" s="23" t="s">
        <v>136</v>
      </c>
      <c r="E31" s="14" t="s">
        <v>61</v>
      </c>
      <c r="F31" s="16">
        <f>PROJECT_START+5</f>
        <v>46045</v>
      </c>
      <c r="G31" s="16">
        <f t="shared" si="0"/>
        <v>46045</v>
      </c>
      <c r="H31" s="14">
        <f>DUR_TURN</f>
        <v>0</v>
      </c>
      <c r="I31" s="14" t="s">
        <v>137</v>
      </c>
    </row>
    <row r="32" spans="1:9">
      <c r="A32" s="24" t="s">
        <v>138</v>
      </c>
      <c r="B32" s="24" t="s">
        <v>60</v>
      </c>
      <c r="C32" s="24" t="s">
        <v>282</v>
      </c>
      <c r="D32" s="25" t="s">
        <v>140</v>
      </c>
      <c r="E32" s="24" t="s">
        <v>61</v>
      </c>
      <c r="F32" s="26">
        <f>PROJECT_START+8</f>
        <v>46048</v>
      </c>
      <c r="G32" s="26">
        <f t="shared" si="0"/>
        <v>46048</v>
      </c>
      <c r="H32" s="24">
        <f>DUR_JD</f>
        <v>0</v>
      </c>
      <c r="I32" s="24" t="s">
        <v>141</v>
      </c>
    </row>
    <row r="33" spans="1:9">
      <c r="A33" s="14" t="s">
        <v>150</v>
      </c>
      <c r="B33" s="14" t="s">
        <v>60</v>
      </c>
      <c r="C33" s="14" t="s">
        <v>283</v>
      </c>
      <c r="D33" s="17" t="s">
        <v>63</v>
      </c>
      <c r="E33" s="14" t="s">
        <v>61</v>
      </c>
      <c r="F33" s="16">
        <f>PROJECT_START+9</f>
        <v>46049</v>
      </c>
      <c r="G33" s="16">
        <f t="shared" si="0"/>
        <v>46049</v>
      </c>
      <c r="H33" s="14">
        <f>DUR_BUF</f>
        <v>0</v>
      </c>
      <c r="I33" s="14" t="s">
        <v>93</v>
      </c>
    </row>
    <row r="34" spans="1:9">
      <c r="A34" s="14" t="s">
        <v>152</v>
      </c>
      <c r="B34" s="14" t="s">
        <v>60</v>
      </c>
      <c r="C34" s="14" t="s">
        <v>153</v>
      </c>
      <c r="D34" s="15" t="s">
        <v>59</v>
      </c>
      <c r="E34" s="14" t="s">
        <v>61</v>
      </c>
      <c r="F34" s="16">
        <f>PROJECT_START+9</f>
        <v>46049</v>
      </c>
      <c r="G34" s="16">
        <f t="shared" si="0"/>
        <v>46049</v>
      </c>
      <c r="H34" s="14">
        <v>0</v>
      </c>
      <c r="I34" s="14" t="s">
        <v>154</v>
      </c>
    </row>
    <row r="35" spans="1:9">
      <c r="A35" s="14" t="s">
        <v>155</v>
      </c>
      <c r="B35" s="14" t="s">
        <v>60</v>
      </c>
      <c r="C35" s="14" t="s">
        <v>156</v>
      </c>
      <c r="D35" s="15" t="s">
        <v>59</v>
      </c>
      <c r="E35" s="14" t="s">
        <v>61</v>
      </c>
      <c r="F35" s="16">
        <f>PROJECT_START+10</f>
        <v>46050</v>
      </c>
      <c r="G35" s="16">
        <f t="shared" si="0"/>
        <v>46050</v>
      </c>
      <c r="H35" s="14">
        <v>0</v>
      </c>
      <c r="I35" s="14" t="s">
        <v>154</v>
      </c>
    </row>
    <row r="36" spans="1:9">
      <c r="A36" s="14" t="s">
        <v>284</v>
      </c>
      <c r="B36" s="14" t="s">
        <v>60</v>
      </c>
      <c r="C36" s="14" t="s">
        <v>284</v>
      </c>
      <c r="D36" s="17" t="s">
        <v>63</v>
      </c>
      <c r="E36" s="14" t="s">
        <v>61</v>
      </c>
      <c r="F36" s="16">
        <f>PROJECT_START+20</f>
        <v>46060</v>
      </c>
      <c r="G36" s="16">
        <f t="shared" si="0"/>
        <v>46060</v>
      </c>
      <c r="H36" s="14">
        <f>DUR_BUF</f>
        <v>0</v>
      </c>
      <c r="I36" s="14"/>
    </row>
    <row r="37" spans="1:9">
      <c r="A37" s="14" t="s">
        <v>158</v>
      </c>
      <c r="B37" s="14" t="s">
        <v>60</v>
      </c>
      <c r="C37" s="14" t="s">
        <v>285</v>
      </c>
      <c r="D37" s="17" t="s">
        <v>63</v>
      </c>
      <c r="E37" s="14" t="s">
        <v>61</v>
      </c>
      <c r="F37" s="16">
        <f>PROJECT_START+11</f>
        <v>46051</v>
      </c>
      <c r="G37" s="16">
        <f t="shared" si="0"/>
        <v>46051.3</v>
      </c>
      <c r="H37" s="14">
        <v>0.3</v>
      </c>
      <c r="I37" s="14" t="s">
        <v>87</v>
      </c>
    </row>
    <row r="38" spans="1:9">
      <c r="A38" s="14" t="s">
        <v>160</v>
      </c>
      <c r="B38" s="14" t="s">
        <v>60</v>
      </c>
      <c r="C38" s="14" t="s">
        <v>276</v>
      </c>
      <c r="D38" s="17" t="s">
        <v>63</v>
      </c>
      <c r="E38" s="14" t="s">
        <v>61</v>
      </c>
      <c r="F38" s="16">
        <f>PROJECT_START+11</f>
        <v>46051</v>
      </c>
      <c r="G38" s="16">
        <f t="shared" ref="G38:G69" si="2">F38+H38</f>
        <v>46051.3</v>
      </c>
      <c r="H38" s="14">
        <v>0.3</v>
      </c>
      <c r="I38" s="14" t="s">
        <v>87</v>
      </c>
    </row>
    <row r="39" spans="1:9">
      <c r="A39" s="14" t="s">
        <v>161</v>
      </c>
      <c r="B39" s="14" t="s">
        <v>60</v>
      </c>
      <c r="C39" s="14" t="s">
        <v>286</v>
      </c>
      <c r="D39" s="19" t="s">
        <v>92</v>
      </c>
      <c r="E39" s="14" t="s">
        <v>61</v>
      </c>
      <c r="F39" s="16">
        <f>PROJECT_START+11</f>
        <v>46051</v>
      </c>
      <c r="G39" s="16">
        <f t="shared" si="2"/>
        <v>46051.199999999997</v>
      </c>
      <c r="H39" s="14">
        <v>0.2</v>
      </c>
      <c r="I39" s="14" t="s">
        <v>93</v>
      </c>
    </row>
    <row r="40" spans="1:9">
      <c r="A40" s="14" t="s">
        <v>163</v>
      </c>
      <c r="B40" s="14" t="s">
        <v>60</v>
      </c>
      <c r="C40" s="14" t="s">
        <v>287</v>
      </c>
      <c r="D40" s="20" t="s">
        <v>96</v>
      </c>
      <c r="E40" s="14" t="s">
        <v>61</v>
      </c>
      <c r="F40" s="16">
        <f>PROJECT_START+11</f>
        <v>46051</v>
      </c>
      <c r="G40" s="16">
        <f t="shared" si="2"/>
        <v>46051</v>
      </c>
      <c r="H40" s="14">
        <f>DUR_BUF</f>
        <v>0</v>
      </c>
      <c r="I40" s="14" t="s">
        <v>97</v>
      </c>
    </row>
    <row r="41" spans="1:9">
      <c r="A41" s="14" t="s">
        <v>174</v>
      </c>
      <c r="B41" s="14" t="s">
        <v>60</v>
      </c>
      <c r="C41" s="14" t="s">
        <v>110</v>
      </c>
      <c r="D41" s="17" t="s">
        <v>63</v>
      </c>
      <c r="E41" s="14" t="s">
        <v>61</v>
      </c>
      <c r="F41" s="16">
        <f>PROJECT_START+12</f>
        <v>46052</v>
      </c>
      <c r="G41" s="16">
        <f t="shared" si="2"/>
        <v>46052.2</v>
      </c>
      <c r="H41" s="14">
        <v>0.2</v>
      </c>
      <c r="I41" s="14" t="s">
        <v>97</v>
      </c>
    </row>
    <row r="42" spans="1:9">
      <c r="A42" s="14" t="s">
        <v>175</v>
      </c>
      <c r="B42" s="14" t="s">
        <v>60</v>
      </c>
      <c r="C42" s="14" t="s">
        <v>112</v>
      </c>
      <c r="D42" s="21" t="s">
        <v>113</v>
      </c>
      <c r="E42" s="14" t="s">
        <v>61</v>
      </c>
      <c r="F42" s="16">
        <f>PROJECT_START+13</f>
        <v>46053</v>
      </c>
      <c r="G42" s="16">
        <f t="shared" si="2"/>
        <v>46053</v>
      </c>
      <c r="H42" s="14">
        <f>DUR_SAIL</f>
        <v>0</v>
      </c>
      <c r="I42" s="14" t="s">
        <v>114</v>
      </c>
    </row>
    <row r="43" spans="1:9">
      <c r="A43" s="14" t="s">
        <v>176</v>
      </c>
      <c r="B43" s="14" t="s">
        <v>60</v>
      </c>
      <c r="C43" s="14" t="s">
        <v>116</v>
      </c>
      <c r="D43" s="17" t="s">
        <v>63</v>
      </c>
      <c r="E43" s="14" t="s">
        <v>61</v>
      </c>
      <c r="F43" s="16">
        <f>PROJECT_START+14</f>
        <v>46054</v>
      </c>
      <c r="G43" s="16">
        <f t="shared" si="2"/>
        <v>46054</v>
      </c>
      <c r="H43" s="14">
        <f>DUR_BUF</f>
        <v>0</v>
      </c>
      <c r="I43" s="14" t="s">
        <v>117</v>
      </c>
    </row>
    <row r="44" spans="1:9">
      <c r="A44" s="14" t="s">
        <v>177</v>
      </c>
      <c r="B44" s="14" t="s">
        <v>60</v>
      </c>
      <c r="C44" s="14" t="s">
        <v>279</v>
      </c>
      <c r="D44" s="22" t="s">
        <v>120</v>
      </c>
      <c r="E44" s="14" t="s">
        <v>61</v>
      </c>
      <c r="F44" s="16">
        <f>PROJECT_START+14</f>
        <v>46054</v>
      </c>
      <c r="G44" s="16">
        <f t="shared" si="2"/>
        <v>46054</v>
      </c>
      <c r="H44" s="14">
        <f>DUR_BUF</f>
        <v>0</v>
      </c>
      <c r="I44" s="14" t="s">
        <v>87</v>
      </c>
    </row>
    <row r="45" spans="1:9">
      <c r="A45" s="14" t="s">
        <v>178</v>
      </c>
      <c r="B45" s="14" t="s">
        <v>60</v>
      </c>
      <c r="C45" s="14" t="s">
        <v>122</v>
      </c>
      <c r="D45" s="17" t="s">
        <v>63</v>
      </c>
      <c r="E45" s="14" t="s">
        <v>61</v>
      </c>
      <c r="F45" s="16">
        <f>PROJECT_START+14</f>
        <v>46054</v>
      </c>
      <c r="G45" s="16">
        <f t="shared" si="2"/>
        <v>46054</v>
      </c>
      <c r="H45" s="14">
        <f>DUR_BUF</f>
        <v>0</v>
      </c>
      <c r="I45" s="14" t="s">
        <v>123</v>
      </c>
    </row>
    <row r="46" spans="1:9">
      <c r="A46" s="14" t="s">
        <v>181</v>
      </c>
      <c r="B46" s="14" t="s">
        <v>60</v>
      </c>
      <c r="C46" s="14" t="s">
        <v>125</v>
      </c>
      <c r="D46" s="19" t="s">
        <v>92</v>
      </c>
      <c r="E46" s="14" t="s">
        <v>61</v>
      </c>
      <c r="F46" s="16">
        <f>PROJECT_START+14</f>
        <v>46054</v>
      </c>
      <c r="G46" s="16">
        <f t="shared" si="2"/>
        <v>46054</v>
      </c>
      <c r="H46" s="14">
        <f>DUR_UL</f>
        <v>0</v>
      </c>
      <c r="I46" s="14" t="s">
        <v>87</v>
      </c>
    </row>
    <row r="47" spans="1:9">
      <c r="A47" s="14" t="s">
        <v>183</v>
      </c>
      <c r="B47" s="14" t="s">
        <v>60</v>
      </c>
      <c r="C47" s="14" t="s">
        <v>129</v>
      </c>
      <c r="D47" s="17" t="s">
        <v>63</v>
      </c>
      <c r="E47" s="14" t="s">
        <v>61</v>
      </c>
      <c r="F47" s="16">
        <f>PROJECT_START+15</f>
        <v>46055</v>
      </c>
      <c r="G47" s="16">
        <f t="shared" si="2"/>
        <v>46055.3</v>
      </c>
      <c r="H47" s="14">
        <v>0.3</v>
      </c>
      <c r="I47" s="14" t="s">
        <v>130</v>
      </c>
    </row>
    <row r="48" spans="1:9">
      <c r="A48" s="14" t="s">
        <v>184</v>
      </c>
      <c r="B48" s="14" t="s">
        <v>60</v>
      </c>
      <c r="C48" s="14" t="s">
        <v>288</v>
      </c>
      <c r="D48" s="17" t="s">
        <v>63</v>
      </c>
      <c r="E48" s="14" t="s">
        <v>61</v>
      </c>
      <c r="F48" s="16">
        <f>PROJECT_START+15</f>
        <v>46055</v>
      </c>
      <c r="G48" s="16">
        <f t="shared" si="2"/>
        <v>46055.7</v>
      </c>
      <c r="H48" s="14">
        <v>0.7</v>
      </c>
      <c r="I48" s="14" t="s">
        <v>133</v>
      </c>
    </row>
    <row r="49" spans="1:9">
      <c r="A49" s="14" t="s">
        <v>186</v>
      </c>
      <c r="B49" s="14" t="s">
        <v>60</v>
      </c>
      <c r="C49" s="14" t="s">
        <v>289</v>
      </c>
      <c r="D49" s="23" t="s">
        <v>136</v>
      </c>
      <c r="E49" s="14" t="s">
        <v>61</v>
      </c>
      <c r="F49" s="16">
        <f>PROJECT_START+15</f>
        <v>46055</v>
      </c>
      <c r="G49" s="16">
        <f t="shared" si="2"/>
        <v>46055</v>
      </c>
      <c r="H49" s="14">
        <f>DUR_TURN</f>
        <v>0</v>
      </c>
      <c r="I49" s="14" t="s">
        <v>137</v>
      </c>
    </row>
    <row r="50" spans="1:9">
      <c r="A50" s="24" t="s">
        <v>188</v>
      </c>
      <c r="B50" s="24" t="s">
        <v>60</v>
      </c>
      <c r="C50" s="24" t="s">
        <v>290</v>
      </c>
      <c r="D50" s="25" t="s">
        <v>140</v>
      </c>
      <c r="E50" s="24" t="s">
        <v>61</v>
      </c>
      <c r="F50" s="26">
        <f>PROJECT_START+18</f>
        <v>46058</v>
      </c>
      <c r="G50" s="26">
        <f t="shared" si="2"/>
        <v>46058</v>
      </c>
      <c r="H50" s="24">
        <f>DUR_JD</f>
        <v>0</v>
      </c>
      <c r="I50" s="24" t="s">
        <v>141</v>
      </c>
    </row>
    <row r="51" spans="1:9">
      <c r="A51" s="14" t="s">
        <v>197</v>
      </c>
      <c r="B51" s="14" t="s">
        <v>60</v>
      </c>
      <c r="C51" s="14" t="s">
        <v>283</v>
      </c>
      <c r="D51" s="17" t="s">
        <v>63</v>
      </c>
      <c r="E51" s="14" t="s">
        <v>61</v>
      </c>
      <c r="F51" s="16">
        <f>PROJECT_START+19</f>
        <v>46059</v>
      </c>
      <c r="G51" s="16">
        <f t="shared" si="2"/>
        <v>46059</v>
      </c>
      <c r="H51" s="14">
        <f>DUR_BUF</f>
        <v>0</v>
      </c>
      <c r="I51" s="14" t="s">
        <v>93</v>
      </c>
    </row>
    <row r="52" spans="1:9">
      <c r="A52" s="14" t="s">
        <v>198</v>
      </c>
      <c r="B52" s="14" t="s">
        <v>60</v>
      </c>
      <c r="C52" s="14" t="s">
        <v>153</v>
      </c>
      <c r="D52" s="15" t="s">
        <v>59</v>
      </c>
      <c r="E52" s="14" t="s">
        <v>61</v>
      </c>
      <c r="F52" s="16">
        <f>PROJECT_START+19</f>
        <v>46059</v>
      </c>
      <c r="G52" s="16">
        <f t="shared" si="2"/>
        <v>46059</v>
      </c>
      <c r="H52" s="14">
        <v>0</v>
      </c>
      <c r="I52" s="14" t="s">
        <v>154</v>
      </c>
    </row>
    <row r="53" spans="1:9">
      <c r="A53" s="14" t="s">
        <v>199</v>
      </c>
      <c r="B53" s="14" t="s">
        <v>60</v>
      </c>
      <c r="C53" s="14" t="s">
        <v>156</v>
      </c>
      <c r="D53" s="15" t="s">
        <v>59</v>
      </c>
      <c r="E53" s="14" t="s">
        <v>61</v>
      </c>
      <c r="F53" s="16">
        <f>PROJECT_START+20</f>
        <v>46060</v>
      </c>
      <c r="G53" s="16">
        <f t="shared" si="2"/>
        <v>46060</v>
      </c>
      <c r="H53" s="14">
        <v>0</v>
      </c>
      <c r="I53" s="14" t="s">
        <v>154</v>
      </c>
    </row>
    <row r="54" spans="1:9">
      <c r="A54" s="14" t="s">
        <v>291</v>
      </c>
      <c r="B54" s="14" t="s">
        <v>60</v>
      </c>
      <c r="C54" s="14" t="s">
        <v>291</v>
      </c>
      <c r="D54" s="17" t="s">
        <v>63</v>
      </c>
      <c r="E54" s="14" t="s">
        <v>61</v>
      </c>
      <c r="F54" s="16">
        <f>PROJECT_START+37</f>
        <v>46077</v>
      </c>
      <c r="G54" s="16">
        <f t="shared" si="2"/>
        <v>46077</v>
      </c>
      <c r="H54" s="14">
        <f>DUR_BUF</f>
        <v>0</v>
      </c>
      <c r="I54" s="14"/>
    </row>
    <row r="55" spans="1:9">
      <c r="A55" s="14" t="s">
        <v>201</v>
      </c>
      <c r="B55" s="14" t="s">
        <v>60</v>
      </c>
      <c r="C55" s="14" t="s">
        <v>159</v>
      </c>
      <c r="D55" s="17" t="s">
        <v>63</v>
      </c>
      <c r="E55" s="14" t="s">
        <v>61</v>
      </c>
      <c r="F55" s="16">
        <f>PROJECT_START+28</f>
        <v>46068</v>
      </c>
      <c r="G55" s="16">
        <f t="shared" si="2"/>
        <v>46068.3</v>
      </c>
      <c r="H55" s="14">
        <v>0.3</v>
      </c>
      <c r="I55" s="14" t="s">
        <v>87</v>
      </c>
    </row>
    <row r="56" spans="1:9">
      <c r="A56" s="14" t="s">
        <v>203</v>
      </c>
      <c r="B56" s="14" t="s">
        <v>60</v>
      </c>
      <c r="C56" s="14" t="s">
        <v>276</v>
      </c>
      <c r="D56" s="17" t="s">
        <v>63</v>
      </c>
      <c r="E56" s="14" t="s">
        <v>61</v>
      </c>
      <c r="F56" s="16">
        <f>PROJECT_START+28</f>
        <v>46068</v>
      </c>
      <c r="G56" s="16">
        <f t="shared" si="2"/>
        <v>46068.3</v>
      </c>
      <c r="H56" s="14">
        <v>0.3</v>
      </c>
      <c r="I56" s="14" t="s">
        <v>87</v>
      </c>
    </row>
    <row r="57" spans="1:9">
      <c r="A57" s="14" t="s">
        <v>204</v>
      </c>
      <c r="B57" s="14" t="s">
        <v>60</v>
      </c>
      <c r="C57" s="14" t="s">
        <v>292</v>
      </c>
      <c r="D57" s="19" t="s">
        <v>92</v>
      </c>
      <c r="E57" s="14" t="s">
        <v>61</v>
      </c>
      <c r="F57" s="16">
        <f>PROJECT_START+28</f>
        <v>46068</v>
      </c>
      <c r="G57" s="16">
        <f t="shared" si="2"/>
        <v>46068.2</v>
      </c>
      <c r="H57" s="14">
        <v>0.2</v>
      </c>
      <c r="I57" s="14" t="s">
        <v>93</v>
      </c>
    </row>
    <row r="58" spans="1:9">
      <c r="A58" s="14" t="s">
        <v>206</v>
      </c>
      <c r="B58" s="14" t="s">
        <v>60</v>
      </c>
      <c r="C58" s="14" t="s">
        <v>293</v>
      </c>
      <c r="D58" s="20" t="s">
        <v>96</v>
      </c>
      <c r="E58" s="14" t="s">
        <v>61</v>
      </c>
      <c r="F58" s="16">
        <f>PROJECT_START+28</f>
        <v>46068</v>
      </c>
      <c r="G58" s="16">
        <f t="shared" si="2"/>
        <v>46068</v>
      </c>
      <c r="H58" s="14">
        <f>DUR_BUF</f>
        <v>0</v>
      </c>
      <c r="I58" s="14" t="s">
        <v>97</v>
      </c>
    </row>
    <row r="59" spans="1:9">
      <c r="A59" s="14" t="s">
        <v>217</v>
      </c>
      <c r="B59" s="14" t="s">
        <v>60</v>
      </c>
      <c r="C59" s="14" t="s">
        <v>110</v>
      </c>
      <c r="D59" s="17" t="s">
        <v>63</v>
      </c>
      <c r="E59" s="14" t="s">
        <v>61</v>
      </c>
      <c r="F59" s="16">
        <f>PROJECT_START+29</f>
        <v>46069</v>
      </c>
      <c r="G59" s="16">
        <f t="shared" si="2"/>
        <v>46069.2</v>
      </c>
      <c r="H59" s="14">
        <v>0.2</v>
      </c>
      <c r="I59" s="14" t="s">
        <v>97</v>
      </c>
    </row>
    <row r="60" spans="1:9">
      <c r="A60" s="14" t="s">
        <v>218</v>
      </c>
      <c r="B60" s="14" t="s">
        <v>60</v>
      </c>
      <c r="C60" s="14" t="s">
        <v>112</v>
      </c>
      <c r="D60" s="21" t="s">
        <v>113</v>
      </c>
      <c r="E60" s="14" t="s">
        <v>61</v>
      </c>
      <c r="F60" s="16">
        <f>PROJECT_START+30</f>
        <v>46070</v>
      </c>
      <c r="G60" s="16">
        <f t="shared" si="2"/>
        <v>46070</v>
      </c>
      <c r="H60" s="14">
        <f>DUR_SAIL</f>
        <v>0</v>
      </c>
      <c r="I60" s="14" t="s">
        <v>114</v>
      </c>
    </row>
    <row r="61" spans="1:9">
      <c r="A61" s="14" t="s">
        <v>219</v>
      </c>
      <c r="B61" s="14" t="s">
        <v>60</v>
      </c>
      <c r="C61" s="14" t="s">
        <v>116</v>
      </c>
      <c r="D61" s="17" t="s">
        <v>63</v>
      </c>
      <c r="E61" s="14" t="s">
        <v>61</v>
      </c>
      <c r="F61" s="16">
        <f>PROJECT_START+31</f>
        <v>46071</v>
      </c>
      <c r="G61" s="16">
        <f t="shared" si="2"/>
        <v>46071</v>
      </c>
      <c r="H61" s="14">
        <f>DUR_BUF</f>
        <v>0</v>
      </c>
      <c r="I61" s="14" t="s">
        <v>117</v>
      </c>
    </row>
    <row r="62" spans="1:9">
      <c r="A62" s="14" t="s">
        <v>220</v>
      </c>
      <c r="B62" s="14" t="s">
        <v>60</v>
      </c>
      <c r="C62" s="14" t="s">
        <v>279</v>
      </c>
      <c r="D62" s="22" t="s">
        <v>120</v>
      </c>
      <c r="E62" s="14" t="s">
        <v>61</v>
      </c>
      <c r="F62" s="16">
        <f>PROJECT_START+31</f>
        <v>46071</v>
      </c>
      <c r="G62" s="16">
        <f t="shared" si="2"/>
        <v>46071</v>
      </c>
      <c r="H62" s="14">
        <f>DUR_BUF</f>
        <v>0</v>
      </c>
      <c r="I62" s="14" t="s">
        <v>87</v>
      </c>
    </row>
    <row r="63" spans="1:9">
      <c r="A63" s="14" t="s">
        <v>221</v>
      </c>
      <c r="B63" s="14" t="s">
        <v>60</v>
      </c>
      <c r="C63" s="14" t="s">
        <v>122</v>
      </c>
      <c r="D63" s="17" t="s">
        <v>63</v>
      </c>
      <c r="E63" s="14" t="s">
        <v>61</v>
      </c>
      <c r="F63" s="16">
        <f>PROJECT_START+31</f>
        <v>46071</v>
      </c>
      <c r="G63" s="16">
        <f t="shared" si="2"/>
        <v>46071</v>
      </c>
      <c r="H63" s="14">
        <f>DUR_BUF</f>
        <v>0</v>
      </c>
      <c r="I63" s="14" t="s">
        <v>123</v>
      </c>
    </row>
    <row r="64" spans="1:9">
      <c r="A64" s="14" t="s">
        <v>224</v>
      </c>
      <c r="B64" s="14" t="s">
        <v>60</v>
      </c>
      <c r="C64" s="14" t="s">
        <v>182</v>
      </c>
      <c r="D64" s="19" t="s">
        <v>92</v>
      </c>
      <c r="E64" s="14" t="s">
        <v>61</v>
      </c>
      <c r="F64" s="16">
        <f>PROJECT_START+31</f>
        <v>46071</v>
      </c>
      <c r="G64" s="16">
        <f t="shared" si="2"/>
        <v>46071</v>
      </c>
      <c r="H64" s="14">
        <f>DUR_UL</f>
        <v>0</v>
      </c>
      <c r="I64" s="14" t="s">
        <v>87</v>
      </c>
    </row>
    <row r="65" spans="1:9">
      <c r="A65" s="14" t="s">
        <v>226</v>
      </c>
      <c r="B65" s="14" t="s">
        <v>60</v>
      </c>
      <c r="C65" s="14" t="s">
        <v>129</v>
      </c>
      <c r="D65" s="17" t="s">
        <v>63</v>
      </c>
      <c r="E65" s="14" t="s">
        <v>61</v>
      </c>
      <c r="F65" s="16">
        <f>PROJECT_START+32</f>
        <v>46072</v>
      </c>
      <c r="G65" s="16">
        <f t="shared" si="2"/>
        <v>46072.3</v>
      </c>
      <c r="H65" s="14">
        <v>0.3</v>
      </c>
      <c r="I65" s="14" t="s">
        <v>130</v>
      </c>
    </row>
    <row r="66" spans="1:9">
      <c r="A66" s="14" t="s">
        <v>227</v>
      </c>
      <c r="B66" s="14" t="s">
        <v>60</v>
      </c>
      <c r="C66" s="14" t="s">
        <v>294</v>
      </c>
      <c r="D66" s="17" t="s">
        <v>63</v>
      </c>
      <c r="E66" s="14" t="s">
        <v>61</v>
      </c>
      <c r="F66" s="16">
        <f>PROJECT_START+32</f>
        <v>46072</v>
      </c>
      <c r="G66" s="16">
        <f t="shared" si="2"/>
        <v>46072.7</v>
      </c>
      <c r="H66" s="14">
        <v>0.7</v>
      </c>
      <c r="I66" s="14" t="s">
        <v>133</v>
      </c>
    </row>
    <row r="67" spans="1:9">
      <c r="A67" s="14" t="s">
        <v>229</v>
      </c>
      <c r="B67" s="14" t="s">
        <v>60</v>
      </c>
      <c r="C67" s="14" t="s">
        <v>187</v>
      </c>
      <c r="D67" s="23" t="s">
        <v>136</v>
      </c>
      <c r="E67" s="14" t="s">
        <v>61</v>
      </c>
      <c r="F67" s="16">
        <f>PROJECT_START+32</f>
        <v>46072</v>
      </c>
      <c r="G67" s="16">
        <f t="shared" si="2"/>
        <v>46072</v>
      </c>
      <c r="H67" s="14">
        <f>DUR_TURN</f>
        <v>0</v>
      </c>
      <c r="I67" s="14" t="s">
        <v>137</v>
      </c>
    </row>
    <row r="68" spans="1:9">
      <c r="A68" s="24" t="s">
        <v>231</v>
      </c>
      <c r="B68" s="24" t="s">
        <v>60</v>
      </c>
      <c r="C68" s="24" t="s">
        <v>189</v>
      </c>
      <c r="D68" s="25" t="s">
        <v>140</v>
      </c>
      <c r="E68" s="24" t="s">
        <v>61</v>
      </c>
      <c r="F68" s="26">
        <f>PROJECT_START+35</f>
        <v>46075</v>
      </c>
      <c r="G68" s="26">
        <f t="shared" si="2"/>
        <v>46075</v>
      </c>
      <c r="H68" s="24">
        <f>DUR_JD</f>
        <v>0</v>
      </c>
      <c r="I68" s="24" t="s">
        <v>141</v>
      </c>
    </row>
    <row r="69" spans="1:9">
      <c r="A69" s="14" t="s">
        <v>240</v>
      </c>
      <c r="B69" s="14" t="s">
        <v>60</v>
      </c>
      <c r="C69" s="14" t="s">
        <v>283</v>
      </c>
      <c r="D69" s="17" t="s">
        <v>63</v>
      </c>
      <c r="E69" s="14" t="s">
        <v>61</v>
      </c>
      <c r="F69" s="16">
        <f>PROJECT_START+36</f>
        <v>46076</v>
      </c>
      <c r="G69" s="16">
        <f t="shared" si="2"/>
        <v>46076</v>
      </c>
      <c r="H69" s="14">
        <f>DUR_BUF</f>
        <v>0</v>
      </c>
      <c r="I69" s="14" t="s">
        <v>93</v>
      </c>
    </row>
    <row r="70" spans="1:9">
      <c r="A70" s="14" t="s">
        <v>241</v>
      </c>
      <c r="B70" s="14" t="s">
        <v>60</v>
      </c>
      <c r="C70" s="14" t="s">
        <v>153</v>
      </c>
      <c r="D70" s="15" t="s">
        <v>59</v>
      </c>
      <c r="E70" s="14" t="s">
        <v>61</v>
      </c>
      <c r="F70" s="16">
        <f>PROJECT_START+36</f>
        <v>46076</v>
      </c>
      <c r="G70" s="16">
        <f t="shared" ref="G70:G101" si="3">F70+H70</f>
        <v>46076</v>
      </c>
      <c r="H70" s="14">
        <v>0</v>
      </c>
      <c r="I70" s="14" t="s">
        <v>154</v>
      </c>
    </row>
    <row r="71" spans="1:9">
      <c r="A71" s="14" t="s">
        <v>242</v>
      </c>
      <c r="B71" s="14" t="s">
        <v>60</v>
      </c>
      <c r="C71" s="14" t="s">
        <v>156</v>
      </c>
      <c r="D71" s="15" t="s">
        <v>59</v>
      </c>
      <c r="E71" s="14" t="s">
        <v>61</v>
      </c>
      <c r="F71" s="16">
        <f>PROJECT_START+37</f>
        <v>46077</v>
      </c>
      <c r="G71" s="16">
        <f t="shared" si="3"/>
        <v>46077</v>
      </c>
      <c r="H71" s="14">
        <v>0</v>
      </c>
      <c r="I71" s="14" t="s">
        <v>154</v>
      </c>
    </row>
    <row r="72" spans="1:9">
      <c r="A72" s="14" t="s">
        <v>295</v>
      </c>
      <c r="B72" s="14" t="s">
        <v>60</v>
      </c>
      <c r="C72" s="14" t="s">
        <v>295</v>
      </c>
      <c r="D72" s="17" t="s">
        <v>63</v>
      </c>
      <c r="E72" s="14" t="s">
        <v>61</v>
      </c>
      <c r="F72" s="16">
        <f>PROJECT_START+47</f>
        <v>46087</v>
      </c>
      <c r="G72" s="16">
        <f t="shared" si="3"/>
        <v>46087</v>
      </c>
      <c r="H72" s="14">
        <f>DUR_BUF</f>
        <v>0</v>
      </c>
      <c r="I72" s="14"/>
    </row>
    <row r="73" spans="1:9">
      <c r="A73" s="14" t="s">
        <v>244</v>
      </c>
      <c r="B73" s="14" t="s">
        <v>60</v>
      </c>
      <c r="C73" s="14" t="s">
        <v>296</v>
      </c>
      <c r="D73" s="17" t="s">
        <v>63</v>
      </c>
      <c r="E73" s="14" t="s">
        <v>61</v>
      </c>
      <c r="F73" s="16">
        <f>PROJECT_START+38</f>
        <v>46078</v>
      </c>
      <c r="G73" s="16">
        <f t="shared" si="3"/>
        <v>46078.3</v>
      </c>
      <c r="H73" s="14">
        <v>0.3</v>
      </c>
      <c r="I73" s="14" t="s">
        <v>87</v>
      </c>
    </row>
    <row r="74" spans="1:9">
      <c r="A74" s="14" t="s">
        <v>246</v>
      </c>
      <c r="B74" s="14" t="s">
        <v>60</v>
      </c>
      <c r="C74" s="14" t="s">
        <v>276</v>
      </c>
      <c r="D74" s="17" t="s">
        <v>63</v>
      </c>
      <c r="E74" s="14" t="s">
        <v>61</v>
      </c>
      <c r="F74" s="16">
        <f>PROJECT_START+38</f>
        <v>46078</v>
      </c>
      <c r="G74" s="16">
        <f t="shared" si="3"/>
        <v>46078.3</v>
      </c>
      <c r="H74" s="14">
        <v>0.3</v>
      </c>
      <c r="I74" s="14" t="s">
        <v>87</v>
      </c>
    </row>
    <row r="75" spans="1:9">
      <c r="A75" s="14" t="s">
        <v>247</v>
      </c>
      <c r="B75" s="14" t="s">
        <v>60</v>
      </c>
      <c r="C75" s="14" t="s">
        <v>297</v>
      </c>
      <c r="D75" s="19" t="s">
        <v>92</v>
      </c>
      <c r="E75" s="14" t="s">
        <v>61</v>
      </c>
      <c r="F75" s="16">
        <f>PROJECT_START+38</f>
        <v>46078</v>
      </c>
      <c r="G75" s="16">
        <f t="shared" si="3"/>
        <v>46078.2</v>
      </c>
      <c r="H75" s="14">
        <v>0.2</v>
      </c>
      <c r="I75" s="14" t="s">
        <v>93</v>
      </c>
    </row>
    <row r="76" spans="1:9">
      <c r="A76" s="14" t="s">
        <v>249</v>
      </c>
      <c r="B76" s="14" t="s">
        <v>60</v>
      </c>
      <c r="C76" s="14" t="s">
        <v>298</v>
      </c>
      <c r="D76" s="20" t="s">
        <v>96</v>
      </c>
      <c r="E76" s="14" t="s">
        <v>61</v>
      </c>
      <c r="F76" s="16">
        <f>PROJECT_START+38</f>
        <v>46078</v>
      </c>
      <c r="G76" s="16">
        <f t="shared" si="3"/>
        <v>46078</v>
      </c>
      <c r="H76" s="14">
        <f>DUR_BUF</f>
        <v>0</v>
      </c>
      <c r="I76" s="14" t="s">
        <v>97</v>
      </c>
    </row>
    <row r="77" spans="1:9">
      <c r="A77" s="14" t="s">
        <v>251</v>
      </c>
      <c r="B77" s="14" t="s">
        <v>60</v>
      </c>
      <c r="C77" s="14" t="s">
        <v>110</v>
      </c>
      <c r="D77" s="17" t="s">
        <v>63</v>
      </c>
      <c r="E77" s="14" t="s">
        <v>61</v>
      </c>
      <c r="F77" s="16">
        <f>PROJECT_START+39</f>
        <v>46079</v>
      </c>
      <c r="G77" s="16">
        <f t="shared" si="3"/>
        <v>46079.199999999997</v>
      </c>
      <c r="H77" s="14">
        <v>0.2</v>
      </c>
      <c r="I77" s="14" t="s">
        <v>97</v>
      </c>
    </row>
    <row r="78" spans="1:9">
      <c r="A78" s="14" t="s">
        <v>252</v>
      </c>
      <c r="B78" s="14" t="s">
        <v>60</v>
      </c>
      <c r="C78" s="14" t="s">
        <v>112</v>
      </c>
      <c r="D78" s="21" t="s">
        <v>113</v>
      </c>
      <c r="E78" s="14" t="s">
        <v>61</v>
      </c>
      <c r="F78" s="16">
        <f>PROJECT_START+40</f>
        <v>46080</v>
      </c>
      <c r="G78" s="16">
        <f t="shared" si="3"/>
        <v>46080</v>
      </c>
      <c r="H78" s="14">
        <f>DUR_SAIL</f>
        <v>0</v>
      </c>
      <c r="I78" s="14" t="s">
        <v>114</v>
      </c>
    </row>
    <row r="79" spans="1:9">
      <c r="A79" s="14" t="s">
        <v>253</v>
      </c>
      <c r="B79" s="14" t="s">
        <v>60</v>
      </c>
      <c r="C79" s="14" t="s">
        <v>116</v>
      </c>
      <c r="D79" s="17" t="s">
        <v>63</v>
      </c>
      <c r="E79" s="14" t="s">
        <v>61</v>
      </c>
      <c r="F79" s="16">
        <f>PROJECT_START+41</f>
        <v>46081</v>
      </c>
      <c r="G79" s="16">
        <f t="shared" si="3"/>
        <v>46081</v>
      </c>
      <c r="H79" s="14">
        <f>DUR_BUF</f>
        <v>0</v>
      </c>
      <c r="I79" s="14" t="s">
        <v>117</v>
      </c>
    </row>
    <row r="80" spans="1:9">
      <c r="A80" s="14" t="s">
        <v>254</v>
      </c>
      <c r="B80" s="14" t="s">
        <v>60</v>
      </c>
      <c r="C80" s="14" t="s">
        <v>279</v>
      </c>
      <c r="D80" s="22" t="s">
        <v>120</v>
      </c>
      <c r="E80" s="14" t="s">
        <v>61</v>
      </c>
      <c r="F80" s="16">
        <f>PROJECT_START+41</f>
        <v>46081</v>
      </c>
      <c r="G80" s="16">
        <f t="shared" si="3"/>
        <v>46081</v>
      </c>
      <c r="H80" s="14">
        <f>DUR_BUF</f>
        <v>0</v>
      </c>
      <c r="I80" s="14" t="s">
        <v>87</v>
      </c>
    </row>
    <row r="81" spans="1:9">
      <c r="A81" s="14" t="s">
        <v>255</v>
      </c>
      <c r="B81" s="14" t="s">
        <v>60</v>
      </c>
      <c r="C81" s="14" t="s">
        <v>122</v>
      </c>
      <c r="D81" s="17" t="s">
        <v>63</v>
      </c>
      <c r="E81" s="14" t="s">
        <v>61</v>
      </c>
      <c r="F81" s="16">
        <f>PROJECT_START+41</f>
        <v>46081</v>
      </c>
      <c r="G81" s="16">
        <f t="shared" si="3"/>
        <v>46081</v>
      </c>
      <c r="H81" s="14">
        <f>DUR_BUF</f>
        <v>0</v>
      </c>
      <c r="I81" s="14" t="s">
        <v>123</v>
      </c>
    </row>
    <row r="82" spans="1:9">
      <c r="A82" s="14" t="s">
        <v>256</v>
      </c>
      <c r="B82" s="14" t="s">
        <v>60</v>
      </c>
      <c r="C82" s="14" t="s">
        <v>180</v>
      </c>
      <c r="D82" s="19" t="s">
        <v>92</v>
      </c>
      <c r="E82" s="14" t="s">
        <v>61</v>
      </c>
      <c r="F82" s="16">
        <f>PROJECT_START+41</f>
        <v>46081</v>
      </c>
      <c r="G82" s="16">
        <f t="shared" si="3"/>
        <v>46081</v>
      </c>
      <c r="H82" s="14">
        <f>DUR_UL</f>
        <v>0</v>
      </c>
      <c r="I82" s="14" t="s">
        <v>87</v>
      </c>
    </row>
    <row r="83" spans="1:9">
      <c r="A83" s="14" t="s">
        <v>258</v>
      </c>
      <c r="B83" s="14" t="s">
        <v>60</v>
      </c>
      <c r="C83" s="14" t="s">
        <v>129</v>
      </c>
      <c r="D83" s="17" t="s">
        <v>63</v>
      </c>
      <c r="E83" s="14" t="s">
        <v>61</v>
      </c>
      <c r="F83" s="16">
        <f>PROJECT_START+42</f>
        <v>46082</v>
      </c>
      <c r="G83" s="16">
        <f t="shared" si="3"/>
        <v>46082.3</v>
      </c>
      <c r="H83" s="14">
        <v>0.3</v>
      </c>
      <c r="I83" s="14" t="s">
        <v>130</v>
      </c>
    </row>
    <row r="84" spans="1:9">
      <c r="A84" s="14" t="s">
        <v>259</v>
      </c>
      <c r="B84" s="14" t="s">
        <v>60</v>
      </c>
      <c r="C84" s="14" t="s">
        <v>299</v>
      </c>
      <c r="D84" s="17" t="s">
        <v>63</v>
      </c>
      <c r="E84" s="14" t="s">
        <v>61</v>
      </c>
      <c r="F84" s="16">
        <f>PROJECT_START+42</f>
        <v>46082</v>
      </c>
      <c r="G84" s="16">
        <f t="shared" si="3"/>
        <v>46082.7</v>
      </c>
      <c r="H84" s="14">
        <v>0.7</v>
      </c>
      <c r="I84" s="14" t="s">
        <v>133</v>
      </c>
    </row>
    <row r="85" spans="1:9">
      <c r="A85" s="14" t="s">
        <v>261</v>
      </c>
      <c r="B85" s="14" t="s">
        <v>60</v>
      </c>
      <c r="C85" s="14" t="s">
        <v>194</v>
      </c>
      <c r="D85" s="23" t="s">
        <v>136</v>
      </c>
      <c r="E85" s="14" t="s">
        <v>61</v>
      </c>
      <c r="F85" s="16">
        <f>PROJECT_START+42</f>
        <v>46082</v>
      </c>
      <c r="G85" s="16">
        <f t="shared" si="3"/>
        <v>46082</v>
      </c>
      <c r="H85" s="14">
        <f>DUR_TURN</f>
        <v>0</v>
      </c>
      <c r="I85" s="14" t="s">
        <v>137</v>
      </c>
    </row>
    <row r="86" spans="1:9">
      <c r="A86" s="24" t="s">
        <v>263</v>
      </c>
      <c r="B86" s="24" t="s">
        <v>60</v>
      </c>
      <c r="C86" s="24" t="s">
        <v>300</v>
      </c>
      <c r="D86" s="25" t="s">
        <v>140</v>
      </c>
      <c r="E86" s="24" t="s">
        <v>61</v>
      </c>
      <c r="F86" s="26">
        <f>PROJECT_START+45</f>
        <v>46085</v>
      </c>
      <c r="G86" s="26">
        <f t="shared" si="3"/>
        <v>46085</v>
      </c>
      <c r="H86" s="24">
        <f>DUR_JD</f>
        <v>0</v>
      </c>
      <c r="I86" s="24" t="s">
        <v>141</v>
      </c>
    </row>
    <row r="87" spans="1:9">
      <c r="A87" s="14" t="s">
        <v>265</v>
      </c>
      <c r="B87" s="14" t="s">
        <v>60</v>
      </c>
      <c r="C87" s="14" t="s">
        <v>283</v>
      </c>
      <c r="D87" s="17" t="s">
        <v>63</v>
      </c>
      <c r="E87" s="14" t="s">
        <v>61</v>
      </c>
      <c r="F87" s="16">
        <f>PROJECT_START+46</f>
        <v>46086</v>
      </c>
      <c r="G87" s="16">
        <f t="shared" si="3"/>
        <v>46086</v>
      </c>
      <c r="H87" s="14">
        <f>DUR_BUF</f>
        <v>0</v>
      </c>
      <c r="I87" s="14" t="s">
        <v>93</v>
      </c>
    </row>
    <row r="88" spans="1:9">
      <c r="A88" s="14" t="s">
        <v>266</v>
      </c>
      <c r="B88" s="14" t="s">
        <v>60</v>
      </c>
      <c r="C88" s="14" t="s">
        <v>153</v>
      </c>
      <c r="D88" s="15" t="s">
        <v>59</v>
      </c>
      <c r="E88" s="14" t="s">
        <v>61</v>
      </c>
      <c r="F88" s="16">
        <f>PROJECT_START+46</f>
        <v>46086</v>
      </c>
      <c r="G88" s="16">
        <f t="shared" si="3"/>
        <v>46086</v>
      </c>
      <c r="H88" s="14">
        <v>0</v>
      </c>
      <c r="I88" s="14" t="s">
        <v>154</v>
      </c>
    </row>
    <row r="89" spans="1:9">
      <c r="A89" s="14" t="s">
        <v>267</v>
      </c>
      <c r="B89" s="14" t="s">
        <v>60</v>
      </c>
      <c r="C89" s="14" t="s">
        <v>156</v>
      </c>
      <c r="D89" s="15" t="s">
        <v>59</v>
      </c>
      <c r="E89" s="14" t="s">
        <v>61</v>
      </c>
      <c r="F89" s="16">
        <f>PROJECT_START+47</f>
        <v>46087</v>
      </c>
      <c r="G89" s="16">
        <f t="shared" si="3"/>
        <v>46087</v>
      </c>
      <c r="H89" s="14">
        <v>0</v>
      </c>
      <c r="I89" s="14" t="s">
        <v>154</v>
      </c>
    </row>
    <row r="90" spans="1:9">
      <c r="A90" s="14" t="s">
        <v>301</v>
      </c>
      <c r="B90" s="14" t="s">
        <v>60</v>
      </c>
      <c r="C90" s="14" t="s">
        <v>301</v>
      </c>
      <c r="D90" s="17" t="s">
        <v>63</v>
      </c>
      <c r="E90" s="14" t="s">
        <v>61</v>
      </c>
      <c r="F90" s="16">
        <f>PROJECT_START+57</f>
        <v>46097</v>
      </c>
      <c r="G90" s="16">
        <f t="shared" si="3"/>
        <v>46097</v>
      </c>
      <c r="H90" s="14">
        <f>DUR_BUF</f>
        <v>0</v>
      </c>
      <c r="I90" s="14"/>
    </row>
    <row r="91" spans="1:9">
      <c r="A91" s="14" t="s">
        <v>302</v>
      </c>
      <c r="B91" s="14" t="s">
        <v>60</v>
      </c>
      <c r="C91" s="14" t="s">
        <v>202</v>
      </c>
      <c r="D91" s="17" t="s">
        <v>63</v>
      </c>
      <c r="E91" s="14" t="s">
        <v>61</v>
      </c>
      <c r="F91" s="16">
        <f>PROJECT_START+48</f>
        <v>46088</v>
      </c>
      <c r="G91" s="16">
        <f t="shared" si="3"/>
        <v>46088.3</v>
      </c>
      <c r="H91" s="14">
        <v>0.3</v>
      </c>
      <c r="I91" s="14" t="s">
        <v>87</v>
      </c>
    </row>
    <row r="92" spans="1:9">
      <c r="A92" s="14" t="s">
        <v>303</v>
      </c>
      <c r="B92" s="14" t="s">
        <v>60</v>
      </c>
      <c r="C92" s="14" t="s">
        <v>276</v>
      </c>
      <c r="D92" s="17" t="s">
        <v>63</v>
      </c>
      <c r="E92" s="14" t="s">
        <v>61</v>
      </c>
      <c r="F92" s="16">
        <f>PROJECT_START+48</f>
        <v>46088</v>
      </c>
      <c r="G92" s="16">
        <f t="shared" si="3"/>
        <v>46088.3</v>
      </c>
      <c r="H92" s="14">
        <v>0.3</v>
      </c>
      <c r="I92" s="14" t="s">
        <v>87</v>
      </c>
    </row>
    <row r="93" spans="1:9">
      <c r="A93" s="14" t="s">
        <v>304</v>
      </c>
      <c r="B93" s="14" t="s">
        <v>60</v>
      </c>
      <c r="C93" s="14" t="s">
        <v>305</v>
      </c>
      <c r="D93" s="19" t="s">
        <v>92</v>
      </c>
      <c r="E93" s="14" t="s">
        <v>61</v>
      </c>
      <c r="F93" s="16">
        <f>PROJECT_START+48</f>
        <v>46088</v>
      </c>
      <c r="G93" s="16">
        <f t="shared" si="3"/>
        <v>46088.2</v>
      </c>
      <c r="H93" s="14">
        <v>0.2</v>
      </c>
      <c r="I93" s="14" t="s">
        <v>93</v>
      </c>
    </row>
    <row r="94" spans="1:9">
      <c r="A94" s="14" t="s">
        <v>306</v>
      </c>
      <c r="B94" s="14" t="s">
        <v>60</v>
      </c>
      <c r="C94" s="14" t="s">
        <v>307</v>
      </c>
      <c r="D94" s="20" t="s">
        <v>96</v>
      </c>
      <c r="E94" s="14" t="s">
        <v>61</v>
      </c>
      <c r="F94" s="16">
        <f>PROJECT_START+48</f>
        <v>46088</v>
      </c>
      <c r="G94" s="16">
        <f t="shared" si="3"/>
        <v>46088</v>
      </c>
      <c r="H94" s="14">
        <f>DUR_BUF</f>
        <v>0</v>
      </c>
      <c r="I94" s="14" t="s">
        <v>97</v>
      </c>
    </row>
    <row r="95" spans="1:9">
      <c r="A95" s="14" t="s">
        <v>308</v>
      </c>
      <c r="B95" s="14" t="s">
        <v>60</v>
      </c>
      <c r="C95" s="14" t="s">
        <v>110</v>
      </c>
      <c r="D95" s="17" t="s">
        <v>63</v>
      </c>
      <c r="E95" s="14" t="s">
        <v>61</v>
      </c>
      <c r="F95" s="16">
        <f>PROJECT_START+49</f>
        <v>46089</v>
      </c>
      <c r="G95" s="16">
        <f t="shared" si="3"/>
        <v>46089.2</v>
      </c>
      <c r="H95" s="14">
        <v>0.2</v>
      </c>
      <c r="I95" s="14" t="s">
        <v>97</v>
      </c>
    </row>
    <row r="96" spans="1:9">
      <c r="A96" s="14" t="s">
        <v>309</v>
      </c>
      <c r="B96" s="14" t="s">
        <v>60</v>
      </c>
      <c r="C96" s="14" t="s">
        <v>112</v>
      </c>
      <c r="D96" s="21" t="s">
        <v>113</v>
      </c>
      <c r="E96" s="14" t="s">
        <v>61</v>
      </c>
      <c r="F96" s="16">
        <f>PROJECT_START+50</f>
        <v>46090</v>
      </c>
      <c r="G96" s="16">
        <f t="shared" si="3"/>
        <v>46090</v>
      </c>
      <c r="H96" s="14">
        <f>DUR_SAIL</f>
        <v>0</v>
      </c>
      <c r="I96" s="14" t="s">
        <v>114</v>
      </c>
    </row>
    <row r="97" spans="1:9">
      <c r="A97" s="14" t="s">
        <v>310</v>
      </c>
      <c r="B97" s="14" t="s">
        <v>60</v>
      </c>
      <c r="C97" s="14" t="s">
        <v>116</v>
      </c>
      <c r="D97" s="17" t="s">
        <v>63</v>
      </c>
      <c r="E97" s="14" t="s">
        <v>61</v>
      </c>
      <c r="F97" s="16">
        <f>PROJECT_START+51</f>
        <v>46091</v>
      </c>
      <c r="G97" s="16">
        <f t="shared" si="3"/>
        <v>46091</v>
      </c>
      <c r="H97" s="14">
        <f>DUR_BUF</f>
        <v>0</v>
      </c>
      <c r="I97" s="14" t="s">
        <v>117</v>
      </c>
    </row>
    <row r="98" spans="1:9">
      <c r="A98" s="14" t="s">
        <v>311</v>
      </c>
      <c r="B98" s="14" t="s">
        <v>60</v>
      </c>
      <c r="C98" s="14" t="s">
        <v>279</v>
      </c>
      <c r="D98" s="22" t="s">
        <v>120</v>
      </c>
      <c r="E98" s="14" t="s">
        <v>61</v>
      </c>
      <c r="F98" s="16">
        <f>PROJECT_START+51</f>
        <v>46091</v>
      </c>
      <c r="G98" s="16">
        <f t="shared" si="3"/>
        <v>46091</v>
      </c>
      <c r="H98" s="14">
        <f>DUR_BUF</f>
        <v>0</v>
      </c>
      <c r="I98" s="14" t="s">
        <v>87</v>
      </c>
    </row>
    <row r="99" spans="1:9">
      <c r="A99" s="14" t="s">
        <v>312</v>
      </c>
      <c r="B99" s="14" t="s">
        <v>60</v>
      </c>
      <c r="C99" s="14" t="s">
        <v>122</v>
      </c>
      <c r="D99" s="17" t="s">
        <v>63</v>
      </c>
      <c r="E99" s="14" t="s">
        <v>61</v>
      </c>
      <c r="F99" s="16">
        <f>PROJECT_START+51</f>
        <v>46091</v>
      </c>
      <c r="G99" s="16">
        <f t="shared" si="3"/>
        <v>46091</v>
      </c>
      <c r="H99" s="14">
        <f>DUR_BUF</f>
        <v>0</v>
      </c>
      <c r="I99" s="14" t="s">
        <v>123</v>
      </c>
    </row>
    <row r="100" spans="1:9">
      <c r="A100" s="14" t="s">
        <v>313</v>
      </c>
      <c r="B100" s="14" t="s">
        <v>60</v>
      </c>
      <c r="C100" s="14" t="s">
        <v>225</v>
      </c>
      <c r="D100" s="19" t="s">
        <v>92</v>
      </c>
      <c r="E100" s="14" t="s">
        <v>61</v>
      </c>
      <c r="F100" s="16">
        <f>PROJECT_START+51</f>
        <v>46091</v>
      </c>
      <c r="G100" s="16">
        <f t="shared" si="3"/>
        <v>46091</v>
      </c>
      <c r="H100" s="14">
        <f>DUR_UL</f>
        <v>0</v>
      </c>
      <c r="I100" s="14" t="s">
        <v>87</v>
      </c>
    </row>
    <row r="101" spans="1:9">
      <c r="A101" s="14" t="s">
        <v>314</v>
      </c>
      <c r="B101" s="14" t="s">
        <v>60</v>
      </c>
      <c r="C101" s="14" t="s">
        <v>129</v>
      </c>
      <c r="D101" s="17" t="s">
        <v>63</v>
      </c>
      <c r="E101" s="14" t="s">
        <v>61</v>
      </c>
      <c r="F101" s="16">
        <f>PROJECT_START+52</f>
        <v>46092</v>
      </c>
      <c r="G101" s="16">
        <f t="shared" si="3"/>
        <v>46092.3</v>
      </c>
      <c r="H101" s="14">
        <v>0.3</v>
      </c>
      <c r="I101" s="14" t="s">
        <v>130</v>
      </c>
    </row>
    <row r="102" spans="1:9">
      <c r="A102" s="14" t="s">
        <v>315</v>
      </c>
      <c r="B102" s="14" t="s">
        <v>60</v>
      </c>
      <c r="C102" s="14" t="s">
        <v>316</v>
      </c>
      <c r="D102" s="17" t="s">
        <v>63</v>
      </c>
      <c r="E102" s="14" t="s">
        <v>61</v>
      </c>
      <c r="F102" s="16">
        <f>PROJECT_START+52</f>
        <v>46092</v>
      </c>
      <c r="G102" s="16">
        <f t="shared" ref="G102:G133" si="4">F102+H102</f>
        <v>46092.7</v>
      </c>
      <c r="H102" s="14">
        <v>0.7</v>
      </c>
      <c r="I102" s="14" t="s">
        <v>133</v>
      </c>
    </row>
    <row r="103" spans="1:9">
      <c r="A103" s="14" t="s">
        <v>317</v>
      </c>
      <c r="B103" s="14" t="s">
        <v>60</v>
      </c>
      <c r="C103" s="14" t="s">
        <v>230</v>
      </c>
      <c r="D103" s="23" t="s">
        <v>136</v>
      </c>
      <c r="E103" s="14" t="s">
        <v>61</v>
      </c>
      <c r="F103" s="16">
        <f>PROJECT_START+52</f>
        <v>46092</v>
      </c>
      <c r="G103" s="16">
        <f t="shared" si="4"/>
        <v>46092</v>
      </c>
      <c r="H103" s="14">
        <f>DUR_TURN</f>
        <v>0</v>
      </c>
      <c r="I103" s="14" t="s">
        <v>137</v>
      </c>
    </row>
    <row r="104" spans="1:9">
      <c r="A104" s="24" t="s">
        <v>318</v>
      </c>
      <c r="B104" s="24" t="s">
        <v>60</v>
      </c>
      <c r="C104" s="24" t="s">
        <v>232</v>
      </c>
      <c r="D104" s="25" t="s">
        <v>140</v>
      </c>
      <c r="E104" s="24" t="s">
        <v>61</v>
      </c>
      <c r="F104" s="26">
        <f>PROJECT_START+55</f>
        <v>46095</v>
      </c>
      <c r="G104" s="26">
        <f t="shared" si="4"/>
        <v>46095</v>
      </c>
      <c r="H104" s="24">
        <f>DUR_JD</f>
        <v>0</v>
      </c>
      <c r="I104" s="24" t="s">
        <v>141</v>
      </c>
    </row>
    <row r="105" spans="1:9">
      <c r="A105" s="14" t="s">
        <v>319</v>
      </c>
      <c r="B105" s="14" t="s">
        <v>60</v>
      </c>
      <c r="C105" s="14" t="s">
        <v>283</v>
      </c>
      <c r="D105" s="17" t="s">
        <v>63</v>
      </c>
      <c r="E105" s="14" t="s">
        <v>61</v>
      </c>
      <c r="F105" s="16">
        <f>PROJECT_START+56</f>
        <v>46096</v>
      </c>
      <c r="G105" s="16">
        <f t="shared" si="4"/>
        <v>46096</v>
      </c>
      <c r="H105" s="14">
        <f>DUR_BUF</f>
        <v>0</v>
      </c>
      <c r="I105" s="14" t="s">
        <v>93</v>
      </c>
    </row>
    <row r="106" spans="1:9">
      <c r="A106" s="14" t="s">
        <v>320</v>
      </c>
      <c r="B106" s="14" t="s">
        <v>60</v>
      </c>
      <c r="C106" s="14" t="s">
        <v>153</v>
      </c>
      <c r="D106" s="15" t="s">
        <v>59</v>
      </c>
      <c r="E106" s="14" t="s">
        <v>61</v>
      </c>
      <c r="F106" s="16">
        <f>PROJECT_START+56</f>
        <v>46096</v>
      </c>
      <c r="G106" s="16">
        <f t="shared" si="4"/>
        <v>46096</v>
      </c>
      <c r="H106" s="14">
        <v>0</v>
      </c>
      <c r="I106" s="14" t="s">
        <v>154</v>
      </c>
    </row>
    <row r="107" spans="1:9">
      <c r="A107" s="14" t="s">
        <v>321</v>
      </c>
      <c r="B107" s="14" t="s">
        <v>60</v>
      </c>
      <c r="C107" s="14" t="s">
        <v>156</v>
      </c>
      <c r="D107" s="15" t="s">
        <v>59</v>
      </c>
      <c r="E107" s="14" t="s">
        <v>61</v>
      </c>
      <c r="F107" s="16">
        <f>PROJECT_START+57</f>
        <v>46097</v>
      </c>
      <c r="G107" s="16">
        <f t="shared" si="4"/>
        <v>46097</v>
      </c>
      <c r="H107" s="14">
        <v>0</v>
      </c>
      <c r="I107" s="14" t="s">
        <v>154</v>
      </c>
    </row>
    <row r="108" spans="1:9">
      <c r="A108" s="14" t="s">
        <v>322</v>
      </c>
      <c r="B108" s="14" t="s">
        <v>60</v>
      </c>
      <c r="C108" s="14" t="s">
        <v>322</v>
      </c>
      <c r="D108" s="17" t="s">
        <v>63</v>
      </c>
      <c r="E108" s="14" t="s">
        <v>61</v>
      </c>
      <c r="F108" s="16">
        <f>PROJECT_START+67</f>
        <v>46107</v>
      </c>
      <c r="G108" s="16">
        <f t="shared" si="4"/>
        <v>46107</v>
      </c>
      <c r="H108" s="14">
        <f>DUR_BUF</f>
        <v>0</v>
      </c>
      <c r="I108" s="14"/>
    </row>
    <row r="109" spans="1:9">
      <c r="A109" s="14" t="s">
        <v>323</v>
      </c>
      <c r="B109" s="14" t="s">
        <v>60</v>
      </c>
      <c r="C109" s="14" t="s">
        <v>324</v>
      </c>
      <c r="D109" s="17" t="s">
        <v>63</v>
      </c>
      <c r="E109" s="14" t="s">
        <v>61</v>
      </c>
      <c r="F109" s="16">
        <f>PROJECT_START+58</f>
        <v>46098</v>
      </c>
      <c r="G109" s="16">
        <f t="shared" si="4"/>
        <v>46098.3</v>
      </c>
      <c r="H109" s="14">
        <v>0.3</v>
      </c>
      <c r="I109" s="14" t="s">
        <v>87</v>
      </c>
    </row>
    <row r="110" spans="1:9">
      <c r="A110" s="14" t="s">
        <v>325</v>
      </c>
      <c r="B110" s="14" t="s">
        <v>60</v>
      </c>
      <c r="C110" s="14" t="s">
        <v>276</v>
      </c>
      <c r="D110" s="17" t="s">
        <v>63</v>
      </c>
      <c r="E110" s="14" t="s">
        <v>61</v>
      </c>
      <c r="F110" s="16">
        <f>PROJECT_START+58</f>
        <v>46098</v>
      </c>
      <c r="G110" s="16">
        <f t="shared" si="4"/>
        <v>46098.3</v>
      </c>
      <c r="H110" s="14">
        <v>0.3</v>
      </c>
      <c r="I110" s="14" t="s">
        <v>87</v>
      </c>
    </row>
    <row r="111" spans="1:9">
      <c r="A111" s="14" t="s">
        <v>326</v>
      </c>
      <c r="B111" s="14" t="s">
        <v>60</v>
      </c>
      <c r="C111" s="14" t="s">
        <v>327</v>
      </c>
      <c r="D111" s="19" t="s">
        <v>92</v>
      </c>
      <c r="E111" s="14" t="s">
        <v>61</v>
      </c>
      <c r="F111" s="16">
        <f>PROJECT_START+58</f>
        <v>46098</v>
      </c>
      <c r="G111" s="16">
        <f t="shared" si="4"/>
        <v>46098.2</v>
      </c>
      <c r="H111" s="14">
        <v>0.2</v>
      </c>
      <c r="I111" s="14" t="s">
        <v>93</v>
      </c>
    </row>
    <row r="112" spans="1:9">
      <c r="A112" s="14" t="s">
        <v>328</v>
      </c>
      <c r="B112" s="14" t="s">
        <v>60</v>
      </c>
      <c r="C112" s="14" t="s">
        <v>329</v>
      </c>
      <c r="D112" s="20" t="s">
        <v>96</v>
      </c>
      <c r="E112" s="14" t="s">
        <v>61</v>
      </c>
      <c r="F112" s="16">
        <f>PROJECT_START+58</f>
        <v>46098</v>
      </c>
      <c r="G112" s="16">
        <f t="shared" si="4"/>
        <v>46098</v>
      </c>
      <c r="H112" s="14">
        <f>DUR_BUF</f>
        <v>0</v>
      </c>
      <c r="I112" s="14" t="s">
        <v>97</v>
      </c>
    </row>
    <row r="113" spans="1:9">
      <c r="A113" s="14" t="s">
        <v>330</v>
      </c>
      <c r="B113" s="14" t="s">
        <v>60</v>
      </c>
      <c r="C113" s="14" t="s">
        <v>110</v>
      </c>
      <c r="D113" s="17" t="s">
        <v>63</v>
      </c>
      <c r="E113" s="14" t="s">
        <v>61</v>
      </c>
      <c r="F113" s="16">
        <f>PROJECT_START+59</f>
        <v>46099</v>
      </c>
      <c r="G113" s="16">
        <f t="shared" si="4"/>
        <v>46099.199999999997</v>
      </c>
      <c r="H113" s="14">
        <v>0.2</v>
      </c>
      <c r="I113" s="14" t="s">
        <v>97</v>
      </c>
    </row>
    <row r="114" spans="1:9">
      <c r="A114" s="14" t="s">
        <v>331</v>
      </c>
      <c r="B114" s="14" t="s">
        <v>60</v>
      </c>
      <c r="C114" s="14" t="s">
        <v>112</v>
      </c>
      <c r="D114" s="21" t="s">
        <v>113</v>
      </c>
      <c r="E114" s="14" t="s">
        <v>61</v>
      </c>
      <c r="F114" s="16">
        <f>PROJECT_START+60</f>
        <v>46100</v>
      </c>
      <c r="G114" s="16">
        <f t="shared" si="4"/>
        <v>46100</v>
      </c>
      <c r="H114" s="14">
        <f>DUR_SAIL</f>
        <v>0</v>
      </c>
      <c r="I114" s="14" t="s">
        <v>114</v>
      </c>
    </row>
    <row r="115" spans="1:9">
      <c r="A115" s="14" t="s">
        <v>332</v>
      </c>
      <c r="B115" s="14" t="s">
        <v>60</v>
      </c>
      <c r="C115" s="14" t="s">
        <v>116</v>
      </c>
      <c r="D115" s="17" t="s">
        <v>63</v>
      </c>
      <c r="E115" s="14" t="s">
        <v>61</v>
      </c>
      <c r="F115" s="16">
        <f>PROJECT_START+61</f>
        <v>46101</v>
      </c>
      <c r="G115" s="16">
        <f t="shared" si="4"/>
        <v>46101</v>
      </c>
      <c r="H115" s="14">
        <f>DUR_BUF</f>
        <v>0</v>
      </c>
      <c r="I115" s="14" t="s">
        <v>117</v>
      </c>
    </row>
    <row r="116" spans="1:9">
      <c r="A116" s="14" t="s">
        <v>333</v>
      </c>
      <c r="B116" s="14" t="s">
        <v>60</v>
      </c>
      <c r="C116" s="14" t="s">
        <v>279</v>
      </c>
      <c r="D116" s="22" t="s">
        <v>120</v>
      </c>
      <c r="E116" s="14" t="s">
        <v>61</v>
      </c>
      <c r="F116" s="16">
        <f>PROJECT_START+61</f>
        <v>46101</v>
      </c>
      <c r="G116" s="16">
        <f t="shared" si="4"/>
        <v>46101</v>
      </c>
      <c r="H116" s="14">
        <f>DUR_BUF</f>
        <v>0</v>
      </c>
      <c r="I116" s="14" t="s">
        <v>87</v>
      </c>
    </row>
    <row r="117" spans="1:9">
      <c r="A117" s="14" t="s">
        <v>334</v>
      </c>
      <c r="B117" s="14" t="s">
        <v>60</v>
      </c>
      <c r="C117" s="14" t="s">
        <v>122</v>
      </c>
      <c r="D117" s="17" t="s">
        <v>63</v>
      </c>
      <c r="E117" s="14" t="s">
        <v>61</v>
      </c>
      <c r="F117" s="16">
        <f>PROJECT_START+61</f>
        <v>46101</v>
      </c>
      <c r="G117" s="16">
        <f t="shared" si="4"/>
        <v>46101</v>
      </c>
      <c r="H117" s="14">
        <f>DUR_BUF</f>
        <v>0</v>
      </c>
      <c r="I117" s="14" t="s">
        <v>123</v>
      </c>
    </row>
    <row r="118" spans="1:9">
      <c r="A118" s="14" t="s">
        <v>335</v>
      </c>
      <c r="B118" s="14" t="s">
        <v>60</v>
      </c>
      <c r="C118" s="14" t="s">
        <v>223</v>
      </c>
      <c r="D118" s="19" t="s">
        <v>92</v>
      </c>
      <c r="E118" s="14" t="s">
        <v>61</v>
      </c>
      <c r="F118" s="16">
        <f>PROJECT_START+61</f>
        <v>46101</v>
      </c>
      <c r="G118" s="16">
        <f t="shared" si="4"/>
        <v>46101</v>
      </c>
      <c r="H118" s="14">
        <f>DUR_UL</f>
        <v>0</v>
      </c>
      <c r="I118" s="14" t="s">
        <v>87</v>
      </c>
    </row>
    <row r="119" spans="1:9">
      <c r="A119" s="14" t="s">
        <v>336</v>
      </c>
      <c r="B119" s="14" t="s">
        <v>60</v>
      </c>
      <c r="C119" s="14" t="s">
        <v>129</v>
      </c>
      <c r="D119" s="17" t="s">
        <v>63</v>
      </c>
      <c r="E119" s="14" t="s">
        <v>61</v>
      </c>
      <c r="F119" s="16">
        <f>PROJECT_START+62</f>
        <v>46102</v>
      </c>
      <c r="G119" s="16">
        <f t="shared" si="4"/>
        <v>46102.3</v>
      </c>
      <c r="H119" s="14">
        <v>0.3</v>
      </c>
      <c r="I119" s="14" t="s">
        <v>130</v>
      </c>
    </row>
    <row r="120" spans="1:9">
      <c r="A120" s="14" t="s">
        <v>337</v>
      </c>
      <c r="B120" s="14" t="s">
        <v>60</v>
      </c>
      <c r="C120" s="14" t="s">
        <v>338</v>
      </c>
      <c r="D120" s="17" t="s">
        <v>63</v>
      </c>
      <c r="E120" s="14" t="s">
        <v>61</v>
      </c>
      <c r="F120" s="16">
        <f>PROJECT_START+62</f>
        <v>46102</v>
      </c>
      <c r="G120" s="16">
        <f t="shared" si="4"/>
        <v>46102.7</v>
      </c>
      <c r="H120" s="14">
        <v>0.7</v>
      </c>
      <c r="I120" s="14" t="s">
        <v>133</v>
      </c>
    </row>
    <row r="121" spans="1:9">
      <c r="A121" s="14" t="s">
        <v>339</v>
      </c>
      <c r="B121" s="14" t="s">
        <v>60</v>
      </c>
      <c r="C121" s="14" t="s">
        <v>237</v>
      </c>
      <c r="D121" s="23" t="s">
        <v>136</v>
      </c>
      <c r="E121" s="14" t="s">
        <v>61</v>
      </c>
      <c r="F121" s="16">
        <f>PROJECT_START+62</f>
        <v>46102</v>
      </c>
      <c r="G121" s="16">
        <f t="shared" si="4"/>
        <v>46102</v>
      </c>
      <c r="H121" s="14">
        <f>DUR_TURN</f>
        <v>0</v>
      </c>
      <c r="I121" s="14" t="s">
        <v>137</v>
      </c>
    </row>
    <row r="122" spans="1:9">
      <c r="A122" s="24" t="s">
        <v>340</v>
      </c>
      <c r="B122" s="24" t="s">
        <v>60</v>
      </c>
      <c r="C122" s="24" t="s">
        <v>341</v>
      </c>
      <c r="D122" s="25" t="s">
        <v>140</v>
      </c>
      <c r="E122" s="24" t="s">
        <v>61</v>
      </c>
      <c r="F122" s="26">
        <f>PROJECT_START+65</f>
        <v>46105</v>
      </c>
      <c r="G122" s="26">
        <f t="shared" si="4"/>
        <v>46105</v>
      </c>
      <c r="H122" s="24">
        <f>DUR_JD</f>
        <v>0</v>
      </c>
      <c r="I122" s="24" t="s">
        <v>141</v>
      </c>
    </row>
    <row r="123" spans="1:9">
      <c r="A123" s="14" t="s">
        <v>342</v>
      </c>
      <c r="B123" s="14" t="s">
        <v>60</v>
      </c>
      <c r="C123" s="14" t="s">
        <v>283</v>
      </c>
      <c r="D123" s="17" t="s">
        <v>63</v>
      </c>
      <c r="E123" s="14" t="s">
        <v>61</v>
      </c>
      <c r="F123" s="16">
        <f>PROJECT_START+66</f>
        <v>46106</v>
      </c>
      <c r="G123" s="16">
        <f t="shared" si="4"/>
        <v>46106</v>
      </c>
      <c r="H123" s="14">
        <f>DUR_BUF</f>
        <v>0</v>
      </c>
      <c r="I123" s="14" t="s">
        <v>93</v>
      </c>
    </row>
    <row r="124" spans="1:9">
      <c r="A124" s="14" t="s">
        <v>343</v>
      </c>
      <c r="B124" s="14" t="s">
        <v>60</v>
      </c>
      <c r="C124" s="14" t="s">
        <v>153</v>
      </c>
      <c r="D124" s="15" t="s">
        <v>59</v>
      </c>
      <c r="E124" s="14" t="s">
        <v>61</v>
      </c>
      <c r="F124" s="16">
        <f>PROJECT_START+66</f>
        <v>46106</v>
      </c>
      <c r="G124" s="16">
        <f t="shared" si="4"/>
        <v>46106</v>
      </c>
      <c r="H124" s="14">
        <v>0</v>
      </c>
      <c r="I124" s="14" t="s">
        <v>154</v>
      </c>
    </row>
    <row r="125" spans="1:9">
      <c r="A125" s="14" t="s">
        <v>344</v>
      </c>
      <c r="B125" s="14" t="s">
        <v>60</v>
      </c>
      <c r="C125" s="14" t="s">
        <v>156</v>
      </c>
      <c r="D125" s="15" t="s">
        <v>59</v>
      </c>
      <c r="E125" s="14" t="s">
        <v>61</v>
      </c>
      <c r="F125" s="16">
        <f>PROJECT_START+67</f>
        <v>46107</v>
      </c>
      <c r="G125" s="16">
        <f t="shared" si="4"/>
        <v>46107</v>
      </c>
      <c r="H125" s="14">
        <v>0</v>
      </c>
      <c r="I125" s="14" t="s">
        <v>154</v>
      </c>
    </row>
    <row r="126" spans="1:9">
      <c r="A126" s="14" t="s">
        <v>243</v>
      </c>
      <c r="B126" s="14" t="s">
        <v>60</v>
      </c>
      <c r="C126" s="14" t="s">
        <v>243</v>
      </c>
      <c r="D126" s="17" t="s">
        <v>63</v>
      </c>
      <c r="E126" s="14" t="s">
        <v>61</v>
      </c>
      <c r="F126" s="16">
        <f>PROJECT_START+77</f>
        <v>46117</v>
      </c>
      <c r="G126" s="16">
        <f t="shared" si="4"/>
        <v>46117</v>
      </c>
      <c r="H126" s="14">
        <f>DUR_BUF</f>
        <v>0</v>
      </c>
      <c r="I126" s="14"/>
    </row>
    <row r="127" spans="1:9">
      <c r="A127" s="14" t="s">
        <v>345</v>
      </c>
      <c r="B127" s="14" t="s">
        <v>60</v>
      </c>
      <c r="C127" s="14" t="s">
        <v>245</v>
      </c>
      <c r="D127" s="17" t="s">
        <v>63</v>
      </c>
      <c r="E127" s="14" t="s">
        <v>61</v>
      </c>
      <c r="F127" s="16">
        <f>PROJECT_START+68</f>
        <v>46108</v>
      </c>
      <c r="G127" s="16">
        <f t="shared" si="4"/>
        <v>46108.3</v>
      </c>
      <c r="H127" s="14">
        <v>0.3</v>
      </c>
      <c r="I127" s="14" t="s">
        <v>87</v>
      </c>
    </row>
    <row r="128" spans="1:9">
      <c r="A128" s="14" t="s">
        <v>346</v>
      </c>
      <c r="B128" s="14" t="s">
        <v>60</v>
      </c>
      <c r="C128" s="14" t="s">
        <v>276</v>
      </c>
      <c r="D128" s="17" t="s">
        <v>63</v>
      </c>
      <c r="E128" s="14" t="s">
        <v>61</v>
      </c>
      <c r="F128" s="16">
        <f>PROJECT_START+68</f>
        <v>46108</v>
      </c>
      <c r="G128" s="16">
        <f t="shared" si="4"/>
        <v>46108.3</v>
      </c>
      <c r="H128" s="14">
        <v>0.3</v>
      </c>
      <c r="I128" s="14" t="s">
        <v>87</v>
      </c>
    </row>
    <row r="129" spans="1:9">
      <c r="A129" s="14" t="s">
        <v>347</v>
      </c>
      <c r="B129" s="14" t="s">
        <v>60</v>
      </c>
      <c r="C129" s="14" t="s">
        <v>348</v>
      </c>
      <c r="D129" s="19" t="s">
        <v>92</v>
      </c>
      <c r="E129" s="14" t="s">
        <v>61</v>
      </c>
      <c r="F129" s="16">
        <f>PROJECT_START+68</f>
        <v>46108</v>
      </c>
      <c r="G129" s="16">
        <f t="shared" si="4"/>
        <v>46108.2</v>
      </c>
      <c r="H129" s="14">
        <v>0.2</v>
      </c>
      <c r="I129" s="14" t="s">
        <v>93</v>
      </c>
    </row>
    <row r="130" spans="1:9">
      <c r="A130" s="14" t="s">
        <v>349</v>
      </c>
      <c r="B130" s="14" t="s">
        <v>60</v>
      </c>
      <c r="C130" s="14" t="s">
        <v>350</v>
      </c>
      <c r="D130" s="20" t="s">
        <v>96</v>
      </c>
      <c r="E130" s="14" t="s">
        <v>61</v>
      </c>
      <c r="F130" s="16">
        <f>PROJECT_START+68</f>
        <v>46108</v>
      </c>
      <c r="G130" s="16">
        <f t="shared" si="4"/>
        <v>46108</v>
      </c>
      <c r="H130" s="14">
        <f>DUR_BUF</f>
        <v>0</v>
      </c>
      <c r="I130" s="14" t="s">
        <v>97</v>
      </c>
    </row>
    <row r="131" spans="1:9">
      <c r="A131" s="14" t="s">
        <v>351</v>
      </c>
      <c r="B131" s="14" t="s">
        <v>60</v>
      </c>
      <c r="C131" s="14" t="s">
        <v>110</v>
      </c>
      <c r="D131" s="17" t="s">
        <v>63</v>
      </c>
      <c r="E131" s="14" t="s">
        <v>61</v>
      </c>
      <c r="F131" s="16">
        <f>PROJECT_START+69</f>
        <v>46109</v>
      </c>
      <c r="G131" s="16">
        <f t="shared" si="4"/>
        <v>46109.2</v>
      </c>
      <c r="H131" s="14">
        <v>0.2</v>
      </c>
      <c r="I131" s="14" t="s">
        <v>97</v>
      </c>
    </row>
    <row r="132" spans="1:9">
      <c r="A132" s="14" t="s">
        <v>352</v>
      </c>
      <c r="B132" s="14" t="s">
        <v>60</v>
      </c>
      <c r="C132" s="14" t="s">
        <v>112</v>
      </c>
      <c r="D132" s="21" t="s">
        <v>113</v>
      </c>
      <c r="E132" s="14" t="s">
        <v>61</v>
      </c>
      <c r="F132" s="16">
        <f>PROJECT_START+70</f>
        <v>46110</v>
      </c>
      <c r="G132" s="16">
        <f t="shared" si="4"/>
        <v>46110</v>
      </c>
      <c r="H132" s="14">
        <f>DUR_SAIL</f>
        <v>0</v>
      </c>
      <c r="I132" s="14" t="s">
        <v>114</v>
      </c>
    </row>
    <row r="133" spans="1:9">
      <c r="A133" s="14" t="s">
        <v>353</v>
      </c>
      <c r="B133" s="14" t="s">
        <v>60</v>
      </c>
      <c r="C133" s="14" t="s">
        <v>116</v>
      </c>
      <c r="D133" s="17" t="s">
        <v>63</v>
      </c>
      <c r="E133" s="14" t="s">
        <v>61</v>
      </c>
      <c r="F133" s="16">
        <f>PROJECT_START+71</f>
        <v>46111</v>
      </c>
      <c r="G133" s="16">
        <f t="shared" si="4"/>
        <v>46111</v>
      </c>
      <c r="H133" s="14">
        <f>DUR_BUF</f>
        <v>0</v>
      </c>
      <c r="I133" s="14" t="s">
        <v>117</v>
      </c>
    </row>
    <row r="134" spans="1:9">
      <c r="A134" s="14" t="s">
        <v>354</v>
      </c>
      <c r="B134" s="14" t="s">
        <v>60</v>
      </c>
      <c r="C134" s="14" t="s">
        <v>279</v>
      </c>
      <c r="D134" s="22" t="s">
        <v>120</v>
      </c>
      <c r="E134" s="14" t="s">
        <v>61</v>
      </c>
      <c r="F134" s="16">
        <f>PROJECT_START+71</f>
        <v>46111</v>
      </c>
      <c r="G134" s="16">
        <f t="shared" ref="G134:G165" si="5">F134+H134</f>
        <v>46111</v>
      </c>
      <c r="H134" s="14">
        <f>DUR_BUF</f>
        <v>0</v>
      </c>
      <c r="I134" s="14" t="s">
        <v>87</v>
      </c>
    </row>
    <row r="135" spans="1:9">
      <c r="A135" s="14" t="s">
        <v>355</v>
      </c>
      <c r="B135" s="14" t="s">
        <v>60</v>
      </c>
      <c r="C135" s="14" t="s">
        <v>122</v>
      </c>
      <c r="D135" s="17" t="s">
        <v>63</v>
      </c>
      <c r="E135" s="14" t="s">
        <v>61</v>
      </c>
      <c r="F135" s="16">
        <f>PROJECT_START+71</f>
        <v>46111</v>
      </c>
      <c r="G135" s="16">
        <f t="shared" si="5"/>
        <v>46111</v>
      </c>
      <c r="H135" s="14">
        <f>DUR_BUF</f>
        <v>0</v>
      </c>
      <c r="I135" s="14" t="s">
        <v>123</v>
      </c>
    </row>
    <row r="136" spans="1:9">
      <c r="A136" s="14" t="s">
        <v>356</v>
      </c>
      <c r="B136" s="14" t="s">
        <v>60</v>
      </c>
      <c r="C136" s="14" t="s">
        <v>257</v>
      </c>
      <c r="D136" s="19" t="s">
        <v>92</v>
      </c>
      <c r="E136" s="14" t="s">
        <v>61</v>
      </c>
      <c r="F136" s="16">
        <f>PROJECT_START+71</f>
        <v>46111</v>
      </c>
      <c r="G136" s="16">
        <f t="shared" si="5"/>
        <v>46111</v>
      </c>
      <c r="H136" s="14">
        <f>DUR_UL</f>
        <v>0</v>
      </c>
      <c r="I136" s="14" t="s">
        <v>87</v>
      </c>
    </row>
    <row r="137" spans="1:9">
      <c r="A137" s="14" t="s">
        <v>357</v>
      </c>
      <c r="B137" s="14" t="s">
        <v>60</v>
      </c>
      <c r="C137" s="14" t="s">
        <v>129</v>
      </c>
      <c r="D137" s="17" t="s">
        <v>63</v>
      </c>
      <c r="E137" s="14" t="s">
        <v>61</v>
      </c>
      <c r="F137" s="16">
        <f>PROJECT_START+72</f>
        <v>46112</v>
      </c>
      <c r="G137" s="16">
        <f t="shared" si="5"/>
        <v>46112.3</v>
      </c>
      <c r="H137" s="14">
        <v>0.3</v>
      </c>
      <c r="I137" s="14" t="s">
        <v>130</v>
      </c>
    </row>
    <row r="138" spans="1:9">
      <c r="A138" s="14" t="s">
        <v>358</v>
      </c>
      <c r="B138" s="14" t="s">
        <v>60</v>
      </c>
      <c r="C138" s="14" t="s">
        <v>359</v>
      </c>
      <c r="D138" s="17" t="s">
        <v>63</v>
      </c>
      <c r="E138" s="14" t="s">
        <v>61</v>
      </c>
      <c r="F138" s="16">
        <f>PROJECT_START+72</f>
        <v>46112</v>
      </c>
      <c r="G138" s="16">
        <f t="shared" si="5"/>
        <v>46112.7</v>
      </c>
      <c r="H138" s="14">
        <v>0.7</v>
      </c>
      <c r="I138" s="14" t="s">
        <v>133</v>
      </c>
    </row>
    <row r="139" spans="1:9">
      <c r="A139" s="14" t="s">
        <v>360</v>
      </c>
      <c r="B139" s="14" t="s">
        <v>60</v>
      </c>
      <c r="C139" s="14" t="s">
        <v>262</v>
      </c>
      <c r="D139" s="23" t="s">
        <v>136</v>
      </c>
      <c r="E139" s="14" t="s">
        <v>61</v>
      </c>
      <c r="F139" s="16">
        <f>PROJECT_START+72</f>
        <v>46112</v>
      </c>
      <c r="G139" s="16">
        <f t="shared" si="5"/>
        <v>46112</v>
      </c>
      <c r="H139" s="14">
        <f>DUR_TURN</f>
        <v>0</v>
      </c>
      <c r="I139" s="14" t="s">
        <v>137</v>
      </c>
    </row>
    <row r="140" spans="1:9">
      <c r="A140" s="24" t="s">
        <v>361</v>
      </c>
      <c r="B140" s="24" t="s">
        <v>60</v>
      </c>
      <c r="C140" s="24" t="s">
        <v>264</v>
      </c>
      <c r="D140" s="25" t="s">
        <v>140</v>
      </c>
      <c r="E140" s="24" t="s">
        <v>61</v>
      </c>
      <c r="F140" s="26">
        <f>PROJECT_START+75</f>
        <v>46115</v>
      </c>
      <c r="G140" s="26">
        <f t="shared" si="5"/>
        <v>46115</v>
      </c>
      <c r="H140" s="24">
        <f>DUR_JD</f>
        <v>0</v>
      </c>
      <c r="I140" s="24" t="s">
        <v>141</v>
      </c>
    </row>
    <row r="141" spans="1:9">
      <c r="A141" s="14" t="s">
        <v>362</v>
      </c>
      <c r="B141" s="14" t="s">
        <v>60</v>
      </c>
      <c r="C141" s="14" t="s">
        <v>283</v>
      </c>
      <c r="D141" s="17" t="s">
        <v>63</v>
      </c>
      <c r="E141" s="14" t="s">
        <v>61</v>
      </c>
      <c r="F141" s="16">
        <f>PROJECT_START+76</f>
        <v>46116</v>
      </c>
      <c r="G141" s="16">
        <f t="shared" si="5"/>
        <v>46116</v>
      </c>
      <c r="H141" s="14">
        <f>DUR_BUF</f>
        <v>0</v>
      </c>
      <c r="I141" s="14" t="s">
        <v>93</v>
      </c>
    </row>
    <row r="142" spans="1:9">
      <c r="A142" s="14" t="s">
        <v>363</v>
      </c>
      <c r="B142" s="14" t="s">
        <v>60</v>
      </c>
      <c r="C142" s="14" t="s">
        <v>153</v>
      </c>
      <c r="D142" s="15" t="s">
        <v>59</v>
      </c>
      <c r="E142" s="14" t="s">
        <v>61</v>
      </c>
      <c r="F142" s="16">
        <f>PROJECT_START+76</f>
        <v>46116</v>
      </c>
      <c r="G142" s="16">
        <f t="shared" si="5"/>
        <v>46116</v>
      </c>
      <c r="H142" s="14">
        <v>0</v>
      </c>
      <c r="I142" s="14" t="s">
        <v>154</v>
      </c>
    </row>
    <row r="143" spans="1:9">
      <c r="A143" s="14" t="s">
        <v>364</v>
      </c>
      <c r="B143" s="14" t="s">
        <v>60</v>
      </c>
      <c r="C143" s="14" t="s">
        <v>156</v>
      </c>
      <c r="D143" s="15" t="s">
        <v>59</v>
      </c>
      <c r="E143" s="14" t="s">
        <v>61</v>
      </c>
      <c r="F143" s="16">
        <f>PROJECT_START+77</f>
        <v>46117</v>
      </c>
      <c r="G143" s="16">
        <f t="shared" si="5"/>
        <v>46117</v>
      </c>
      <c r="H143" s="14">
        <v>0</v>
      </c>
      <c r="I143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W142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366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Schedule_Data_Mammoet_ScnA!A6</f>
        <v>MOBILIZATION</v>
      </c>
      <c r="B5" s="14" t="str">
        <f>Schedule_Data_Mammoet_ScnA!B6</f>
        <v>A0</v>
      </c>
      <c r="C5" s="14" t="str">
        <f>Schedule_Data_Mammoet_ScnA!C6</f>
        <v>MOBILIZATION</v>
      </c>
      <c r="D5" s="15" t="str">
        <f>Schedule_Data_Mammoet_ScnA!D6</f>
        <v>MOBILIZATION</v>
      </c>
      <c r="E5" s="30">
        <f>Schedule_Data_Mammoet_ScnA!F6</f>
        <v>46037</v>
      </c>
      <c r="F5" s="30">
        <f>Schedule_Data_Mammoet_ScnA!G6</f>
        <v>46037</v>
      </c>
      <c r="G5" s="14">
        <f>Schedule_Data_Mammoet_ScnA!H6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Schedule_Data_Mammoet_ScnA!A7</f>
        <v>SPMT</v>
      </c>
      <c r="B6" s="14" t="str">
        <f>Schedule_Data_Mammoet_ScnA!B7</f>
        <v>A0</v>
      </c>
      <c r="C6" s="14" t="str">
        <f>Schedule_Data_Mammoet_ScnA!C7</f>
        <v>SPMT</v>
      </c>
      <c r="D6" s="17" t="str">
        <f>Schedule_Data_Mammoet_ScnA!D7</f>
        <v>BUFFER</v>
      </c>
      <c r="E6" s="30">
        <f>Schedule_Data_Mammoet_ScnA!F7</f>
        <v>46037</v>
      </c>
      <c r="F6" s="30">
        <f>Schedule_Data_Mammoet_ScnA!G7</f>
        <v>46037</v>
      </c>
      <c r="G6" s="14">
        <f>Schedule_Data_Mammoet_ScnA!H7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Schedule_Data_Mammoet_ScnA!A8</f>
        <v>A1000</v>
      </c>
      <c r="B7" s="14" t="str">
        <f>Schedule_Data_Mammoet_ScnA!B8</f>
        <v>A0</v>
      </c>
      <c r="C7" s="14" t="str">
        <f>Schedule_Data_Mammoet_ScnA!C8</f>
        <v>Mobilization of SPMTs; Assembly + Function Test</v>
      </c>
      <c r="D7" s="15" t="str">
        <f>Schedule_Data_Mammoet_ScnA!D8</f>
        <v>MOBILIZATION</v>
      </c>
      <c r="E7" s="30">
        <f>Schedule_Data_Mammoet_ScnA!F8</f>
        <v>46037</v>
      </c>
      <c r="F7" s="30">
        <f>Schedule_Data_Mammoet_ScnA!G8</f>
        <v>46040</v>
      </c>
      <c r="G7" s="14">
        <f>Schedule_Data_Mammoet_ScnA!H8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Schedule_Data_Mammoet_ScnA!A9</f>
        <v>MARINE</v>
      </c>
      <c r="B8" s="14" t="str">
        <f>Schedule_Data_Mammoet_ScnA!B9</f>
        <v>A0</v>
      </c>
      <c r="C8" s="14" t="str">
        <f>Schedule_Data_Mammoet_ScnA!C9</f>
        <v>MARINE</v>
      </c>
      <c r="D8" s="17" t="str">
        <f>Schedule_Data_Mammoet_ScnA!D9</f>
        <v>BUFFER</v>
      </c>
      <c r="E8" s="30">
        <f>Schedule_Data_Mammoet_ScnA!F9</f>
        <v>46037</v>
      </c>
      <c r="F8" s="30">
        <f>Schedule_Data_Mammoet_ScnA!G9</f>
        <v>46037</v>
      </c>
      <c r="G8" s="14">
        <f>Schedule_Data_Mammoet_ScnA!H9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Schedule_Data_Mammoet_ScnA!A10</f>
        <v>A1001</v>
      </c>
      <c r="B9" s="14" t="str">
        <f>Schedule_Data_Mammoet_ScnA!B10</f>
        <v>A0</v>
      </c>
      <c r="C9" s="14" t="str">
        <f>Schedule_Data_Mammoet_ScnA!C10</f>
        <v>Mobilization of Marine Equipment and Steelworks</v>
      </c>
      <c r="D9" s="15" t="str">
        <f>Schedule_Data_Mammoet_ScnA!D10</f>
        <v>MOBILIZATION</v>
      </c>
      <c r="E9" s="30">
        <f>Schedule_Data_Mammoet_ScnA!F10</f>
        <v>46037</v>
      </c>
      <c r="F9" s="30">
        <f>Schedule_Data_Mammoet_ScnA!G10</f>
        <v>46037</v>
      </c>
      <c r="G9" s="14">
        <f>Schedule_Data_Mammoet_ScnA!H10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Schedule_Data_Mammoet_ScnA!A11</f>
        <v>OPERATIONAL</v>
      </c>
      <c r="B10" s="14" t="str">
        <f>Schedule_Data_Mammoet_ScnA!B11</f>
        <v>A0</v>
      </c>
      <c r="C10" s="14" t="str">
        <f>Schedule_Data_Mammoet_ScnA!C11</f>
        <v>OPERATIONAL</v>
      </c>
      <c r="D10" s="17" t="str">
        <f>Schedule_Data_Mammoet_ScnA!D11</f>
        <v>BUFFER</v>
      </c>
      <c r="E10" s="30">
        <f>Schedule_Data_Mammoet_ScnA!F11</f>
        <v>46117</v>
      </c>
      <c r="F10" s="30">
        <f>Schedule_Data_Mammoet_ScnA!G11</f>
        <v>46117</v>
      </c>
      <c r="G10" s="14">
        <f>Schedule_Data_Mammoet_ScnA!H11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7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Schedule_Data_Mammoet_ScnA!A12</f>
        <v>Beam Replacement</v>
      </c>
      <c r="B11" s="14" t="str">
        <f>Schedule_Data_Mammoet_ScnA!B12</f>
        <v>A0</v>
      </c>
      <c r="C11" s="14" t="str">
        <f>Schedule_Data_Mammoet_ScnA!C12</f>
        <v>Beam Replacement</v>
      </c>
      <c r="D11" s="17" t="str">
        <f>Schedule_Data_Mammoet_ScnA!D12</f>
        <v>BUFFER</v>
      </c>
      <c r="E11" s="30">
        <f>Schedule_Data_Mammoet_ScnA!F12</f>
        <v>46039</v>
      </c>
      <c r="F11" s="30">
        <f>Schedule_Data_Mammoet_ScnA!G12</f>
        <v>46039</v>
      </c>
      <c r="G11" s="14">
        <f>Schedule_Data_Mammoet_ScnA!H12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Schedule_Data_Mammoet_ScnA!A13</f>
        <v>A1002</v>
      </c>
      <c r="B12" s="14" t="str">
        <f>Schedule_Data_Mammoet_ScnA!B13</f>
        <v>A0</v>
      </c>
      <c r="C12" s="14" t="str">
        <f>Schedule_Data_Mammoet_ScnA!C13</f>
        <v>Beam Replacement AGI TR Unit 1 (TR Bay 4) - Two 5t forklifts required</v>
      </c>
      <c r="D12" s="17" t="str">
        <f>Schedule_Data_Mammoet_ScnA!D13</f>
        <v>BUFFER</v>
      </c>
      <c r="E12" s="30">
        <f>Schedule_Data_Mammoet_ScnA!F13</f>
        <v>46038</v>
      </c>
      <c r="F12" s="30">
        <f>Schedule_Data_Mammoet_ScnA!G13</f>
        <v>46038</v>
      </c>
      <c r="G12" s="14">
        <f>Schedule_Data_Mammoet_ScnA!H13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Schedule_Data_Mammoet_ScnA!A14</f>
        <v>A1003</v>
      </c>
      <c r="B13" s="14" t="str">
        <f>Schedule_Data_Mammoet_ScnA!B14</f>
        <v>A0</v>
      </c>
      <c r="C13" s="14" t="str">
        <f>Schedule_Data_Mammoet_ScnA!C14</f>
        <v>Beam Replacement AGI TR Unit 2 (TR Bay 3) - Two 5t forklifts required</v>
      </c>
      <c r="D13" s="17" t="str">
        <f>Schedule_Data_Mammoet_ScnA!D14</f>
        <v>BUFFER</v>
      </c>
      <c r="E13" s="30">
        <f>Schedule_Data_Mammoet_ScnA!F14</f>
        <v>46039</v>
      </c>
      <c r="F13" s="30">
        <f>Schedule_Data_Mammoet_ScnA!G14</f>
        <v>46039</v>
      </c>
      <c r="G13" s="14">
        <f>Schedule_Data_Mammoet_ScnA!H14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Schedule_Data_Mammoet_ScnA!A15</f>
        <v>Deck Preparations</v>
      </c>
      <c r="B14" s="14" t="str">
        <f>Schedule_Data_Mammoet_ScnA!B15</f>
        <v>A0</v>
      </c>
      <c r="C14" s="14" t="str">
        <f>Schedule_Data_Mammoet_ScnA!C15</f>
        <v>Deck Preparations</v>
      </c>
      <c r="D14" s="18" t="str">
        <f>Schedule_Data_Mammoet_ScnA!D15</f>
        <v>DECK_PREP</v>
      </c>
      <c r="E14" s="30">
        <f>Schedule_Data_Mammoet_ScnA!F15</f>
        <v>46040</v>
      </c>
      <c r="F14" s="30">
        <f>Schedule_Data_Mammoet_ScnA!G15</f>
        <v>46040</v>
      </c>
      <c r="G14" s="14">
        <f>Schedule_Data_Mammoet_ScnA!H15</f>
        <v>0</v>
      </c>
      <c r="H14" s="18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Schedule_Data_Mammoet_ScnA!A16</f>
        <v>A1004</v>
      </c>
      <c r="B15" s="14" t="str">
        <f>Schedule_Data_Mammoet_ScnA!B16</f>
        <v>A0</v>
      </c>
      <c r="C15" s="14" t="str">
        <f>Schedule_Data_Mammoet_ScnA!C16</f>
        <v>Deck Preparations (D-ring cutting; marking, steel sets installation) - One 5t forklift and Crane required</v>
      </c>
      <c r="D15" s="18" t="str">
        <f>Schedule_Data_Mammoet_ScnA!D16</f>
        <v>DECK_PREP</v>
      </c>
      <c r="E15" s="30">
        <f>Schedule_Data_Mammoet_ScnA!F16</f>
        <v>46038</v>
      </c>
      <c r="F15" s="30">
        <f>Schedule_Data_Mammoet_ScnA!G16</f>
        <v>46038</v>
      </c>
      <c r="G15" s="14">
        <f>Schedule_Data_Mammoet_ScnA!H16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Schedule_Data_Mammoet_ScnA!A17</f>
        <v>A1005</v>
      </c>
      <c r="B16" s="14" t="str">
        <f>Schedule_Data_Mammoet_ScnA!B17</f>
        <v>A0</v>
      </c>
      <c r="C16" s="14" t="str">
        <f>Schedule_Data_Mammoet_ScnA!C17</f>
        <v>Deck Preparations (Steel sets installation, welding) - Crane Required for steel sets installation</v>
      </c>
      <c r="D16" s="18" t="str">
        <f>Schedule_Data_Mammoet_ScnA!D17</f>
        <v>DECK_PREP</v>
      </c>
      <c r="E16" s="30">
        <f>Schedule_Data_Mammoet_ScnA!F17</f>
        <v>46039</v>
      </c>
      <c r="F16" s="30">
        <f>Schedule_Data_Mammoet_ScnA!G17</f>
        <v>46041</v>
      </c>
      <c r="G16" s="14">
        <f>Schedule_Data_Mammoet_ScnA!H17</f>
        <v>2</v>
      </c>
      <c r="H16" s="18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Schedule_Data_Mammoet_ScnA!A18</f>
        <v>AGI TR Unit 1</v>
      </c>
      <c r="B17" s="14" t="str">
        <f>Schedule_Data_Mammoet_ScnA!B18</f>
        <v>A0</v>
      </c>
      <c r="C17" s="14" t="str">
        <f>Schedule_Data_Mammoet_ScnA!C18</f>
        <v>AGI TR Unit 1</v>
      </c>
      <c r="D17" s="17" t="str">
        <f>Schedule_Data_Mammoet_ScnA!D18</f>
        <v>BUFFER</v>
      </c>
      <c r="E17" s="30">
        <f>Schedule_Data_Mammoet_ScnA!F18</f>
        <v>46050</v>
      </c>
      <c r="F17" s="30">
        <f>Schedule_Data_Mammoet_ScnA!G18</f>
        <v>46050</v>
      </c>
      <c r="G17" s="14">
        <f>Schedule_Data_Mammoet_ScnA!H18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7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Schedule_Data_Mammoet_ScnA!A19</f>
        <v>A1030</v>
      </c>
      <c r="B18" s="14" t="str">
        <f>Schedule_Data_Mammoet_ScnA!B19</f>
        <v>A0</v>
      </c>
      <c r="C18" s="14" t="str">
        <f>Schedule_Data_Mammoet_ScnA!C19</f>
        <v>Loading of AGI TR Unit 1 on SPMT; lashing; Shifting to Mina Zayed Port RoRo Jetty area</v>
      </c>
      <c r="D18" s="17" t="str">
        <f>Schedule_Data_Mammoet_ScnA!D19</f>
        <v>BUFFER</v>
      </c>
      <c r="E18" s="30">
        <f>Schedule_Data_Mammoet_ScnA!F19</f>
        <v>46041</v>
      </c>
      <c r="F18" s="30">
        <f>Schedule_Data_Mammoet_ScnA!G19</f>
        <v>46041.3</v>
      </c>
      <c r="G18" s="14">
        <f>Schedule_Data_Mammoet_ScnA!H19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Schedule_Data_Mammoet_ScnA!A20</f>
        <v>A1040</v>
      </c>
      <c r="B19" s="14" t="str">
        <f>Schedule_Data_Mammoet_ScnA!B20</f>
        <v>A0</v>
      </c>
      <c r="C19" s="14" t="str">
        <f>Schedule_Data_Mammoet_ScnA!C20</f>
        <v>RoRo Ramp Installation - 5t Forklift and Crane required</v>
      </c>
      <c r="D19" s="17" t="str">
        <f>Schedule_Data_Mammoet_ScnA!D20</f>
        <v>BUFFER</v>
      </c>
      <c r="E19" s="30">
        <f>Schedule_Data_Mammoet_ScnA!F20</f>
        <v>46041</v>
      </c>
      <c r="F19" s="30">
        <f>Schedule_Data_Mammoet_ScnA!G20</f>
        <v>46041.3</v>
      </c>
      <c r="G19" s="14">
        <f>Schedule_Data_Mammoet_ScnA!H20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Schedule_Data_Mammoet_ScnA!A21</f>
        <v>A1060</v>
      </c>
      <c r="B20" s="14" t="str">
        <f>Schedule_Data_Mammoet_ScnA!B21</f>
        <v>A0</v>
      </c>
      <c r="C20" s="14" t="str">
        <f>Schedule_Data_Mammoet_ScnA!C21</f>
        <v>Load-out of AGI TR Unit 1; stool down</v>
      </c>
      <c r="D20" s="19" t="str">
        <f>Schedule_Data_Mammoet_ScnA!D21</f>
        <v>LOADOUT</v>
      </c>
      <c r="E20" s="30">
        <f>Schedule_Data_Mammoet_ScnA!F21</f>
        <v>46041</v>
      </c>
      <c r="F20" s="30">
        <f>Schedule_Data_Mammoet_ScnA!G21</f>
        <v>46041.2</v>
      </c>
      <c r="G20" s="14">
        <f>Schedule_Data_Mammoet_ScnA!H21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Schedule_Data_Mammoet_ScnA!A22</f>
        <v>A1070</v>
      </c>
      <c r="B21" s="14" t="str">
        <f>Schedule_Data_Mammoet_ScnA!B22</f>
        <v>A0</v>
      </c>
      <c r="C21" s="14" t="str">
        <f>Schedule_Data_Mammoet_ScnA!C22</f>
        <v>RoRo ramp removal; Seafastening AGI TR Unit 1 - Crane required</v>
      </c>
      <c r="D21" s="20" t="str">
        <f>Schedule_Data_Mammoet_ScnA!D22</f>
        <v>SEAFAST</v>
      </c>
      <c r="E21" s="30">
        <f>Schedule_Data_Mammoet_ScnA!F22</f>
        <v>46041</v>
      </c>
      <c r="F21" s="30">
        <f>Schedule_Data_Mammoet_ScnA!G22</f>
        <v>46041</v>
      </c>
      <c r="G21" s="14">
        <f>Schedule_Data_Mammoet_ScnA!H22</f>
        <v>0</v>
      </c>
      <c r="H21" s="14"/>
      <c r="I21" s="20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Schedule_Data_Mammoet_ScnA!A23</f>
        <v>A1080</v>
      </c>
      <c r="B22" s="14" t="str">
        <f>Schedule_Data_Mammoet_ScnA!B23</f>
        <v>A0</v>
      </c>
      <c r="C22" s="14" t="str">
        <f>Schedule_Data_Mammoet_ScnA!C23</f>
        <v>MWS + MPI + Final Preparations</v>
      </c>
      <c r="D22" s="17" t="str">
        <f>Schedule_Data_Mammoet_ScnA!D23</f>
        <v>BUFFER</v>
      </c>
      <c r="E22" s="30">
        <f>Schedule_Data_Mammoet_ScnA!F23</f>
        <v>46042</v>
      </c>
      <c r="F22" s="30">
        <f>Schedule_Data_Mammoet_ScnA!G23</f>
        <v>46042.2</v>
      </c>
      <c r="G22" s="14">
        <f>Schedule_Data_Mammoet_ScnA!H23</f>
        <v>0.2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Schedule_Data_Mammoet_ScnA!A24</f>
        <v>A1081</v>
      </c>
      <c r="B23" s="14" t="str">
        <f>Schedule_Data_Mammoet_ScnA!B24</f>
        <v>A0</v>
      </c>
      <c r="C23" s="14" t="str">
        <f>Schedule_Data_Mammoet_ScnA!C24</f>
        <v>Sail-away - Marine Transportation by LCT to Al Ghallan Island</v>
      </c>
      <c r="D23" s="21" t="str">
        <f>Schedule_Data_Mammoet_ScnA!D24</f>
        <v>SAIL</v>
      </c>
      <c r="E23" s="30">
        <f>Schedule_Data_Mammoet_ScnA!F24</f>
        <v>46043</v>
      </c>
      <c r="F23" s="30">
        <f>Schedule_Data_Mammoet_ScnA!G24</f>
        <v>46043</v>
      </c>
      <c r="G23" s="14">
        <f>Schedule_Data_Mammoet_ScnA!H24</f>
        <v>0</v>
      </c>
      <c r="H23" s="14"/>
      <c r="I23" s="14"/>
      <c r="J23" s="14"/>
      <c r="K23" s="21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Schedule_Data_Mammoet_ScnA!A25</f>
        <v>A1090</v>
      </c>
      <c r="B24" s="14" t="str">
        <f>Schedule_Data_Mammoet_ScnA!B25</f>
        <v>A0</v>
      </c>
      <c r="C24" s="14" t="str">
        <f>Schedule_Data_Mammoet_ScnA!C25</f>
        <v>MMT Crew Mob to AGI</v>
      </c>
      <c r="D24" s="17" t="str">
        <f>Schedule_Data_Mammoet_ScnA!D25</f>
        <v>BUFFER</v>
      </c>
      <c r="E24" s="30">
        <f>Schedule_Data_Mammoet_ScnA!F25</f>
        <v>46044</v>
      </c>
      <c r="F24" s="30">
        <f>Schedule_Data_Mammoet_ScnA!G25</f>
        <v>46044</v>
      </c>
      <c r="G24" s="14">
        <f>Schedule_Data_Mammoet_ScnA!H25</f>
        <v>0</v>
      </c>
      <c r="H24" s="14"/>
      <c r="I24" s="14"/>
      <c r="J24" s="14"/>
      <c r="K24" s="14"/>
      <c r="L24" s="17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Schedule_Data_Mammoet_ScnA!A26</f>
        <v>A1091</v>
      </c>
      <c r="B25" s="14" t="str">
        <f>Schedule_Data_Mammoet_ScnA!B26</f>
        <v>A0</v>
      </c>
      <c r="C25" s="14" t="str">
        <f>Schedule_Data_Mammoet_ScnA!C26</f>
        <v>LCT Arrival; Berthing at AGI RoRo Jetty</v>
      </c>
      <c r="D25" s="22" t="str">
        <f>Schedule_Data_Mammoet_ScnA!D26</f>
        <v>AGI_UNLOAD</v>
      </c>
      <c r="E25" s="30">
        <f>Schedule_Data_Mammoet_ScnA!F26</f>
        <v>46044</v>
      </c>
      <c r="F25" s="30">
        <f>Schedule_Data_Mammoet_ScnA!G26</f>
        <v>46044</v>
      </c>
      <c r="G25" s="14">
        <f>Schedule_Data_Mammoet_ScnA!H26</f>
        <v>0</v>
      </c>
      <c r="H25" s="14"/>
      <c r="I25" s="14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Schedule_Data_Mammoet_ScnA!A27</f>
        <v>A1100</v>
      </c>
      <c r="B26" s="14" t="str">
        <f>Schedule_Data_Mammoet_ScnA!B27</f>
        <v>A0</v>
      </c>
      <c r="C26" s="14" t="str">
        <f>Schedule_Data_Mammoet_ScnA!C27</f>
        <v>Unlashing and cutting</v>
      </c>
      <c r="D26" s="17" t="str">
        <f>Schedule_Data_Mammoet_ScnA!D27</f>
        <v>BUFFER</v>
      </c>
      <c r="E26" s="30">
        <f>Schedule_Data_Mammoet_ScnA!F27</f>
        <v>46044</v>
      </c>
      <c r="F26" s="30">
        <f>Schedule_Data_Mammoet_ScnA!G27</f>
        <v>46044</v>
      </c>
      <c r="G26" s="14">
        <f>Schedule_Data_Mammoet_ScnA!H27</f>
        <v>0</v>
      </c>
      <c r="H26" s="14"/>
      <c r="I26" s="14"/>
      <c r="J26" s="14"/>
      <c r="K26" s="14"/>
      <c r="L26" s="17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Schedule_Data_Mammoet_ScnA!A28</f>
        <v>A1120</v>
      </c>
      <c r="B27" s="14" t="str">
        <f>Schedule_Data_Mammoet_ScnA!B28</f>
        <v>A0</v>
      </c>
      <c r="C27" s="14" t="str">
        <f>Schedule_Data_Mammoet_ScnA!C28</f>
        <v>Load-in of AGI TR Unit 1 (including RoRo Ramp Installation); store on Jetty - Crane required</v>
      </c>
      <c r="D27" s="19" t="str">
        <f>Schedule_Data_Mammoet_ScnA!D28</f>
        <v>LOADOUT</v>
      </c>
      <c r="E27" s="30">
        <f>Schedule_Data_Mammoet_ScnA!F28</f>
        <v>46044</v>
      </c>
      <c r="F27" s="30">
        <f>Schedule_Data_Mammoet_ScnA!G28</f>
        <v>46044</v>
      </c>
      <c r="G27" s="14">
        <f>Schedule_Data_Mammoet_ScnA!H28</f>
        <v>0</v>
      </c>
      <c r="H27" s="14"/>
      <c r="I27" s="14"/>
      <c r="J27" s="14"/>
      <c r="K27" s="14"/>
      <c r="L27" s="19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Schedule_Data_Mammoet_ScnA!A29</f>
        <v>A1121</v>
      </c>
      <c r="B28" s="14" t="str">
        <f>Schedule_Data_Mammoet_ScnA!B29</f>
        <v>A0</v>
      </c>
      <c r="C28" s="14" t="str">
        <f>Schedule_Data_Mammoet_ScnA!C29</f>
        <v>Steel bridge Installation 1</v>
      </c>
      <c r="D28" s="17" t="str">
        <f>Schedule_Data_Mammoet_ScnA!D29</f>
        <v>BUFFER</v>
      </c>
      <c r="E28" s="30">
        <f>Schedule_Data_Mammoet_ScnA!F29</f>
        <v>46045</v>
      </c>
      <c r="F28" s="30">
        <f>Schedule_Data_Mammoet_ScnA!G29</f>
        <v>46045.3</v>
      </c>
      <c r="G28" s="14">
        <f>Schedule_Data_Mammoet_ScnA!H29</f>
        <v>0.3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Schedule_Data_Mammoet_ScnA!A30</f>
        <v>A1140</v>
      </c>
      <c r="B29" s="14" t="str">
        <f>Schedule_Data_Mammoet_ScnA!B30</f>
        <v>A0</v>
      </c>
      <c r="C29" s="14" t="str">
        <f>Schedule_Data_Mammoet_ScnA!C30</f>
        <v>AGI TR Unit 1 load on SPMT</v>
      </c>
      <c r="D29" s="17" t="str">
        <f>Schedule_Data_Mammoet_ScnA!D30</f>
        <v>BUFFER</v>
      </c>
      <c r="E29" s="30">
        <f>Schedule_Data_Mammoet_ScnA!F30</f>
        <v>46045</v>
      </c>
      <c r="F29" s="30">
        <f>Schedule_Data_Mammoet_ScnA!G30</f>
        <v>46045.7</v>
      </c>
      <c r="G29" s="14">
        <f>Schedule_Data_Mammoet_ScnA!H30</f>
        <v>0.7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Schedule_Data_Mammoet_ScnA!A31</f>
        <v>A1141</v>
      </c>
      <c r="B30" s="14" t="str">
        <f>Schedule_Data_Mammoet_ScnA!B31</f>
        <v>A0</v>
      </c>
      <c r="C30" s="14" t="str">
        <f>Schedule_Data_Mammoet_ScnA!C31</f>
        <v>Turning of AGI TR Unit 1 - 10t Forklift required</v>
      </c>
      <c r="D30" s="23" t="str">
        <f>Schedule_Data_Mammoet_ScnA!D31</f>
        <v>TURNING</v>
      </c>
      <c r="E30" s="30">
        <f>Schedule_Data_Mammoet_ScnA!F31</f>
        <v>46045</v>
      </c>
      <c r="F30" s="30">
        <f>Schedule_Data_Mammoet_ScnA!G31</f>
        <v>46045</v>
      </c>
      <c r="G30" s="14">
        <f>Schedule_Data_Mammoet_ScnA!H31</f>
        <v>0</v>
      </c>
      <c r="H30" s="14"/>
      <c r="I30" s="14"/>
      <c r="J30" s="14"/>
      <c r="K30" s="14"/>
      <c r="L30" s="14"/>
      <c r="M30" s="23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Schedule_Data_Mammoet_ScnA!A32</f>
        <v>A1150</v>
      </c>
      <c r="B31" s="14" t="str">
        <f>Schedule_Data_Mammoet_ScnA!B32</f>
        <v>A0</v>
      </c>
      <c r="C31" s="14" t="str">
        <f>Schedule_Data_Mammoet_ScnA!C32</f>
        <v>Jacking down of AGI TR Unit 1 on temporary support - Forklift required</v>
      </c>
      <c r="D31" s="31" t="str">
        <f>Schedule_Data_Mammoet_ScnA!D32</f>
        <v>JACKDOWN</v>
      </c>
      <c r="E31" s="30">
        <f>Schedule_Data_Mammoet_ScnA!F32</f>
        <v>46048</v>
      </c>
      <c r="F31" s="30">
        <f>Schedule_Data_Mammoet_ScnA!G32</f>
        <v>46048</v>
      </c>
      <c r="G31" s="14">
        <f>Schedule_Data_Mammoet_ScnA!H32</f>
        <v>0</v>
      </c>
      <c r="H31" s="14"/>
      <c r="I31" s="14"/>
      <c r="J31" s="14"/>
      <c r="K31" s="14"/>
      <c r="L31" s="14"/>
      <c r="M31" s="14"/>
      <c r="N31" s="14"/>
      <c r="O31" s="14"/>
      <c r="P31" s="31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Schedule_Data_Mammoet_ScnA!A33</f>
        <v>A1200</v>
      </c>
      <c r="B32" s="14" t="str">
        <f>Schedule_Data_Mammoet_ScnA!B33</f>
        <v>A0</v>
      </c>
      <c r="C32" s="14" t="str">
        <f>Schedule_Data_Mammoet_ScnA!C33</f>
        <v>SPMT shifting from TR Bay Area to Jetty; Loading on LCT (if tide allows)</v>
      </c>
      <c r="D32" s="17" t="str">
        <f>Schedule_Data_Mammoet_ScnA!D33</f>
        <v>BUFFER</v>
      </c>
      <c r="E32" s="30">
        <f>Schedule_Data_Mammoet_ScnA!F33</f>
        <v>46049</v>
      </c>
      <c r="F32" s="30">
        <f>Schedule_Data_Mammoet_ScnA!G33</f>
        <v>46049</v>
      </c>
      <c r="G32" s="14">
        <f>Schedule_Data_Mammoet_ScnA!H33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Schedule_Data_Mammoet_ScnA!A34</f>
        <v>A1210</v>
      </c>
      <c r="B33" s="14" t="str">
        <f>Schedule_Data_Mammoet_ScnA!B34</f>
        <v>A0</v>
      </c>
      <c r="C33" s="14" t="str">
        <f>Schedule_Data_Mammoet_ScnA!C34</f>
        <v>LCT Sail-away back to Mina Zayed Port; MMT SPMT Crew Demobilization</v>
      </c>
      <c r="D33" s="15" t="str">
        <f>Schedule_Data_Mammoet_ScnA!D34</f>
        <v>MOBILIZATION</v>
      </c>
      <c r="E33" s="30">
        <f>Schedule_Data_Mammoet_ScnA!F34</f>
        <v>46049</v>
      </c>
      <c r="F33" s="30">
        <f>Schedule_Data_Mammoet_ScnA!G34</f>
        <v>46049</v>
      </c>
      <c r="G33" s="14">
        <f>Schedule_Data_Mammoet_ScnA!H34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32" t="s">
        <v>272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Schedule_Data_Mammoet_ScnA!A35</f>
        <v>A1220</v>
      </c>
      <c r="B34" s="14" t="str">
        <f>Schedule_Data_Mammoet_ScnA!B35</f>
        <v>A0</v>
      </c>
      <c r="C34" s="14" t="str">
        <f>Schedule_Data_Mammoet_ScnA!C35</f>
        <v>MMT Jacking Crew Demobilization</v>
      </c>
      <c r="D34" s="15" t="str">
        <f>Schedule_Data_Mammoet_ScnA!D35</f>
        <v>MOBILIZATION</v>
      </c>
      <c r="E34" s="30">
        <f>Schedule_Data_Mammoet_ScnA!F35</f>
        <v>46050</v>
      </c>
      <c r="F34" s="30">
        <f>Schedule_Data_Mammoet_ScnA!G35</f>
        <v>46050</v>
      </c>
      <c r="G34" s="14">
        <f>Schedule_Data_Mammoet_ScnA!H35</f>
        <v>0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32" t="s">
        <v>272</v>
      </c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Schedule_Data_Mammoet_ScnA!A36</f>
        <v>AGI TR Unit 2</v>
      </c>
      <c r="B35" s="14" t="str">
        <f>Schedule_Data_Mammoet_ScnA!B36</f>
        <v>A0</v>
      </c>
      <c r="C35" s="14" t="str">
        <f>Schedule_Data_Mammoet_ScnA!C36</f>
        <v>AGI TR Unit 2</v>
      </c>
      <c r="D35" s="17" t="str">
        <f>Schedule_Data_Mammoet_ScnA!D36</f>
        <v>BUFFER</v>
      </c>
      <c r="E35" s="30">
        <f>Schedule_Data_Mammoet_ScnA!F36</f>
        <v>46060</v>
      </c>
      <c r="F35" s="30">
        <f>Schedule_Data_Mammoet_ScnA!G36</f>
        <v>46060</v>
      </c>
      <c r="G35" s="14">
        <f>Schedule_Data_Mammoet_ScnA!H36</f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7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Schedule_Data_Mammoet_ScnA!A37</f>
        <v>A2030</v>
      </c>
      <c r="B36" s="14" t="str">
        <f>Schedule_Data_Mammoet_ScnA!B37</f>
        <v>A0</v>
      </c>
      <c r="C36" s="14" t="str">
        <f>Schedule_Data_Mammoet_ScnA!C37</f>
        <v>Loading of AGI TR Unit 2 on SPMT; lashing; Shifting to Mina Zayed Port RoRo Jetty area</v>
      </c>
      <c r="D36" s="17" t="str">
        <f>Schedule_Data_Mammoet_ScnA!D37</f>
        <v>BUFFER</v>
      </c>
      <c r="E36" s="30">
        <f>Schedule_Data_Mammoet_ScnA!F37</f>
        <v>46051</v>
      </c>
      <c r="F36" s="30">
        <f>Schedule_Data_Mammoet_ScnA!G37</f>
        <v>46051.3</v>
      </c>
      <c r="G36" s="14">
        <f>Schedule_Data_Mammoet_ScnA!H37</f>
        <v>0.3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Schedule_Data_Mammoet_ScnA!A38</f>
        <v>A2040</v>
      </c>
      <c r="B37" s="14" t="str">
        <f>Schedule_Data_Mammoet_ScnA!B38</f>
        <v>A0</v>
      </c>
      <c r="C37" s="14" t="str">
        <f>Schedule_Data_Mammoet_ScnA!C38</f>
        <v>RoRo Ramp Installation - 5t Forklift and Crane required</v>
      </c>
      <c r="D37" s="17" t="str">
        <f>Schedule_Data_Mammoet_ScnA!D38</f>
        <v>BUFFER</v>
      </c>
      <c r="E37" s="30">
        <f>Schedule_Data_Mammoet_ScnA!F38</f>
        <v>46051</v>
      </c>
      <c r="F37" s="30">
        <f>Schedule_Data_Mammoet_ScnA!G38</f>
        <v>46051.3</v>
      </c>
      <c r="G37" s="14">
        <f>Schedule_Data_Mammoet_ScnA!H38</f>
        <v>0.3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Schedule_Data_Mammoet_ScnA!A39</f>
        <v>A2060</v>
      </c>
      <c r="B38" s="14" t="str">
        <f>Schedule_Data_Mammoet_ScnA!B39</f>
        <v>A0</v>
      </c>
      <c r="C38" s="14" t="str">
        <f>Schedule_Data_Mammoet_ScnA!C39</f>
        <v>Load-out of AGI TR Unit 2; stool down</v>
      </c>
      <c r="D38" s="19" t="str">
        <f>Schedule_Data_Mammoet_ScnA!D39</f>
        <v>LOADOUT</v>
      </c>
      <c r="E38" s="30">
        <f>Schedule_Data_Mammoet_ScnA!F39</f>
        <v>46051</v>
      </c>
      <c r="F38" s="30">
        <f>Schedule_Data_Mammoet_ScnA!G39</f>
        <v>46051.199999999997</v>
      </c>
      <c r="G38" s="14">
        <f>Schedule_Data_Mammoet_ScnA!H39</f>
        <v>0.2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Schedule_Data_Mammoet_ScnA!A40</f>
        <v>A2070</v>
      </c>
      <c r="B39" s="14" t="str">
        <f>Schedule_Data_Mammoet_ScnA!B40</f>
        <v>A0</v>
      </c>
      <c r="C39" s="14" t="str">
        <f>Schedule_Data_Mammoet_ScnA!C40</f>
        <v>RoRo ramp removal; Seafastening AGI TR Unit 2 - Crane required</v>
      </c>
      <c r="D39" s="20" t="str">
        <f>Schedule_Data_Mammoet_ScnA!D40</f>
        <v>SEAFAST</v>
      </c>
      <c r="E39" s="30">
        <f>Schedule_Data_Mammoet_ScnA!F40</f>
        <v>46051</v>
      </c>
      <c r="F39" s="30">
        <f>Schedule_Data_Mammoet_ScnA!G40</f>
        <v>46051</v>
      </c>
      <c r="G39" s="14">
        <f>Schedule_Data_Mammoet_ScnA!H40</f>
        <v>0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20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Schedule_Data_Mammoet_ScnA!A41</f>
        <v>A2080</v>
      </c>
      <c r="B40" s="14" t="str">
        <f>Schedule_Data_Mammoet_ScnA!B41</f>
        <v>A0</v>
      </c>
      <c r="C40" s="14" t="str">
        <f>Schedule_Data_Mammoet_ScnA!C41</f>
        <v>MWS + MPI + Final Preparations</v>
      </c>
      <c r="D40" s="17" t="str">
        <f>Schedule_Data_Mammoet_ScnA!D41</f>
        <v>BUFFER</v>
      </c>
      <c r="E40" s="30">
        <f>Schedule_Data_Mammoet_ScnA!F41</f>
        <v>46052</v>
      </c>
      <c r="F40" s="30">
        <f>Schedule_Data_Mammoet_ScnA!G41</f>
        <v>46052.2</v>
      </c>
      <c r="G40" s="14">
        <f>Schedule_Data_Mammoet_ScnA!H41</f>
        <v>0.2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Schedule_Data_Mammoet_ScnA!A42</f>
        <v>A2081</v>
      </c>
      <c r="B41" s="14" t="str">
        <f>Schedule_Data_Mammoet_ScnA!B42</f>
        <v>A0</v>
      </c>
      <c r="C41" s="14" t="str">
        <f>Schedule_Data_Mammoet_ScnA!C42</f>
        <v>Sail-away - Marine Transportation by LCT to Al Ghallan Island</v>
      </c>
      <c r="D41" s="21" t="str">
        <f>Schedule_Data_Mammoet_ScnA!D42</f>
        <v>SAIL</v>
      </c>
      <c r="E41" s="30">
        <f>Schedule_Data_Mammoet_ScnA!F42</f>
        <v>46053</v>
      </c>
      <c r="F41" s="30">
        <f>Schedule_Data_Mammoet_ScnA!G42</f>
        <v>46053</v>
      </c>
      <c r="G41" s="14">
        <f>Schedule_Data_Mammoet_ScnA!H42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21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Schedule_Data_Mammoet_ScnA!A43</f>
        <v>A2090</v>
      </c>
      <c r="B42" s="14" t="str">
        <f>Schedule_Data_Mammoet_ScnA!B43</f>
        <v>A0</v>
      </c>
      <c r="C42" s="14" t="str">
        <f>Schedule_Data_Mammoet_ScnA!C43</f>
        <v>MMT Crew Mob to AGI</v>
      </c>
      <c r="D42" s="17" t="str">
        <f>Schedule_Data_Mammoet_ScnA!D43</f>
        <v>BUFFER</v>
      </c>
      <c r="E42" s="30">
        <f>Schedule_Data_Mammoet_ScnA!F43</f>
        <v>46054</v>
      </c>
      <c r="F42" s="30">
        <f>Schedule_Data_Mammoet_ScnA!G43</f>
        <v>46054</v>
      </c>
      <c r="G42" s="14">
        <f>Schedule_Data_Mammoet_ScnA!H43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7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Schedule_Data_Mammoet_ScnA!A44</f>
        <v>A2091</v>
      </c>
      <c r="B43" s="14" t="str">
        <f>Schedule_Data_Mammoet_ScnA!B44</f>
        <v>A0</v>
      </c>
      <c r="C43" s="14" t="str">
        <f>Schedule_Data_Mammoet_ScnA!C44</f>
        <v>LCT Arrival; Berthing at AGI RoRo Jetty</v>
      </c>
      <c r="D43" s="22" t="str">
        <f>Schedule_Data_Mammoet_ScnA!D44</f>
        <v>AGI_UNLOAD</v>
      </c>
      <c r="E43" s="30">
        <f>Schedule_Data_Mammoet_ScnA!F44</f>
        <v>46054</v>
      </c>
      <c r="F43" s="30">
        <f>Schedule_Data_Mammoet_ScnA!G44</f>
        <v>46054</v>
      </c>
      <c r="G43" s="14">
        <f>Schedule_Data_Mammoet_ScnA!H44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22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Schedule_Data_Mammoet_ScnA!A45</f>
        <v>A2100</v>
      </c>
      <c r="B44" s="14" t="str">
        <f>Schedule_Data_Mammoet_ScnA!B45</f>
        <v>A0</v>
      </c>
      <c r="C44" s="14" t="str">
        <f>Schedule_Data_Mammoet_ScnA!C45</f>
        <v>Unlashing and cutting</v>
      </c>
      <c r="D44" s="17" t="str">
        <f>Schedule_Data_Mammoet_ScnA!D45</f>
        <v>BUFFER</v>
      </c>
      <c r="E44" s="30">
        <f>Schedule_Data_Mammoet_ScnA!F45</f>
        <v>46054</v>
      </c>
      <c r="F44" s="30">
        <f>Schedule_Data_Mammoet_ScnA!G45</f>
        <v>46054</v>
      </c>
      <c r="G44" s="14">
        <f>Schedule_Data_Mammoet_ScnA!H45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7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Schedule_Data_Mammoet_ScnA!A46</f>
        <v>A2120</v>
      </c>
      <c r="B45" s="14" t="str">
        <f>Schedule_Data_Mammoet_ScnA!B46</f>
        <v>A0</v>
      </c>
      <c r="C45" s="14" t="str">
        <f>Schedule_Data_Mammoet_ScnA!C46</f>
        <v>Load-in of AGI TR Unit 2 (including RoRo Ramp Installation); store on Jetty - Crane required</v>
      </c>
      <c r="D45" s="19" t="str">
        <f>Schedule_Data_Mammoet_ScnA!D46</f>
        <v>LOADOUT</v>
      </c>
      <c r="E45" s="30">
        <f>Schedule_Data_Mammoet_ScnA!F46</f>
        <v>46054</v>
      </c>
      <c r="F45" s="30">
        <f>Schedule_Data_Mammoet_ScnA!G46</f>
        <v>46054</v>
      </c>
      <c r="G45" s="14">
        <f>Schedule_Data_Mammoet_ScnA!H46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9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Schedule_Data_Mammoet_ScnA!A47</f>
        <v>A2121</v>
      </c>
      <c r="B46" s="14" t="str">
        <f>Schedule_Data_Mammoet_ScnA!B47</f>
        <v>A0</v>
      </c>
      <c r="C46" s="14" t="str">
        <f>Schedule_Data_Mammoet_ScnA!C47</f>
        <v>Steel bridge Installation 1</v>
      </c>
      <c r="D46" s="17" t="str">
        <f>Schedule_Data_Mammoet_ScnA!D47</f>
        <v>BUFFER</v>
      </c>
      <c r="E46" s="30">
        <f>Schedule_Data_Mammoet_ScnA!F47</f>
        <v>46055</v>
      </c>
      <c r="F46" s="30">
        <f>Schedule_Data_Mammoet_ScnA!G47</f>
        <v>46055.3</v>
      </c>
      <c r="G46" s="14">
        <f>Schedule_Data_Mammoet_ScnA!H47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Schedule_Data_Mammoet_ScnA!A48</f>
        <v>A2140</v>
      </c>
      <c r="B47" s="14" t="str">
        <f>Schedule_Data_Mammoet_ScnA!B48</f>
        <v>A0</v>
      </c>
      <c r="C47" s="14" t="str">
        <f>Schedule_Data_Mammoet_ScnA!C48</f>
        <v>AGI TR Unit 2 load on SPMT</v>
      </c>
      <c r="D47" s="17" t="str">
        <f>Schedule_Data_Mammoet_ScnA!D48</f>
        <v>BUFFER</v>
      </c>
      <c r="E47" s="30">
        <f>Schedule_Data_Mammoet_ScnA!F48</f>
        <v>46055</v>
      </c>
      <c r="F47" s="30">
        <f>Schedule_Data_Mammoet_ScnA!G48</f>
        <v>46055.7</v>
      </c>
      <c r="G47" s="14">
        <f>Schedule_Data_Mammoet_ScnA!H48</f>
        <v>0.7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Schedule_Data_Mammoet_ScnA!A49</f>
        <v>A2141</v>
      </c>
      <c r="B48" s="14" t="str">
        <f>Schedule_Data_Mammoet_ScnA!B49</f>
        <v>A0</v>
      </c>
      <c r="C48" s="14" t="str">
        <f>Schedule_Data_Mammoet_ScnA!C49</f>
        <v>Turning of AGI TR Unit 2 - 10t Forklift required</v>
      </c>
      <c r="D48" s="23" t="str">
        <f>Schedule_Data_Mammoet_ScnA!D49</f>
        <v>TURNING</v>
      </c>
      <c r="E48" s="30">
        <f>Schedule_Data_Mammoet_ScnA!F49</f>
        <v>46055</v>
      </c>
      <c r="F48" s="30">
        <f>Schedule_Data_Mammoet_ScnA!G49</f>
        <v>46055</v>
      </c>
      <c r="G48" s="14">
        <f>Schedule_Data_Mammoet_ScnA!H49</f>
        <v>0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23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Schedule_Data_Mammoet_ScnA!A50</f>
        <v>A2150</v>
      </c>
      <c r="B49" s="14" t="str">
        <f>Schedule_Data_Mammoet_ScnA!B50</f>
        <v>A0</v>
      </c>
      <c r="C49" s="14" t="str">
        <f>Schedule_Data_Mammoet_ScnA!C50</f>
        <v>Jacking down of AGI TR Unit 2 on temporary support - Forklift required</v>
      </c>
      <c r="D49" s="31" t="str">
        <f>Schedule_Data_Mammoet_ScnA!D50</f>
        <v>JACKDOWN</v>
      </c>
      <c r="E49" s="30">
        <f>Schedule_Data_Mammoet_ScnA!F50</f>
        <v>46058</v>
      </c>
      <c r="F49" s="30">
        <f>Schedule_Data_Mammoet_ScnA!G50</f>
        <v>46058</v>
      </c>
      <c r="G49" s="14">
        <f>Schedule_Data_Mammoet_ScnA!H50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31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Schedule_Data_Mammoet_ScnA!A51</f>
        <v>A2200</v>
      </c>
      <c r="B50" s="14" t="str">
        <f>Schedule_Data_Mammoet_ScnA!B51</f>
        <v>A0</v>
      </c>
      <c r="C50" s="14" t="str">
        <f>Schedule_Data_Mammoet_ScnA!C51</f>
        <v>SPMT shifting from TR Bay Area to Jetty; Loading on LCT (if tide allows)</v>
      </c>
      <c r="D50" s="17" t="str">
        <f>Schedule_Data_Mammoet_ScnA!D51</f>
        <v>BUFFER</v>
      </c>
      <c r="E50" s="30">
        <f>Schedule_Data_Mammoet_ScnA!F51</f>
        <v>46059</v>
      </c>
      <c r="F50" s="30">
        <f>Schedule_Data_Mammoet_ScnA!G51</f>
        <v>46059</v>
      </c>
      <c r="G50" s="14">
        <f>Schedule_Data_Mammoet_ScnA!H51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7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Schedule_Data_Mammoet_ScnA!A52</f>
        <v>A2210</v>
      </c>
      <c r="B51" s="14" t="str">
        <f>Schedule_Data_Mammoet_ScnA!B52</f>
        <v>A0</v>
      </c>
      <c r="C51" s="14" t="str">
        <f>Schedule_Data_Mammoet_ScnA!C52</f>
        <v>LCT Sail-away back to Mina Zayed Port; MMT SPMT Crew Demobilization</v>
      </c>
      <c r="D51" s="15" t="str">
        <f>Schedule_Data_Mammoet_ScnA!D52</f>
        <v>MOBILIZATION</v>
      </c>
      <c r="E51" s="30">
        <f>Schedule_Data_Mammoet_ScnA!F52</f>
        <v>46059</v>
      </c>
      <c r="F51" s="30">
        <f>Schedule_Data_Mammoet_ScnA!G52</f>
        <v>46059</v>
      </c>
      <c r="G51" s="14">
        <f>Schedule_Data_Mammoet_ScnA!H52</f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32" t="s">
        <v>272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Schedule_Data_Mammoet_ScnA!A53</f>
        <v>A2220</v>
      </c>
      <c r="B52" s="14" t="str">
        <f>Schedule_Data_Mammoet_ScnA!B53</f>
        <v>A0</v>
      </c>
      <c r="C52" s="14" t="str">
        <f>Schedule_Data_Mammoet_ScnA!C53</f>
        <v>MMT Jacking Crew Demobilization</v>
      </c>
      <c r="D52" s="15" t="str">
        <f>Schedule_Data_Mammoet_ScnA!D53</f>
        <v>MOBILIZATION</v>
      </c>
      <c r="E52" s="30">
        <f>Schedule_Data_Mammoet_ScnA!F53</f>
        <v>46060</v>
      </c>
      <c r="F52" s="30">
        <f>Schedule_Data_Mammoet_ScnA!G53</f>
        <v>46060</v>
      </c>
      <c r="G52" s="14">
        <f>Schedule_Data_Mammoet_ScnA!H53</f>
        <v>0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32" t="s">
        <v>272</v>
      </c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Schedule_Data_Mammoet_ScnA!A54</f>
        <v>AGI TR Unit 3</v>
      </c>
      <c r="B53" s="14" t="str">
        <f>Schedule_Data_Mammoet_ScnA!B54</f>
        <v>A0</v>
      </c>
      <c r="C53" s="14" t="str">
        <f>Schedule_Data_Mammoet_ScnA!C54</f>
        <v>AGI TR Unit 3</v>
      </c>
      <c r="D53" s="17" t="str">
        <f>Schedule_Data_Mammoet_ScnA!D54</f>
        <v>BUFFER</v>
      </c>
      <c r="E53" s="30">
        <f>Schedule_Data_Mammoet_ScnA!F54</f>
        <v>46077</v>
      </c>
      <c r="F53" s="30">
        <f>Schedule_Data_Mammoet_ScnA!G54</f>
        <v>46077</v>
      </c>
      <c r="G53" s="14">
        <f>Schedule_Data_Mammoet_ScnA!H54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7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Schedule_Data_Mammoet_ScnA!A55</f>
        <v>A3030</v>
      </c>
      <c r="B54" s="14" t="str">
        <f>Schedule_Data_Mammoet_ScnA!B55</f>
        <v>A0</v>
      </c>
      <c r="C54" s="14" t="str">
        <f>Schedule_Data_Mammoet_ScnA!C55</f>
        <v>Loading of AGI TR Unit 3 on SPMT; lashing; Shifting to Mina Zayed Port RoRo Jetty area</v>
      </c>
      <c r="D54" s="17" t="str">
        <f>Schedule_Data_Mammoet_ScnA!D55</f>
        <v>BUFFER</v>
      </c>
      <c r="E54" s="30">
        <f>Schedule_Data_Mammoet_ScnA!F55</f>
        <v>46068</v>
      </c>
      <c r="F54" s="30">
        <f>Schedule_Data_Mammoet_ScnA!G55</f>
        <v>46068.3</v>
      </c>
      <c r="G54" s="14">
        <f>Schedule_Data_Mammoet_ScnA!H55</f>
        <v>0.3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Schedule_Data_Mammoet_ScnA!A56</f>
        <v>A3040</v>
      </c>
      <c r="B55" s="14" t="str">
        <f>Schedule_Data_Mammoet_ScnA!B56</f>
        <v>A0</v>
      </c>
      <c r="C55" s="14" t="str">
        <f>Schedule_Data_Mammoet_ScnA!C56</f>
        <v>RoRo Ramp Installation - 5t Forklift and Crane required</v>
      </c>
      <c r="D55" s="17" t="str">
        <f>Schedule_Data_Mammoet_ScnA!D56</f>
        <v>BUFFER</v>
      </c>
      <c r="E55" s="30">
        <f>Schedule_Data_Mammoet_ScnA!F56</f>
        <v>46068</v>
      </c>
      <c r="F55" s="30">
        <f>Schedule_Data_Mammoet_ScnA!G56</f>
        <v>46068.3</v>
      </c>
      <c r="G55" s="14">
        <f>Schedule_Data_Mammoet_ScnA!H56</f>
        <v>0.3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Schedule_Data_Mammoet_ScnA!A57</f>
        <v>A3060</v>
      </c>
      <c r="B56" s="14" t="str">
        <f>Schedule_Data_Mammoet_ScnA!B57</f>
        <v>A0</v>
      </c>
      <c r="C56" s="14" t="str">
        <f>Schedule_Data_Mammoet_ScnA!C57</f>
        <v>Load-out of AGI TR Unit 3; stool down</v>
      </c>
      <c r="D56" s="19" t="str">
        <f>Schedule_Data_Mammoet_ScnA!D57</f>
        <v>LOADOUT</v>
      </c>
      <c r="E56" s="30">
        <f>Schedule_Data_Mammoet_ScnA!F57</f>
        <v>46068</v>
      </c>
      <c r="F56" s="30">
        <f>Schedule_Data_Mammoet_ScnA!G57</f>
        <v>46068.2</v>
      </c>
      <c r="G56" s="14">
        <f>Schedule_Data_Mammoet_ScnA!H57</f>
        <v>0.2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Schedule_Data_Mammoet_ScnA!A58</f>
        <v>A3070</v>
      </c>
      <c r="B57" s="14" t="str">
        <f>Schedule_Data_Mammoet_ScnA!B58</f>
        <v>A0</v>
      </c>
      <c r="C57" s="14" t="str">
        <f>Schedule_Data_Mammoet_ScnA!C58</f>
        <v>RoRo ramp removal; Seafastening AGI TR Unit 3 - Crane required</v>
      </c>
      <c r="D57" s="20" t="str">
        <f>Schedule_Data_Mammoet_ScnA!D58</f>
        <v>SEAFAST</v>
      </c>
      <c r="E57" s="30">
        <f>Schedule_Data_Mammoet_ScnA!F58</f>
        <v>46068</v>
      </c>
      <c r="F57" s="30">
        <f>Schedule_Data_Mammoet_ScnA!G58</f>
        <v>46068</v>
      </c>
      <c r="G57" s="14">
        <f>Schedule_Data_Mammoet_ScnA!H58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20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Schedule_Data_Mammoet_ScnA!A59</f>
        <v>A3080</v>
      </c>
      <c r="B58" s="14" t="str">
        <f>Schedule_Data_Mammoet_ScnA!B59</f>
        <v>A0</v>
      </c>
      <c r="C58" s="14" t="str">
        <f>Schedule_Data_Mammoet_ScnA!C59</f>
        <v>MWS + MPI + Final Preparations</v>
      </c>
      <c r="D58" s="17" t="str">
        <f>Schedule_Data_Mammoet_ScnA!D59</f>
        <v>BUFFER</v>
      </c>
      <c r="E58" s="30">
        <f>Schedule_Data_Mammoet_ScnA!F59</f>
        <v>46069</v>
      </c>
      <c r="F58" s="30">
        <f>Schedule_Data_Mammoet_ScnA!G59</f>
        <v>46069.2</v>
      </c>
      <c r="G58" s="14">
        <f>Schedule_Data_Mammoet_ScnA!H59</f>
        <v>0.2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Schedule_Data_Mammoet_ScnA!A60</f>
        <v>A3081</v>
      </c>
      <c r="B59" s="14" t="str">
        <f>Schedule_Data_Mammoet_ScnA!B60</f>
        <v>A0</v>
      </c>
      <c r="C59" s="14" t="str">
        <f>Schedule_Data_Mammoet_ScnA!C60</f>
        <v>Sail-away - Marine Transportation by LCT to Al Ghallan Island</v>
      </c>
      <c r="D59" s="21" t="str">
        <f>Schedule_Data_Mammoet_ScnA!D60</f>
        <v>SAIL</v>
      </c>
      <c r="E59" s="30">
        <f>Schedule_Data_Mammoet_ScnA!F60</f>
        <v>46070</v>
      </c>
      <c r="F59" s="30">
        <f>Schedule_Data_Mammoet_ScnA!G60</f>
        <v>46070</v>
      </c>
      <c r="G59" s="14">
        <f>Schedule_Data_Mammoet_ScnA!H60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21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Schedule_Data_Mammoet_ScnA!A61</f>
        <v>A3090</v>
      </c>
      <c r="B60" s="14" t="str">
        <f>Schedule_Data_Mammoet_ScnA!B61</f>
        <v>A0</v>
      </c>
      <c r="C60" s="14" t="str">
        <f>Schedule_Data_Mammoet_ScnA!C61</f>
        <v>MMT Crew Mob to AGI</v>
      </c>
      <c r="D60" s="17" t="str">
        <f>Schedule_Data_Mammoet_ScnA!D61</f>
        <v>BUFFER</v>
      </c>
      <c r="E60" s="30">
        <f>Schedule_Data_Mammoet_ScnA!F61</f>
        <v>46071</v>
      </c>
      <c r="F60" s="30">
        <f>Schedule_Data_Mammoet_ScnA!G61</f>
        <v>46071</v>
      </c>
      <c r="G60" s="14">
        <f>Schedule_Data_Mammoet_ScnA!H61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7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Schedule_Data_Mammoet_ScnA!A62</f>
        <v>A3091</v>
      </c>
      <c r="B61" s="14" t="str">
        <f>Schedule_Data_Mammoet_ScnA!B62</f>
        <v>A0</v>
      </c>
      <c r="C61" s="14" t="str">
        <f>Schedule_Data_Mammoet_ScnA!C62</f>
        <v>LCT Arrival; Berthing at AGI RoRo Jetty</v>
      </c>
      <c r="D61" s="22" t="str">
        <f>Schedule_Data_Mammoet_ScnA!D62</f>
        <v>AGI_UNLOAD</v>
      </c>
      <c r="E61" s="30">
        <f>Schedule_Data_Mammoet_ScnA!F62</f>
        <v>46071</v>
      </c>
      <c r="F61" s="30">
        <f>Schedule_Data_Mammoet_ScnA!G62</f>
        <v>46071</v>
      </c>
      <c r="G61" s="14">
        <f>Schedule_Data_Mammoet_ScnA!H62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22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Schedule_Data_Mammoet_ScnA!A63</f>
        <v>A3100</v>
      </c>
      <c r="B62" s="14" t="str">
        <f>Schedule_Data_Mammoet_ScnA!B63</f>
        <v>A0</v>
      </c>
      <c r="C62" s="14" t="str">
        <f>Schedule_Data_Mammoet_ScnA!C63</f>
        <v>Unlashing and cutting</v>
      </c>
      <c r="D62" s="17" t="str">
        <f>Schedule_Data_Mammoet_ScnA!D63</f>
        <v>BUFFER</v>
      </c>
      <c r="E62" s="30">
        <f>Schedule_Data_Mammoet_ScnA!F63</f>
        <v>46071</v>
      </c>
      <c r="F62" s="30">
        <f>Schedule_Data_Mammoet_ScnA!G63</f>
        <v>46071</v>
      </c>
      <c r="G62" s="14">
        <f>Schedule_Data_Mammoet_ScnA!H63</f>
        <v>0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7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Schedule_Data_Mammoet_ScnA!A64</f>
        <v>A3120</v>
      </c>
      <c r="B63" s="14" t="str">
        <f>Schedule_Data_Mammoet_ScnA!B64</f>
        <v>A0</v>
      </c>
      <c r="C63" s="14" t="str">
        <f>Schedule_Data_Mammoet_ScnA!C64</f>
        <v>Load-in of AGI TR Unit 3 (including RoRo Ramp Installation); store on Jetty - Crane required</v>
      </c>
      <c r="D63" s="19" t="str">
        <f>Schedule_Data_Mammoet_ScnA!D64</f>
        <v>LOADOUT</v>
      </c>
      <c r="E63" s="30">
        <f>Schedule_Data_Mammoet_ScnA!F64</f>
        <v>46071</v>
      </c>
      <c r="F63" s="30">
        <f>Schedule_Data_Mammoet_ScnA!G64</f>
        <v>46071</v>
      </c>
      <c r="G63" s="14">
        <f>Schedule_Data_Mammoet_ScnA!H64</f>
        <v>0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9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Schedule_Data_Mammoet_ScnA!A65</f>
        <v>A3121</v>
      </c>
      <c r="B64" s="14" t="str">
        <f>Schedule_Data_Mammoet_ScnA!B65</f>
        <v>A0</v>
      </c>
      <c r="C64" s="14" t="str">
        <f>Schedule_Data_Mammoet_ScnA!C65</f>
        <v>Steel bridge Installation 1</v>
      </c>
      <c r="D64" s="17" t="str">
        <f>Schedule_Data_Mammoet_ScnA!D65</f>
        <v>BUFFER</v>
      </c>
      <c r="E64" s="30">
        <f>Schedule_Data_Mammoet_ScnA!F65</f>
        <v>46072</v>
      </c>
      <c r="F64" s="30">
        <f>Schedule_Data_Mammoet_ScnA!G65</f>
        <v>46072.3</v>
      </c>
      <c r="G64" s="14">
        <f>Schedule_Data_Mammoet_ScnA!H65</f>
        <v>0.3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Schedule_Data_Mammoet_ScnA!A66</f>
        <v>A3140</v>
      </c>
      <c r="B65" s="14" t="str">
        <f>Schedule_Data_Mammoet_ScnA!B66</f>
        <v>A0</v>
      </c>
      <c r="C65" s="14" t="str">
        <f>Schedule_Data_Mammoet_ScnA!C66</f>
        <v>AGI TR Unit 3 load on SPMT</v>
      </c>
      <c r="D65" s="17" t="str">
        <f>Schedule_Data_Mammoet_ScnA!D66</f>
        <v>BUFFER</v>
      </c>
      <c r="E65" s="30">
        <f>Schedule_Data_Mammoet_ScnA!F66</f>
        <v>46072</v>
      </c>
      <c r="F65" s="30">
        <f>Schedule_Data_Mammoet_ScnA!G66</f>
        <v>46072.7</v>
      </c>
      <c r="G65" s="14">
        <f>Schedule_Data_Mammoet_ScnA!H66</f>
        <v>0.7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Schedule_Data_Mammoet_ScnA!A67</f>
        <v>A3141</v>
      </c>
      <c r="B66" s="14" t="str">
        <f>Schedule_Data_Mammoet_ScnA!B67</f>
        <v>A0</v>
      </c>
      <c r="C66" s="14" t="str">
        <f>Schedule_Data_Mammoet_ScnA!C67</f>
        <v>Turning of AGI TR Unit 3 - 10t Forklift required</v>
      </c>
      <c r="D66" s="23" t="str">
        <f>Schedule_Data_Mammoet_ScnA!D67</f>
        <v>TURNING</v>
      </c>
      <c r="E66" s="30">
        <f>Schedule_Data_Mammoet_ScnA!F67</f>
        <v>46072</v>
      </c>
      <c r="F66" s="30">
        <f>Schedule_Data_Mammoet_ScnA!G67</f>
        <v>46072</v>
      </c>
      <c r="G66" s="14">
        <f>Schedule_Data_Mammoet_ScnA!H67</f>
        <v>0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23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Schedule_Data_Mammoet_ScnA!A68</f>
        <v>A3150</v>
      </c>
      <c r="B67" s="14" t="str">
        <f>Schedule_Data_Mammoet_ScnA!B68</f>
        <v>A0</v>
      </c>
      <c r="C67" s="14" t="str">
        <f>Schedule_Data_Mammoet_ScnA!C68</f>
        <v>Jacking down of AGI TR Unit 3 on temporary support - Forklift required</v>
      </c>
      <c r="D67" s="31" t="str">
        <f>Schedule_Data_Mammoet_ScnA!D68</f>
        <v>JACKDOWN</v>
      </c>
      <c r="E67" s="30">
        <f>Schedule_Data_Mammoet_ScnA!F68</f>
        <v>46075</v>
      </c>
      <c r="F67" s="30">
        <f>Schedule_Data_Mammoet_ScnA!G68</f>
        <v>46075</v>
      </c>
      <c r="G67" s="14">
        <f>Schedule_Data_Mammoet_ScnA!H68</f>
        <v>0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31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Schedule_Data_Mammoet_ScnA!A69</f>
        <v>A3200</v>
      </c>
      <c r="B68" s="14" t="str">
        <f>Schedule_Data_Mammoet_ScnA!B69</f>
        <v>A0</v>
      </c>
      <c r="C68" s="14" t="str">
        <f>Schedule_Data_Mammoet_ScnA!C69</f>
        <v>SPMT shifting from TR Bay Area to Jetty; Loading on LCT (if tide allows)</v>
      </c>
      <c r="D68" s="17" t="str">
        <f>Schedule_Data_Mammoet_ScnA!D69</f>
        <v>BUFFER</v>
      </c>
      <c r="E68" s="30">
        <f>Schedule_Data_Mammoet_ScnA!F69</f>
        <v>46076</v>
      </c>
      <c r="F68" s="30">
        <f>Schedule_Data_Mammoet_ScnA!G69</f>
        <v>46076</v>
      </c>
      <c r="G68" s="14">
        <f>Schedule_Data_Mammoet_ScnA!H69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7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Schedule_Data_Mammoet_ScnA!A70</f>
        <v>A3210</v>
      </c>
      <c r="B69" s="14" t="str">
        <f>Schedule_Data_Mammoet_ScnA!B70</f>
        <v>A0</v>
      </c>
      <c r="C69" s="14" t="str">
        <f>Schedule_Data_Mammoet_ScnA!C70</f>
        <v>LCT Sail-away back to Mina Zayed Port; MMT SPMT Crew Demobilization</v>
      </c>
      <c r="D69" s="15" t="str">
        <f>Schedule_Data_Mammoet_ScnA!D70</f>
        <v>MOBILIZATION</v>
      </c>
      <c r="E69" s="30">
        <f>Schedule_Data_Mammoet_ScnA!F70</f>
        <v>46076</v>
      </c>
      <c r="F69" s="30">
        <f>Schedule_Data_Mammoet_ScnA!G70</f>
        <v>46076</v>
      </c>
      <c r="G69" s="14">
        <f>Schedule_Data_Mammoet_ScnA!H70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2" t="s">
        <v>272</v>
      </c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Schedule_Data_Mammoet_ScnA!A71</f>
        <v>A3220</v>
      </c>
      <c r="B70" s="14" t="str">
        <f>Schedule_Data_Mammoet_ScnA!B71</f>
        <v>A0</v>
      </c>
      <c r="C70" s="14" t="str">
        <f>Schedule_Data_Mammoet_ScnA!C71</f>
        <v>MMT Jacking Crew Demobilization</v>
      </c>
      <c r="D70" s="15" t="str">
        <f>Schedule_Data_Mammoet_ScnA!D71</f>
        <v>MOBILIZATION</v>
      </c>
      <c r="E70" s="30">
        <f>Schedule_Data_Mammoet_ScnA!F71</f>
        <v>46077</v>
      </c>
      <c r="F70" s="30">
        <f>Schedule_Data_Mammoet_ScnA!G71</f>
        <v>46077</v>
      </c>
      <c r="G70" s="14">
        <f>Schedule_Data_Mammoet_ScnA!H71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32" t="s">
        <v>272</v>
      </c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Schedule_Data_Mammoet_ScnA!A72</f>
        <v>AGI TR Unit 4</v>
      </c>
      <c r="B71" s="14" t="str">
        <f>Schedule_Data_Mammoet_ScnA!B72</f>
        <v>A0</v>
      </c>
      <c r="C71" s="14" t="str">
        <f>Schedule_Data_Mammoet_ScnA!C72</f>
        <v>AGI TR Unit 4</v>
      </c>
      <c r="D71" s="17" t="str">
        <f>Schedule_Data_Mammoet_ScnA!D72</f>
        <v>BUFFER</v>
      </c>
      <c r="E71" s="30">
        <f>Schedule_Data_Mammoet_ScnA!F72</f>
        <v>46087</v>
      </c>
      <c r="F71" s="30">
        <f>Schedule_Data_Mammoet_ScnA!G72</f>
        <v>46087</v>
      </c>
      <c r="G71" s="14">
        <f>Schedule_Data_Mammoet_ScnA!H72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7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Schedule_Data_Mammoet_ScnA!A73</f>
        <v>A4030</v>
      </c>
      <c r="B72" s="14" t="str">
        <f>Schedule_Data_Mammoet_ScnA!B73</f>
        <v>A0</v>
      </c>
      <c r="C72" s="14" t="str">
        <f>Schedule_Data_Mammoet_ScnA!C73</f>
        <v>Loading of AGI TR Unit 4 on SPMT; lashing; Shifting to Mina Zayed Port RoRo Jetty area</v>
      </c>
      <c r="D72" s="17" t="str">
        <f>Schedule_Data_Mammoet_ScnA!D73</f>
        <v>BUFFER</v>
      </c>
      <c r="E72" s="30">
        <f>Schedule_Data_Mammoet_ScnA!F73</f>
        <v>46078</v>
      </c>
      <c r="F72" s="30">
        <f>Schedule_Data_Mammoet_ScnA!G73</f>
        <v>46078.3</v>
      </c>
      <c r="G72" s="14">
        <f>Schedule_Data_Mammoet_ScnA!H73</f>
        <v>0.3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Schedule_Data_Mammoet_ScnA!A74</f>
        <v>A4040</v>
      </c>
      <c r="B73" s="14" t="str">
        <f>Schedule_Data_Mammoet_ScnA!B74</f>
        <v>A0</v>
      </c>
      <c r="C73" s="14" t="str">
        <f>Schedule_Data_Mammoet_ScnA!C74</f>
        <v>RoRo Ramp Installation - 5t Forklift and Crane required</v>
      </c>
      <c r="D73" s="17" t="str">
        <f>Schedule_Data_Mammoet_ScnA!D74</f>
        <v>BUFFER</v>
      </c>
      <c r="E73" s="30">
        <f>Schedule_Data_Mammoet_ScnA!F74</f>
        <v>46078</v>
      </c>
      <c r="F73" s="30">
        <f>Schedule_Data_Mammoet_ScnA!G74</f>
        <v>46078.3</v>
      </c>
      <c r="G73" s="14">
        <f>Schedule_Data_Mammoet_ScnA!H74</f>
        <v>0.3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Schedule_Data_Mammoet_ScnA!A75</f>
        <v>A4060</v>
      </c>
      <c r="B74" s="14" t="str">
        <f>Schedule_Data_Mammoet_ScnA!B75</f>
        <v>A0</v>
      </c>
      <c r="C74" s="14" t="str">
        <f>Schedule_Data_Mammoet_ScnA!C75</f>
        <v>Load-out of AGI TR Unit 4; stool down</v>
      </c>
      <c r="D74" s="19" t="str">
        <f>Schedule_Data_Mammoet_ScnA!D75</f>
        <v>LOADOUT</v>
      </c>
      <c r="E74" s="30">
        <f>Schedule_Data_Mammoet_ScnA!F75</f>
        <v>46078</v>
      </c>
      <c r="F74" s="30">
        <f>Schedule_Data_Mammoet_ScnA!G75</f>
        <v>46078.2</v>
      </c>
      <c r="G74" s="14">
        <f>Schedule_Data_Mammoet_ScnA!H75</f>
        <v>0.2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Schedule_Data_Mammoet_ScnA!A76</f>
        <v>A4070</v>
      </c>
      <c r="B75" s="14" t="str">
        <f>Schedule_Data_Mammoet_ScnA!B76</f>
        <v>A0</v>
      </c>
      <c r="C75" s="14" t="str">
        <f>Schedule_Data_Mammoet_ScnA!C76</f>
        <v>RoRo ramp removal; Seafastening AGI TR Unit 4 - Crane required</v>
      </c>
      <c r="D75" s="20" t="str">
        <f>Schedule_Data_Mammoet_ScnA!D76</f>
        <v>SEAFAST</v>
      </c>
      <c r="E75" s="30">
        <f>Schedule_Data_Mammoet_ScnA!F76</f>
        <v>46078</v>
      </c>
      <c r="F75" s="30">
        <f>Schedule_Data_Mammoet_ScnA!G76</f>
        <v>46078</v>
      </c>
      <c r="G75" s="14">
        <f>Schedule_Data_Mammoet_ScnA!H76</f>
        <v>0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20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Schedule_Data_Mammoet_ScnA!A77</f>
        <v>A4080</v>
      </c>
      <c r="B76" s="14" t="str">
        <f>Schedule_Data_Mammoet_ScnA!B77</f>
        <v>A0</v>
      </c>
      <c r="C76" s="14" t="str">
        <f>Schedule_Data_Mammoet_ScnA!C77</f>
        <v>MWS + MPI + Final Preparations</v>
      </c>
      <c r="D76" s="17" t="str">
        <f>Schedule_Data_Mammoet_ScnA!D77</f>
        <v>BUFFER</v>
      </c>
      <c r="E76" s="30">
        <f>Schedule_Data_Mammoet_ScnA!F77</f>
        <v>46079</v>
      </c>
      <c r="F76" s="30">
        <f>Schedule_Data_Mammoet_ScnA!G77</f>
        <v>46079.199999999997</v>
      </c>
      <c r="G76" s="14">
        <f>Schedule_Data_Mammoet_ScnA!H77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Schedule_Data_Mammoet_ScnA!A78</f>
        <v>A4081</v>
      </c>
      <c r="B77" s="14" t="str">
        <f>Schedule_Data_Mammoet_ScnA!B78</f>
        <v>A0</v>
      </c>
      <c r="C77" s="14" t="str">
        <f>Schedule_Data_Mammoet_ScnA!C78</f>
        <v>Sail-away - Marine Transportation by LCT to Al Ghallan Island</v>
      </c>
      <c r="D77" s="21" t="str">
        <f>Schedule_Data_Mammoet_ScnA!D78</f>
        <v>SAIL</v>
      </c>
      <c r="E77" s="30">
        <f>Schedule_Data_Mammoet_ScnA!F78</f>
        <v>46080</v>
      </c>
      <c r="F77" s="30">
        <f>Schedule_Data_Mammoet_ScnA!G78</f>
        <v>46080</v>
      </c>
      <c r="G77" s="14">
        <f>Schedule_Data_Mammoet_ScnA!H78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21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Schedule_Data_Mammoet_ScnA!A79</f>
        <v>A4090</v>
      </c>
      <c r="B78" s="14" t="str">
        <f>Schedule_Data_Mammoet_ScnA!B79</f>
        <v>A0</v>
      </c>
      <c r="C78" s="14" t="str">
        <f>Schedule_Data_Mammoet_ScnA!C79</f>
        <v>MMT Crew Mob to AGI</v>
      </c>
      <c r="D78" s="17" t="str">
        <f>Schedule_Data_Mammoet_ScnA!D79</f>
        <v>BUFFER</v>
      </c>
      <c r="E78" s="30">
        <f>Schedule_Data_Mammoet_ScnA!F79</f>
        <v>46081</v>
      </c>
      <c r="F78" s="30">
        <f>Schedule_Data_Mammoet_ScnA!G79</f>
        <v>46081</v>
      </c>
      <c r="G78" s="14">
        <f>Schedule_Data_Mammoet_ScnA!H79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7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Schedule_Data_Mammoet_ScnA!A80</f>
        <v>A4091</v>
      </c>
      <c r="B79" s="14" t="str">
        <f>Schedule_Data_Mammoet_ScnA!B80</f>
        <v>A0</v>
      </c>
      <c r="C79" s="14" t="str">
        <f>Schedule_Data_Mammoet_ScnA!C80</f>
        <v>LCT Arrival; Berthing at AGI RoRo Jetty</v>
      </c>
      <c r="D79" s="22" t="str">
        <f>Schedule_Data_Mammoet_ScnA!D80</f>
        <v>AGI_UNLOAD</v>
      </c>
      <c r="E79" s="30">
        <f>Schedule_Data_Mammoet_ScnA!F80</f>
        <v>46081</v>
      </c>
      <c r="F79" s="30">
        <f>Schedule_Data_Mammoet_ScnA!G80</f>
        <v>46081</v>
      </c>
      <c r="G79" s="14">
        <f>Schedule_Data_Mammoet_ScnA!H80</f>
        <v>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22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Schedule_Data_Mammoet_ScnA!A81</f>
        <v>A4100</v>
      </c>
      <c r="B80" s="14" t="str">
        <f>Schedule_Data_Mammoet_ScnA!B81</f>
        <v>A0</v>
      </c>
      <c r="C80" s="14" t="str">
        <f>Schedule_Data_Mammoet_ScnA!C81</f>
        <v>Unlashing and cutting</v>
      </c>
      <c r="D80" s="17" t="str">
        <f>Schedule_Data_Mammoet_ScnA!D81</f>
        <v>BUFFER</v>
      </c>
      <c r="E80" s="30">
        <f>Schedule_Data_Mammoet_ScnA!F81</f>
        <v>46081</v>
      </c>
      <c r="F80" s="30">
        <f>Schedule_Data_Mammoet_ScnA!G81</f>
        <v>46081</v>
      </c>
      <c r="G80" s="14">
        <f>Schedule_Data_Mammoet_ScnA!H81</f>
        <v>0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7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Schedule_Data_Mammoet_ScnA!A82</f>
        <v>A4120</v>
      </c>
      <c r="B81" s="14" t="str">
        <f>Schedule_Data_Mammoet_ScnA!B82</f>
        <v>A0</v>
      </c>
      <c r="C81" s="14" t="str">
        <f>Schedule_Data_Mammoet_ScnA!C82</f>
        <v>Load-in of AGI TR Unit 4 (including RoRo Ramp Installation); store on Jetty - Crane required</v>
      </c>
      <c r="D81" s="19" t="str">
        <f>Schedule_Data_Mammoet_ScnA!D82</f>
        <v>LOADOUT</v>
      </c>
      <c r="E81" s="30">
        <f>Schedule_Data_Mammoet_ScnA!F82</f>
        <v>46081</v>
      </c>
      <c r="F81" s="30">
        <f>Schedule_Data_Mammoet_ScnA!G82</f>
        <v>46081</v>
      </c>
      <c r="G81" s="14">
        <f>Schedule_Data_Mammoet_ScnA!H82</f>
        <v>0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9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Schedule_Data_Mammoet_ScnA!A83</f>
        <v>A4121</v>
      </c>
      <c r="B82" s="14" t="str">
        <f>Schedule_Data_Mammoet_ScnA!B83</f>
        <v>A0</v>
      </c>
      <c r="C82" s="14" t="str">
        <f>Schedule_Data_Mammoet_ScnA!C83</f>
        <v>Steel bridge Installation 1</v>
      </c>
      <c r="D82" s="17" t="str">
        <f>Schedule_Data_Mammoet_ScnA!D83</f>
        <v>BUFFER</v>
      </c>
      <c r="E82" s="30">
        <f>Schedule_Data_Mammoet_ScnA!F83</f>
        <v>46082</v>
      </c>
      <c r="F82" s="30">
        <f>Schedule_Data_Mammoet_ScnA!G83</f>
        <v>46082.3</v>
      </c>
      <c r="G82" s="14">
        <f>Schedule_Data_Mammoet_ScnA!H83</f>
        <v>0.3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Schedule_Data_Mammoet_ScnA!A84</f>
        <v>A4140</v>
      </c>
      <c r="B83" s="14" t="str">
        <f>Schedule_Data_Mammoet_ScnA!B84</f>
        <v>A0</v>
      </c>
      <c r="C83" s="14" t="str">
        <f>Schedule_Data_Mammoet_ScnA!C84</f>
        <v>AGI TR Unit 4 load on SPMT</v>
      </c>
      <c r="D83" s="17" t="str">
        <f>Schedule_Data_Mammoet_ScnA!D84</f>
        <v>BUFFER</v>
      </c>
      <c r="E83" s="30">
        <f>Schedule_Data_Mammoet_ScnA!F84</f>
        <v>46082</v>
      </c>
      <c r="F83" s="30">
        <f>Schedule_Data_Mammoet_ScnA!G84</f>
        <v>46082.7</v>
      </c>
      <c r="G83" s="14">
        <f>Schedule_Data_Mammoet_ScnA!H84</f>
        <v>0.7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Schedule_Data_Mammoet_ScnA!A85</f>
        <v>A4141</v>
      </c>
      <c r="B84" s="14" t="str">
        <f>Schedule_Data_Mammoet_ScnA!B85</f>
        <v>A0</v>
      </c>
      <c r="C84" s="14" t="str">
        <f>Schedule_Data_Mammoet_ScnA!C85</f>
        <v>Turning of AGI TR Unit 4 - 10t Forklift required</v>
      </c>
      <c r="D84" s="23" t="str">
        <f>Schedule_Data_Mammoet_ScnA!D85</f>
        <v>TURNING</v>
      </c>
      <c r="E84" s="30">
        <f>Schedule_Data_Mammoet_ScnA!F85</f>
        <v>46082</v>
      </c>
      <c r="F84" s="30">
        <f>Schedule_Data_Mammoet_ScnA!G85</f>
        <v>46082</v>
      </c>
      <c r="G84" s="14">
        <f>Schedule_Data_Mammoet_ScnA!H85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23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Schedule_Data_Mammoet_ScnA!A86</f>
        <v>A4150</v>
      </c>
      <c r="B85" s="14" t="str">
        <f>Schedule_Data_Mammoet_ScnA!B86</f>
        <v>A0</v>
      </c>
      <c r="C85" s="14" t="str">
        <f>Schedule_Data_Mammoet_ScnA!C86</f>
        <v>Jacking down of AGI TR Unit 4 on temporary support - Forklift required</v>
      </c>
      <c r="D85" s="31" t="str">
        <f>Schedule_Data_Mammoet_ScnA!D86</f>
        <v>JACKDOWN</v>
      </c>
      <c r="E85" s="30">
        <f>Schedule_Data_Mammoet_ScnA!F86</f>
        <v>46085</v>
      </c>
      <c r="F85" s="30">
        <f>Schedule_Data_Mammoet_ScnA!G86</f>
        <v>46085</v>
      </c>
      <c r="G85" s="14">
        <f>Schedule_Data_Mammoet_ScnA!H86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31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Schedule_Data_Mammoet_ScnA!A87</f>
        <v>A4200</v>
      </c>
      <c r="B86" s="14" t="str">
        <f>Schedule_Data_Mammoet_ScnA!B87</f>
        <v>A0</v>
      </c>
      <c r="C86" s="14" t="str">
        <f>Schedule_Data_Mammoet_ScnA!C87</f>
        <v>SPMT shifting from TR Bay Area to Jetty; Loading on LCT (if tide allows)</v>
      </c>
      <c r="D86" s="17" t="str">
        <f>Schedule_Data_Mammoet_ScnA!D87</f>
        <v>BUFFER</v>
      </c>
      <c r="E86" s="30">
        <f>Schedule_Data_Mammoet_ScnA!F87</f>
        <v>46086</v>
      </c>
      <c r="F86" s="30">
        <f>Schedule_Data_Mammoet_ScnA!G87</f>
        <v>46086</v>
      </c>
      <c r="G86" s="14">
        <f>Schedule_Data_Mammoet_ScnA!H87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7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Schedule_Data_Mammoet_ScnA!A88</f>
        <v>A4210</v>
      </c>
      <c r="B87" s="14" t="str">
        <f>Schedule_Data_Mammoet_ScnA!B88</f>
        <v>A0</v>
      </c>
      <c r="C87" s="14" t="str">
        <f>Schedule_Data_Mammoet_ScnA!C88</f>
        <v>LCT Sail-away back to Mina Zayed Port; MMT SPMT Crew Demobilization</v>
      </c>
      <c r="D87" s="15" t="str">
        <f>Schedule_Data_Mammoet_ScnA!D88</f>
        <v>MOBILIZATION</v>
      </c>
      <c r="E87" s="30">
        <f>Schedule_Data_Mammoet_ScnA!F88</f>
        <v>46086</v>
      </c>
      <c r="F87" s="30">
        <f>Schedule_Data_Mammoet_ScnA!G88</f>
        <v>46086</v>
      </c>
      <c r="G87" s="14">
        <f>Schedule_Data_Mammoet_ScnA!H88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32" t="s">
        <v>272</v>
      </c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Schedule_Data_Mammoet_ScnA!A89</f>
        <v>A4220</v>
      </c>
      <c r="B88" s="14" t="str">
        <f>Schedule_Data_Mammoet_ScnA!B89</f>
        <v>A0</v>
      </c>
      <c r="C88" s="14" t="str">
        <f>Schedule_Data_Mammoet_ScnA!C89</f>
        <v>MMT Jacking Crew Demobilization</v>
      </c>
      <c r="D88" s="15" t="str">
        <f>Schedule_Data_Mammoet_ScnA!D89</f>
        <v>MOBILIZATION</v>
      </c>
      <c r="E88" s="30">
        <f>Schedule_Data_Mammoet_ScnA!F89</f>
        <v>46087</v>
      </c>
      <c r="F88" s="30">
        <f>Schedule_Data_Mammoet_ScnA!G89</f>
        <v>46087</v>
      </c>
      <c r="G88" s="14">
        <f>Schedule_Data_Mammoet_ScnA!H89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32" t="s">
        <v>272</v>
      </c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Schedule_Data_Mammoet_ScnA!A90</f>
        <v>AGI TR Unit 5</v>
      </c>
      <c r="B89" s="14" t="str">
        <f>Schedule_Data_Mammoet_ScnA!B90</f>
        <v>A0</v>
      </c>
      <c r="C89" s="14" t="str">
        <f>Schedule_Data_Mammoet_ScnA!C90</f>
        <v>AGI TR Unit 5</v>
      </c>
      <c r="D89" s="17" t="str">
        <f>Schedule_Data_Mammoet_ScnA!D90</f>
        <v>BUFFER</v>
      </c>
      <c r="E89" s="30">
        <f>Schedule_Data_Mammoet_ScnA!F90</f>
        <v>46097</v>
      </c>
      <c r="F89" s="30">
        <f>Schedule_Data_Mammoet_ScnA!G90</f>
        <v>46097</v>
      </c>
      <c r="G89" s="14">
        <f>Schedule_Data_Mammoet_ScnA!H90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7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Schedule_Data_Mammoet_ScnA!A91</f>
        <v>A5030</v>
      </c>
      <c r="B90" s="14" t="str">
        <f>Schedule_Data_Mammoet_ScnA!B91</f>
        <v>A0</v>
      </c>
      <c r="C90" s="14" t="str">
        <f>Schedule_Data_Mammoet_ScnA!C91</f>
        <v>Loading of AGI TR Unit 5 on SPMT; lashing; Shifting to Mina Zayed Port RoRo Jetty area</v>
      </c>
      <c r="D90" s="17" t="str">
        <f>Schedule_Data_Mammoet_ScnA!D91</f>
        <v>BUFFER</v>
      </c>
      <c r="E90" s="30">
        <f>Schedule_Data_Mammoet_ScnA!F91</f>
        <v>46088</v>
      </c>
      <c r="F90" s="30">
        <f>Schedule_Data_Mammoet_ScnA!G91</f>
        <v>46088.3</v>
      </c>
      <c r="G90" s="14">
        <f>Schedule_Data_Mammoet_ScnA!H91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Schedule_Data_Mammoet_ScnA!A92</f>
        <v>A5040</v>
      </c>
      <c r="B91" s="14" t="str">
        <f>Schedule_Data_Mammoet_ScnA!B92</f>
        <v>A0</v>
      </c>
      <c r="C91" s="14" t="str">
        <f>Schedule_Data_Mammoet_ScnA!C92</f>
        <v>RoRo Ramp Installation - 5t Forklift and Crane required</v>
      </c>
      <c r="D91" s="17" t="str">
        <f>Schedule_Data_Mammoet_ScnA!D92</f>
        <v>BUFFER</v>
      </c>
      <c r="E91" s="30">
        <f>Schedule_Data_Mammoet_ScnA!F92</f>
        <v>46088</v>
      </c>
      <c r="F91" s="30">
        <f>Schedule_Data_Mammoet_ScnA!G92</f>
        <v>46088.3</v>
      </c>
      <c r="G91" s="14">
        <f>Schedule_Data_Mammoet_ScnA!H92</f>
        <v>0.3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Schedule_Data_Mammoet_ScnA!A93</f>
        <v>A5060</v>
      </c>
      <c r="B92" s="14" t="str">
        <f>Schedule_Data_Mammoet_ScnA!B93</f>
        <v>A0</v>
      </c>
      <c r="C92" s="14" t="str">
        <f>Schedule_Data_Mammoet_ScnA!C93</f>
        <v>Load-out of AGI TR Unit 5; stool down</v>
      </c>
      <c r="D92" s="19" t="str">
        <f>Schedule_Data_Mammoet_ScnA!D93</f>
        <v>LOADOUT</v>
      </c>
      <c r="E92" s="30">
        <f>Schedule_Data_Mammoet_ScnA!F93</f>
        <v>46088</v>
      </c>
      <c r="F92" s="30">
        <f>Schedule_Data_Mammoet_ScnA!G93</f>
        <v>46088.2</v>
      </c>
      <c r="G92" s="14">
        <f>Schedule_Data_Mammoet_ScnA!H93</f>
        <v>0.2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Schedule_Data_Mammoet_ScnA!A94</f>
        <v>A5070</v>
      </c>
      <c r="B93" s="14" t="str">
        <f>Schedule_Data_Mammoet_ScnA!B94</f>
        <v>A0</v>
      </c>
      <c r="C93" s="14" t="str">
        <f>Schedule_Data_Mammoet_ScnA!C94</f>
        <v>RoRo ramp removal; Seafastening AGI TR Unit 5 - Crane required</v>
      </c>
      <c r="D93" s="20" t="str">
        <f>Schedule_Data_Mammoet_ScnA!D94</f>
        <v>SEAFAST</v>
      </c>
      <c r="E93" s="30">
        <f>Schedule_Data_Mammoet_ScnA!F94</f>
        <v>46088</v>
      </c>
      <c r="F93" s="30">
        <f>Schedule_Data_Mammoet_ScnA!G94</f>
        <v>46088</v>
      </c>
      <c r="G93" s="14">
        <f>Schedule_Data_Mammoet_ScnA!H94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20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Schedule_Data_Mammoet_ScnA!A95</f>
        <v>A5080</v>
      </c>
      <c r="B94" s="14" t="str">
        <f>Schedule_Data_Mammoet_ScnA!B95</f>
        <v>A0</v>
      </c>
      <c r="C94" s="14" t="str">
        <f>Schedule_Data_Mammoet_ScnA!C95</f>
        <v>MWS + MPI + Final Preparations</v>
      </c>
      <c r="D94" s="17" t="str">
        <f>Schedule_Data_Mammoet_ScnA!D95</f>
        <v>BUFFER</v>
      </c>
      <c r="E94" s="30">
        <f>Schedule_Data_Mammoet_ScnA!F95</f>
        <v>46089</v>
      </c>
      <c r="F94" s="30">
        <f>Schedule_Data_Mammoet_ScnA!G95</f>
        <v>46089.2</v>
      </c>
      <c r="G94" s="14">
        <f>Schedule_Data_Mammoet_ScnA!H95</f>
        <v>0.2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Schedule_Data_Mammoet_ScnA!A96</f>
        <v>A5081</v>
      </c>
      <c r="B95" s="14" t="str">
        <f>Schedule_Data_Mammoet_ScnA!B96</f>
        <v>A0</v>
      </c>
      <c r="C95" s="14" t="str">
        <f>Schedule_Data_Mammoet_ScnA!C96</f>
        <v>Sail-away - Marine Transportation by LCT to Al Ghallan Island</v>
      </c>
      <c r="D95" s="21" t="str">
        <f>Schedule_Data_Mammoet_ScnA!D96</f>
        <v>SAIL</v>
      </c>
      <c r="E95" s="30">
        <f>Schedule_Data_Mammoet_ScnA!F96</f>
        <v>46090</v>
      </c>
      <c r="F95" s="30">
        <f>Schedule_Data_Mammoet_ScnA!G96</f>
        <v>46090</v>
      </c>
      <c r="G95" s="14">
        <f>Schedule_Data_Mammoet_ScnA!H96</f>
        <v>0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21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Schedule_Data_Mammoet_ScnA!A97</f>
        <v>A5090</v>
      </c>
      <c r="B96" s="14" t="str">
        <f>Schedule_Data_Mammoet_ScnA!B97</f>
        <v>A0</v>
      </c>
      <c r="C96" s="14" t="str">
        <f>Schedule_Data_Mammoet_ScnA!C97</f>
        <v>MMT Crew Mob to AGI</v>
      </c>
      <c r="D96" s="17" t="str">
        <f>Schedule_Data_Mammoet_ScnA!D97</f>
        <v>BUFFER</v>
      </c>
      <c r="E96" s="30">
        <f>Schedule_Data_Mammoet_ScnA!F97</f>
        <v>46091</v>
      </c>
      <c r="F96" s="30">
        <f>Schedule_Data_Mammoet_ScnA!G97</f>
        <v>46091</v>
      </c>
      <c r="G96" s="14">
        <f>Schedule_Data_Mammoet_ScnA!H97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7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Schedule_Data_Mammoet_ScnA!A98</f>
        <v>A5091</v>
      </c>
      <c r="B97" s="14" t="str">
        <f>Schedule_Data_Mammoet_ScnA!B98</f>
        <v>A0</v>
      </c>
      <c r="C97" s="14" t="str">
        <f>Schedule_Data_Mammoet_ScnA!C98</f>
        <v>LCT Arrival; Berthing at AGI RoRo Jetty</v>
      </c>
      <c r="D97" s="22" t="str">
        <f>Schedule_Data_Mammoet_ScnA!D98</f>
        <v>AGI_UNLOAD</v>
      </c>
      <c r="E97" s="30">
        <f>Schedule_Data_Mammoet_ScnA!F98</f>
        <v>46091</v>
      </c>
      <c r="F97" s="30">
        <f>Schedule_Data_Mammoet_ScnA!G98</f>
        <v>46091</v>
      </c>
      <c r="G97" s="14">
        <f>Schedule_Data_Mammoet_ScnA!H98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22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Schedule_Data_Mammoet_ScnA!A99</f>
        <v>A5100</v>
      </c>
      <c r="B98" s="14" t="str">
        <f>Schedule_Data_Mammoet_ScnA!B99</f>
        <v>A0</v>
      </c>
      <c r="C98" s="14" t="str">
        <f>Schedule_Data_Mammoet_ScnA!C99</f>
        <v>Unlashing and cutting</v>
      </c>
      <c r="D98" s="17" t="str">
        <f>Schedule_Data_Mammoet_ScnA!D99</f>
        <v>BUFFER</v>
      </c>
      <c r="E98" s="30">
        <f>Schedule_Data_Mammoet_ScnA!F99</f>
        <v>46091</v>
      </c>
      <c r="F98" s="30">
        <f>Schedule_Data_Mammoet_ScnA!G99</f>
        <v>46091</v>
      </c>
      <c r="G98" s="14">
        <f>Schedule_Data_Mammoet_ScnA!H99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7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Schedule_Data_Mammoet_ScnA!A100</f>
        <v>A5120</v>
      </c>
      <c r="B99" s="14" t="str">
        <f>Schedule_Data_Mammoet_ScnA!B100</f>
        <v>A0</v>
      </c>
      <c r="C99" s="14" t="str">
        <f>Schedule_Data_Mammoet_ScnA!C100</f>
        <v>Load-in of AGI TR Unit 5 (including RoRo Ramp Installation); store on Jetty - Crane required</v>
      </c>
      <c r="D99" s="19" t="str">
        <f>Schedule_Data_Mammoet_ScnA!D100</f>
        <v>LOADOUT</v>
      </c>
      <c r="E99" s="30">
        <f>Schedule_Data_Mammoet_ScnA!F100</f>
        <v>46091</v>
      </c>
      <c r="F99" s="30">
        <f>Schedule_Data_Mammoet_ScnA!G100</f>
        <v>46091</v>
      </c>
      <c r="G99" s="14">
        <f>Schedule_Data_Mammoet_ScnA!H100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9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Schedule_Data_Mammoet_ScnA!A101</f>
        <v>A5121</v>
      </c>
      <c r="B100" s="14" t="str">
        <f>Schedule_Data_Mammoet_ScnA!B101</f>
        <v>A0</v>
      </c>
      <c r="C100" s="14" t="str">
        <f>Schedule_Data_Mammoet_ScnA!C101</f>
        <v>Steel bridge Installation 1</v>
      </c>
      <c r="D100" s="17" t="str">
        <f>Schedule_Data_Mammoet_ScnA!D101</f>
        <v>BUFFER</v>
      </c>
      <c r="E100" s="30">
        <f>Schedule_Data_Mammoet_ScnA!F101</f>
        <v>46092</v>
      </c>
      <c r="F100" s="30">
        <f>Schedule_Data_Mammoet_ScnA!G101</f>
        <v>46092.3</v>
      </c>
      <c r="G100" s="14">
        <f>Schedule_Data_Mammoet_ScnA!H101</f>
        <v>0.3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Schedule_Data_Mammoet_ScnA!A102</f>
        <v>A5140</v>
      </c>
      <c r="B101" s="14" t="str">
        <f>Schedule_Data_Mammoet_ScnA!B102</f>
        <v>A0</v>
      </c>
      <c r="C101" s="14" t="str">
        <f>Schedule_Data_Mammoet_ScnA!C102</f>
        <v>AGI TR Unit 5 load on SPMT</v>
      </c>
      <c r="D101" s="17" t="str">
        <f>Schedule_Data_Mammoet_ScnA!D102</f>
        <v>BUFFER</v>
      </c>
      <c r="E101" s="30">
        <f>Schedule_Data_Mammoet_ScnA!F102</f>
        <v>46092</v>
      </c>
      <c r="F101" s="30">
        <f>Schedule_Data_Mammoet_ScnA!G102</f>
        <v>46092.7</v>
      </c>
      <c r="G101" s="14">
        <f>Schedule_Data_Mammoet_ScnA!H102</f>
        <v>0.7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Schedule_Data_Mammoet_ScnA!A103</f>
        <v>A5141</v>
      </c>
      <c r="B102" s="14" t="str">
        <f>Schedule_Data_Mammoet_ScnA!B103</f>
        <v>A0</v>
      </c>
      <c r="C102" s="14" t="str">
        <f>Schedule_Data_Mammoet_ScnA!C103</f>
        <v>Turning of AGI TR Unit 5 - 10t Forklift required</v>
      </c>
      <c r="D102" s="23" t="str">
        <f>Schedule_Data_Mammoet_ScnA!D103</f>
        <v>TURNING</v>
      </c>
      <c r="E102" s="30">
        <f>Schedule_Data_Mammoet_ScnA!F103</f>
        <v>46092</v>
      </c>
      <c r="F102" s="30">
        <f>Schedule_Data_Mammoet_ScnA!G103</f>
        <v>46092</v>
      </c>
      <c r="G102" s="14">
        <f>Schedule_Data_Mammoet_ScnA!H103</f>
        <v>0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23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Schedule_Data_Mammoet_ScnA!A104</f>
        <v>A5150</v>
      </c>
      <c r="B103" s="14" t="str">
        <f>Schedule_Data_Mammoet_ScnA!B104</f>
        <v>A0</v>
      </c>
      <c r="C103" s="14" t="str">
        <f>Schedule_Data_Mammoet_ScnA!C104</f>
        <v>Jacking down of AGI TR Unit 5 on temporary support - Forklift required</v>
      </c>
      <c r="D103" s="31" t="str">
        <f>Schedule_Data_Mammoet_ScnA!D104</f>
        <v>JACKDOWN</v>
      </c>
      <c r="E103" s="30">
        <f>Schedule_Data_Mammoet_ScnA!F104</f>
        <v>46095</v>
      </c>
      <c r="F103" s="30">
        <f>Schedule_Data_Mammoet_ScnA!G104</f>
        <v>46095</v>
      </c>
      <c r="G103" s="14">
        <f>Schedule_Data_Mammoet_ScnA!H104</f>
        <v>0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31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Schedule_Data_Mammoet_ScnA!A105</f>
        <v>A5200</v>
      </c>
      <c r="B104" s="14" t="str">
        <f>Schedule_Data_Mammoet_ScnA!B105</f>
        <v>A0</v>
      </c>
      <c r="C104" s="14" t="str">
        <f>Schedule_Data_Mammoet_ScnA!C105</f>
        <v>SPMT shifting from TR Bay Area to Jetty; Loading on LCT (if tide allows)</v>
      </c>
      <c r="D104" s="17" t="str">
        <f>Schedule_Data_Mammoet_ScnA!D105</f>
        <v>BUFFER</v>
      </c>
      <c r="E104" s="30">
        <f>Schedule_Data_Mammoet_ScnA!F105</f>
        <v>46096</v>
      </c>
      <c r="F104" s="30">
        <f>Schedule_Data_Mammoet_ScnA!G105</f>
        <v>46096</v>
      </c>
      <c r="G104" s="14">
        <f>Schedule_Data_Mammoet_ScnA!H105</f>
        <v>0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7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Schedule_Data_Mammoet_ScnA!A106</f>
        <v>A5210</v>
      </c>
      <c r="B105" s="14" t="str">
        <f>Schedule_Data_Mammoet_ScnA!B106</f>
        <v>A0</v>
      </c>
      <c r="C105" s="14" t="str">
        <f>Schedule_Data_Mammoet_ScnA!C106</f>
        <v>LCT Sail-away back to Mina Zayed Port; MMT SPMT Crew Demobilization</v>
      </c>
      <c r="D105" s="15" t="str">
        <f>Schedule_Data_Mammoet_ScnA!D106</f>
        <v>MOBILIZATION</v>
      </c>
      <c r="E105" s="30">
        <f>Schedule_Data_Mammoet_ScnA!F106</f>
        <v>46096</v>
      </c>
      <c r="F105" s="30">
        <f>Schedule_Data_Mammoet_ScnA!G106</f>
        <v>46096</v>
      </c>
      <c r="G105" s="14">
        <f>Schedule_Data_Mammoet_ScnA!H106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32" t="s">
        <v>272</v>
      </c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Schedule_Data_Mammoet_ScnA!A107</f>
        <v>A5220</v>
      </c>
      <c r="B106" s="14" t="str">
        <f>Schedule_Data_Mammoet_ScnA!B107</f>
        <v>A0</v>
      </c>
      <c r="C106" s="14" t="str">
        <f>Schedule_Data_Mammoet_ScnA!C107</f>
        <v>MMT Jacking Crew Demobilization</v>
      </c>
      <c r="D106" s="15" t="str">
        <f>Schedule_Data_Mammoet_ScnA!D107</f>
        <v>MOBILIZATION</v>
      </c>
      <c r="E106" s="30">
        <f>Schedule_Data_Mammoet_ScnA!F107</f>
        <v>46097</v>
      </c>
      <c r="F106" s="30">
        <f>Schedule_Data_Mammoet_ScnA!G107</f>
        <v>46097</v>
      </c>
      <c r="G106" s="14">
        <f>Schedule_Data_Mammoet_ScnA!H107</f>
        <v>0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32" t="s">
        <v>272</v>
      </c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Schedule_Data_Mammoet_ScnA!A108</f>
        <v>AGI TR Unit 6</v>
      </c>
      <c r="B107" s="14" t="str">
        <f>Schedule_Data_Mammoet_ScnA!B108</f>
        <v>A0</v>
      </c>
      <c r="C107" s="14" t="str">
        <f>Schedule_Data_Mammoet_ScnA!C108</f>
        <v>AGI TR Unit 6</v>
      </c>
      <c r="D107" s="17" t="str">
        <f>Schedule_Data_Mammoet_ScnA!D108</f>
        <v>BUFFER</v>
      </c>
      <c r="E107" s="30">
        <f>Schedule_Data_Mammoet_ScnA!F108</f>
        <v>46107</v>
      </c>
      <c r="F107" s="30">
        <f>Schedule_Data_Mammoet_ScnA!G108</f>
        <v>46107</v>
      </c>
      <c r="G107" s="14">
        <f>Schedule_Data_Mammoet_ScnA!H108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7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Schedule_Data_Mammoet_ScnA!A109</f>
        <v>A6030</v>
      </c>
      <c r="B108" s="14" t="str">
        <f>Schedule_Data_Mammoet_ScnA!B109</f>
        <v>A0</v>
      </c>
      <c r="C108" s="14" t="str">
        <f>Schedule_Data_Mammoet_ScnA!C109</f>
        <v>Loading of AGI TR Unit 6 on SPMT; lashing; Shifting to Mina Zayed Port RoRo Jetty area</v>
      </c>
      <c r="D108" s="17" t="str">
        <f>Schedule_Data_Mammoet_ScnA!D109</f>
        <v>BUFFER</v>
      </c>
      <c r="E108" s="30">
        <f>Schedule_Data_Mammoet_ScnA!F109</f>
        <v>46098</v>
      </c>
      <c r="F108" s="30">
        <f>Schedule_Data_Mammoet_ScnA!G109</f>
        <v>46098.3</v>
      </c>
      <c r="G108" s="14">
        <f>Schedule_Data_Mammoet_ScnA!H109</f>
        <v>0.3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Schedule_Data_Mammoet_ScnA!A110</f>
        <v>A6040</v>
      </c>
      <c r="B109" s="14" t="str">
        <f>Schedule_Data_Mammoet_ScnA!B110</f>
        <v>A0</v>
      </c>
      <c r="C109" s="14" t="str">
        <f>Schedule_Data_Mammoet_ScnA!C110</f>
        <v>RoRo Ramp Installation - 5t Forklift and Crane required</v>
      </c>
      <c r="D109" s="17" t="str">
        <f>Schedule_Data_Mammoet_ScnA!D110</f>
        <v>BUFFER</v>
      </c>
      <c r="E109" s="30">
        <f>Schedule_Data_Mammoet_ScnA!F110</f>
        <v>46098</v>
      </c>
      <c r="F109" s="30">
        <f>Schedule_Data_Mammoet_ScnA!G110</f>
        <v>46098.3</v>
      </c>
      <c r="G109" s="14">
        <f>Schedule_Data_Mammoet_ScnA!H110</f>
        <v>0.3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Schedule_Data_Mammoet_ScnA!A111</f>
        <v>A6060</v>
      </c>
      <c r="B110" s="14" t="str">
        <f>Schedule_Data_Mammoet_ScnA!B111</f>
        <v>A0</v>
      </c>
      <c r="C110" s="14" t="str">
        <f>Schedule_Data_Mammoet_ScnA!C111</f>
        <v>Load-out of AGI TR Unit 6; stool down</v>
      </c>
      <c r="D110" s="19" t="str">
        <f>Schedule_Data_Mammoet_ScnA!D111</f>
        <v>LOADOUT</v>
      </c>
      <c r="E110" s="30">
        <f>Schedule_Data_Mammoet_ScnA!F111</f>
        <v>46098</v>
      </c>
      <c r="F110" s="30">
        <f>Schedule_Data_Mammoet_ScnA!G111</f>
        <v>46098.2</v>
      </c>
      <c r="G110" s="14">
        <f>Schedule_Data_Mammoet_ScnA!H111</f>
        <v>0.2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Schedule_Data_Mammoet_ScnA!A112</f>
        <v>A6070</v>
      </c>
      <c r="B111" s="14" t="str">
        <f>Schedule_Data_Mammoet_ScnA!B112</f>
        <v>A0</v>
      </c>
      <c r="C111" s="14" t="str">
        <f>Schedule_Data_Mammoet_ScnA!C112</f>
        <v>RoRo ramp removal; Seafastening AGI TR Unit 6 - Crane required</v>
      </c>
      <c r="D111" s="20" t="str">
        <f>Schedule_Data_Mammoet_ScnA!D112</f>
        <v>SEAFAST</v>
      </c>
      <c r="E111" s="30">
        <f>Schedule_Data_Mammoet_ScnA!F112</f>
        <v>46098</v>
      </c>
      <c r="F111" s="30">
        <f>Schedule_Data_Mammoet_ScnA!G112</f>
        <v>46098</v>
      </c>
      <c r="G111" s="14">
        <f>Schedule_Data_Mammoet_ScnA!H112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20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Schedule_Data_Mammoet_ScnA!A113</f>
        <v>A6080</v>
      </c>
      <c r="B112" s="14" t="str">
        <f>Schedule_Data_Mammoet_ScnA!B113</f>
        <v>A0</v>
      </c>
      <c r="C112" s="14" t="str">
        <f>Schedule_Data_Mammoet_ScnA!C113</f>
        <v>MWS + MPI + Final Preparations</v>
      </c>
      <c r="D112" s="17" t="str">
        <f>Schedule_Data_Mammoet_ScnA!D113</f>
        <v>BUFFER</v>
      </c>
      <c r="E112" s="30">
        <f>Schedule_Data_Mammoet_ScnA!F113</f>
        <v>46099</v>
      </c>
      <c r="F112" s="30">
        <f>Schedule_Data_Mammoet_ScnA!G113</f>
        <v>46099.199999999997</v>
      </c>
      <c r="G112" s="14">
        <f>Schedule_Data_Mammoet_ScnA!H113</f>
        <v>0.2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Schedule_Data_Mammoet_ScnA!A114</f>
        <v>A6081</v>
      </c>
      <c r="B113" s="14" t="str">
        <f>Schedule_Data_Mammoet_ScnA!B114</f>
        <v>A0</v>
      </c>
      <c r="C113" s="14" t="str">
        <f>Schedule_Data_Mammoet_ScnA!C114</f>
        <v>Sail-away - Marine Transportation by LCT to Al Ghallan Island</v>
      </c>
      <c r="D113" s="21" t="str">
        <f>Schedule_Data_Mammoet_ScnA!D114</f>
        <v>SAIL</v>
      </c>
      <c r="E113" s="30">
        <f>Schedule_Data_Mammoet_ScnA!F114</f>
        <v>46100</v>
      </c>
      <c r="F113" s="30">
        <f>Schedule_Data_Mammoet_ScnA!G114</f>
        <v>46100</v>
      </c>
      <c r="G113" s="14">
        <f>Schedule_Data_Mammoet_ScnA!H114</f>
        <v>0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21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Schedule_Data_Mammoet_ScnA!A115</f>
        <v>A6090</v>
      </c>
      <c r="B114" s="14" t="str">
        <f>Schedule_Data_Mammoet_ScnA!B115</f>
        <v>A0</v>
      </c>
      <c r="C114" s="14" t="str">
        <f>Schedule_Data_Mammoet_ScnA!C115</f>
        <v>MMT Crew Mob to AGI</v>
      </c>
      <c r="D114" s="17" t="str">
        <f>Schedule_Data_Mammoet_ScnA!D115</f>
        <v>BUFFER</v>
      </c>
      <c r="E114" s="30">
        <f>Schedule_Data_Mammoet_ScnA!F115</f>
        <v>46101</v>
      </c>
      <c r="F114" s="30">
        <f>Schedule_Data_Mammoet_ScnA!G115</f>
        <v>46101</v>
      </c>
      <c r="G114" s="14">
        <f>Schedule_Data_Mammoet_ScnA!H115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7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Schedule_Data_Mammoet_ScnA!A116</f>
        <v>A6091</v>
      </c>
      <c r="B115" s="14" t="str">
        <f>Schedule_Data_Mammoet_ScnA!B116</f>
        <v>A0</v>
      </c>
      <c r="C115" s="14" t="str">
        <f>Schedule_Data_Mammoet_ScnA!C116</f>
        <v>LCT Arrival; Berthing at AGI RoRo Jetty</v>
      </c>
      <c r="D115" s="22" t="str">
        <f>Schedule_Data_Mammoet_ScnA!D116</f>
        <v>AGI_UNLOAD</v>
      </c>
      <c r="E115" s="30">
        <f>Schedule_Data_Mammoet_ScnA!F116</f>
        <v>46101</v>
      </c>
      <c r="F115" s="30">
        <f>Schedule_Data_Mammoet_ScnA!G116</f>
        <v>46101</v>
      </c>
      <c r="G115" s="14">
        <f>Schedule_Data_Mammoet_ScnA!H116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22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Schedule_Data_Mammoet_ScnA!A117</f>
        <v>A6100</v>
      </c>
      <c r="B116" s="14" t="str">
        <f>Schedule_Data_Mammoet_ScnA!B117</f>
        <v>A0</v>
      </c>
      <c r="C116" s="14" t="str">
        <f>Schedule_Data_Mammoet_ScnA!C117</f>
        <v>Unlashing and cutting</v>
      </c>
      <c r="D116" s="17" t="str">
        <f>Schedule_Data_Mammoet_ScnA!D117</f>
        <v>BUFFER</v>
      </c>
      <c r="E116" s="30">
        <f>Schedule_Data_Mammoet_ScnA!F117</f>
        <v>46101</v>
      </c>
      <c r="F116" s="30">
        <f>Schedule_Data_Mammoet_ScnA!G117</f>
        <v>46101</v>
      </c>
      <c r="G116" s="14">
        <f>Schedule_Data_Mammoet_ScnA!H117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7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Schedule_Data_Mammoet_ScnA!A118</f>
        <v>A6120</v>
      </c>
      <c r="B117" s="14" t="str">
        <f>Schedule_Data_Mammoet_ScnA!B118</f>
        <v>A0</v>
      </c>
      <c r="C117" s="14" t="str">
        <f>Schedule_Data_Mammoet_ScnA!C118</f>
        <v>Load-in of AGI TR Unit 6 (including RoRo Ramp Installation); store on Jetty - Crane required</v>
      </c>
      <c r="D117" s="19" t="str">
        <f>Schedule_Data_Mammoet_ScnA!D118</f>
        <v>LOADOUT</v>
      </c>
      <c r="E117" s="30">
        <f>Schedule_Data_Mammoet_ScnA!F118</f>
        <v>46101</v>
      </c>
      <c r="F117" s="30">
        <f>Schedule_Data_Mammoet_ScnA!G118</f>
        <v>46101</v>
      </c>
      <c r="G117" s="14">
        <f>Schedule_Data_Mammoet_ScnA!H118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9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Schedule_Data_Mammoet_ScnA!A119</f>
        <v>A6121</v>
      </c>
      <c r="B118" s="14" t="str">
        <f>Schedule_Data_Mammoet_ScnA!B119</f>
        <v>A0</v>
      </c>
      <c r="C118" s="14" t="str">
        <f>Schedule_Data_Mammoet_ScnA!C119</f>
        <v>Steel bridge Installation 1</v>
      </c>
      <c r="D118" s="17" t="str">
        <f>Schedule_Data_Mammoet_ScnA!D119</f>
        <v>BUFFER</v>
      </c>
      <c r="E118" s="30">
        <f>Schedule_Data_Mammoet_ScnA!F119</f>
        <v>46102</v>
      </c>
      <c r="F118" s="30">
        <f>Schedule_Data_Mammoet_ScnA!G119</f>
        <v>46102.3</v>
      </c>
      <c r="G118" s="14">
        <f>Schedule_Data_Mammoet_ScnA!H119</f>
        <v>0.3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  <row r="119" spans="1:127">
      <c r="A119" s="14" t="str">
        <f>Schedule_Data_Mammoet_ScnA!A120</f>
        <v>A6140</v>
      </c>
      <c r="B119" s="14" t="str">
        <f>Schedule_Data_Mammoet_ScnA!B120</f>
        <v>A0</v>
      </c>
      <c r="C119" s="14" t="str">
        <f>Schedule_Data_Mammoet_ScnA!C120</f>
        <v>AGI TR Unit 6 load on SPMT</v>
      </c>
      <c r="D119" s="17" t="str">
        <f>Schedule_Data_Mammoet_ScnA!D120</f>
        <v>BUFFER</v>
      </c>
      <c r="E119" s="30">
        <f>Schedule_Data_Mammoet_ScnA!F120</f>
        <v>46102</v>
      </c>
      <c r="F119" s="30">
        <f>Schedule_Data_Mammoet_ScnA!G120</f>
        <v>46102.7</v>
      </c>
      <c r="G119" s="14">
        <f>Schedule_Data_Mammoet_ScnA!H120</f>
        <v>0.7</v>
      </c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</row>
    <row r="120" spans="1:127">
      <c r="A120" s="14" t="str">
        <f>Schedule_Data_Mammoet_ScnA!A121</f>
        <v>A6141</v>
      </c>
      <c r="B120" s="14" t="str">
        <f>Schedule_Data_Mammoet_ScnA!B121</f>
        <v>A0</v>
      </c>
      <c r="C120" s="14" t="str">
        <f>Schedule_Data_Mammoet_ScnA!C121</f>
        <v>Turning of AGI TR Unit 6 - 10t Forklift required</v>
      </c>
      <c r="D120" s="23" t="str">
        <f>Schedule_Data_Mammoet_ScnA!D121</f>
        <v>TURNING</v>
      </c>
      <c r="E120" s="30">
        <f>Schedule_Data_Mammoet_ScnA!F121</f>
        <v>46102</v>
      </c>
      <c r="F120" s="30">
        <f>Schedule_Data_Mammoet_ScnA!G121</f>
        <v>46102</v>
      </c>
      <c r="G120" s="14">
        <f>Schedule_Data_Mammoet_ScnA!H121</f>
        <v>0</v>
      </c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23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</row>
    <row r="121" spans="1:127">
      <c r="A121" s="14" t="str">
        <f>Schedule_Data_Mammoet_ScnA!A122</f>
        <v>A6150</v>
      </c>
      <c r="B121" s="14" t="str">
        <f>Schedule_Data_Mammoet_ScnA!B122</f>
        <v>A0</v>
      </c>
      <c r="C121" s="14" t="str">
        <f>Schedule_Data_Mammoet_ScnA!C122</f>
        <v>Jacking down of AGI TR Unit 6 on temporary support - Forklift required</v>
      </c>
      <c r="D121" s="31" t="str">
        <f>Schedule_Data_Mammoet_ScnA!D122</f>
        <v>JACKDOWN</v>
      </c>
      <c r="E121" s="30">
        <f>Schedule_Data_Mammoet_ScnA!F122</f>
        <v>46105</v>
      </c>
      <c r="F121" s="30">
        <f>Schedule_Data_Mammoet_ScnA!G122</f>
        <v>46105</v>
      </c>
      <c r="G121" s="14">
        <f>Schedule_Data_Mammoet_ScnA!H122</f>
        <v>0</v>
      </c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31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</row>
    <row r="122" spans="1:127">
      <c r="A122" s="14" t="str">
        <f>Schedule_Data_Mammoet_ScnA!A123</f>
        <v>A6200</v>
      </c>
      <c r="B122" s="14" t="str">
        <f>Schedule_Data_Mammoet_ScnA!B123</f>
        <v>A0</v>
      </c>
      <c r="C122" s="14" t="str">
        <f>Schedule_Data_Mammoet_ScnA!C123</f>
        <v>SPMT shifting from TR Bay Area to Jetty; Loading on LCT (if tide allows)</v>
      </c>
      <c r="D122" s="17" t="str">
        <f>Schedule_Data_Mammoet_ScnA!D123</f>
        <v>BUFFER</v>
      </c>
      <c r="E122" s="30">
        <f>Schedule_Data_Mammoet_ScnA!F123</f>
        <v>46106</v>
      </c>
      <c r="F122" s="30">
        <f>Schedule_Data_Mammoet_ScnA!G123</f>
        <v>46106</v>
      </c>
      <c r="G122" s="14">
        <f>Schedule_Data_Mammoet_ScnA!H123</f>
        <v>0</v>
      </c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7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</row>
    <row r="123" spans="1:127">
      <c r="A123" s="14" t="str">
        <f>Schedule_Data_Mammoet_ScnA!A124</f>
        <v>A6210</v>
      </c>
      <c r="B123" s="14" t="str">
        <f>Schedule_Data_Mammoet_ScnA!B124</f>
        <v>A0</v>
      </c>
      <c r="C123" s="14" t="str">
        <f>Schedule_Data_Mammoet_ScnA!C124</f>
        <v>LCT Sail-away back to Mina Zayed Port; MMT SPMT Crew Demobilization</v>
      </c>
      <c r="D123" s="15" t="str">
        <f>Schedule_Data_Mammoet_ScnA!D124</f>
        <v>MOBILIZATION</v>
      </c>
      <c r="E123" s="30">
        <f>Schedule_Data_Mammoet_ScnA!F124</f>
        <v>46106</v>
      </c>
      <c r="F123" s="30">
        <f>Schedule_Data_Mammoet_ScnA!G124</f>
        <v>46106</v>
      </c>
      <c r="G123" s="14">
        <f>Schedule_Data_Mammoet_ScnA!H124</f>
        <v>0</v>
      </c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32" t="s">
        <v>272</v>
      </c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</row>
    <row r="124" spans="1:127">
      <c r="A124" s="14" t="str">
        <f>Schedule_Data_Mammoet_ScnA!A125</f>
        <v>A6220</v>
      </c>
      <c r="B124" s="14" t="str">
        <f>Schedule_Data_Mammoet_ScnA!B125</f>
        <v>A0</v>
      </c>
      <c r="C124" s="14" t="str">
        <f>Schedule_Data_Mammoet_ScnA!C125</f>
        <v>MMT Jacking Crew Demobilization</v>
      </c>
      <c r="D124" s="15" t="str">
        <f>Schedule_Data_Mammoet_ScnA!D125</f>
        <v>MOBILIZATION</v>
      </c>
      <c r="E124" s="30">
        <f>Schedule_Data_Mammoet_ScnA!F125</f>
        <v>46107</v>
      </c>
      <c r="F124" s="30">
        <f>Schedule_Data_Mammoet_ScnA!G125</f>
        <v>46107</v>
      </c>
      <c r="G124" s="14">
        <f>Schedule_Data_Mammoet_ScnA!H125</f>
        <v>0</v>
      </c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32" t="s">
        <v>272</v>
      </c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</row>
    <row r="125" spans="1:127">
      <c r="A125" s="14" t="str">
        <f>Schedule_Data_Mammoet_ScnA!A126</f>
        <v>AGI TR Unit 7</v>
      </c>
      <c r="B125" s="14" t="str">
        <f>Schedule_Data_Mammoet_ScnA!B126</f>
        <v>A0</v>
      </c>
      <c r="C125" s="14" t="str">
        <f>Schedule_Data_Mammoet_ScnA!C126</f>
        <v>AGI TR Unit 7</v>
      </c>
      <c r="D125" s="17" t="str">
        <f>Schedule_Data_Mammoet_ScnA!D126</f>
        <v>BUFFER</v>
      </c>
      <c r="E125" s="30">
        <f>Schedule_Data_Mammoet_ScnA!F126</f>
        <v>46117</v>
      </c>
      <c r="F125" s="30">
        <f>Schedule_Data_Mammoet_ScnA!G126</f>
        <v>46117</v>
      </c>
      <c r="G125" s="14">
        <f>Schedule_Data_Mammoet_ScnA!H126</f>
        <v>0</v>
      </c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7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</row>
    <row r="126" spans="1:127">
      <c r="A126" s="14" t="str">
        <f>Schedule_Data_Mammoet_ScnA!A127</f>
        <v>A7030</v>
      </c>
      <c r="B126" s="14" t="str">
        <f>Schedule_Data_Mammoet_ScnA!B127</f>
        <v>A0</v>
      </c>
      <c r="C126" s="14" t="str">
        <f>Schedule_Data_Mammoet_ScnA!C127</f>
        <v>Loading of AGI TR Unit 7 on SPMT; lashing; Shifting to Mina Zayed Port RoRo Jetty area</v>
      </c>
      <c r="D126" s="17" t="str">
        <f>Schedule_Data_Mammoet_ScnA!D127</f>
        <v>BUFFER</v>
      </c>
      <c r="E126" s="30">
        <f>Schedule_Data_Mammoet_ScnA!F127</f>
        <v>46108</v>
      </c>
      <c r="F126" s="30">
        <f>Schedule_Data_Mammoet_ScnA!G127</f>
        <v>46108.3</v>
      </c>
      <c r="G126" s="14">
        <f>Schedule_Data_Mammoet_ScnA!H127</f>
        <v>0.3</v>
      </c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</row>
    <row r="127" spans="1:127">
      <c r="A127" s="14" t="str">
        <f>Schedule_Data_Mammoet_ScnA!A128</f>
        <v>A7040</v>
      </c>
      <c r="B127" s="14" t="str">
        <f>Schedule_Data_Mammoet_ScnA!B128</f>
        <v>A0</v>
      </c>
      <c r="C127" s="14" t="str">
        <f>Schedule_Data_Mammoet_ScnA!C128</f>
        <v>RoRo Ramp Installation - 5t Forklift and Crane required</v>
      </c>
      <c r="D127" s="17" t="str">
        <f>Schedule_Data_Mammoet_ScnA!D128</f>
        <v>BUFFER</v>
      </c>
      <c r="E127" s="30">
        <f>Schedule_Data_Mammoet_ScnA!F128</f>
        <v>46108</v>
      </c>
      <c r="F127" s="30">
        <f>Schedule_Data_Mammoet_ScnA!G128</f>
        <v>46108.3</v>
      </c>
      <c r="G127" s="14">
        <f>Schedule_Data_Mammoet_ScnA!H128</f>
        <v>0.3</v>
      </c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</row>
    <row r="128" spans="1:127">
      <c r="A128" s="14" t="str">
        <f>Schedule_Data_Mammoet_ScnA!A129</f>
        <v>A7060</v>
      </c>
      <c r="B128" s="14" t="str">
        <f>Schedule_Data_Mammoet_ScnA!B129</f>
        <v>A0</v>
      </c>
      <c r="C128" s="14" t="str">
        <f>Schedule_Data_Mammoet_ScnA!C129</f>
        <v>Load-out of AGI TR Unit 7; stool down</v>
      </c>
      <c r="D128" s="19" t="str">
        <f>Schedule_Data_Mammoet_ScnA!D129</f>
        <v>LOADOUT</v>
      </c>
      <c r="E128" s="30">
        <f>Schedule_Data_Mammoet_ScnA!F129</f>
        <v>46108</v>
      </c>
      <c r="F128" s="30">
        <f>Schedule_Data_Mammoet_ScnA!G129</f>
        <v>46108.2</v>
      </c>
      <c r="G128" s="14">
        <f>Schedule_Data_Mammoet_ScnA!H129</f>
        <v>0.2</v>
      </c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</row>
    <row r="129" spans="1:127">
      <c r="A129" s="14" t="str">
        <f>Schedule_Data_Mammoet_ScnA!A130</f>
        <v>A7070</v>
      </c>
      <c r="B129" s="14" t="str">
        <f>Schedule_Data_Mammoet_ScnA!B130</f>
        <v>A0</v>
      </c>
      <c r="C129" s="14" t="str">
        <f>Schedule_Data_Mammoet_ScnA!C130</f>
        <v>RoRo ramp removal; Seafastening AGI TR Unit 7 - Crane required</v>
      </c>
      <c r="D129" s="20" t="str">
        <f>Schedule_Data_Mammoet_ScnA!D130</f>
        <v>SEAFAST</v>
      </c>
      <c r="E129" s="30">
        <f>Schedule_Data_Mammoet_ScnA!F130</f>
        <v>46108</v>
      </c>
      <c r="F129" s="30">
        <f>Schedule_Data_Mammoet_ScnA!G130</f>
        <v>46108</v>
      </c>
      <c r="G129" s="14">
        <f>Schedule_Data_Mammoet_ScnA!H130</f>
        <v>0</v>
      </c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20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</row>
    <row r="130" spans="1:127">
      <c r="A130" s="14" t="str">
        <f>Schedule_Data_Mammoet_ScnA!A131</f>
        <v>A7080</v>
      </c>
      <c r="B130" s="14" t="str">
        <f>Schedule_Data_Mammoet_ScnA!B131</f>
        <v>A0</v>
      </c>
      <c r="C130" s="14" t="str">
        <f>Schedule_Data_Mammoet_ScnA!C131</f>
        <v>MWS + MPI + Final Preparations</v>
      </c>
      <c r="D130" s="17" t="str">
        <f>Schedule_Data_Mammoet_ScnA!D131</f>
        <v>BUFFER</v>
      </c>
      <c r="E130" s="30">
        <f>Schedule_Data_Mammoet_ScnA!F131</f>
        <v>46109</v>
      </c>
      <c r="F130" s="30">
        <f>Schedule_Data_Mammoet_ScnA!G131</f>
        <v>46109.2</v>
      </c>
      <c r="G130" s="14">
        <f>Schedule_Data_Mammoet_ScnA!H131</f>
        <v>0.2</v>
      </c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</row>
    <row r="131" spans="1:127">
      <c r="A131" s="14" t="str">
        <f>Schedule_Data_Mammoet_ScnA!A132</f>
        <v>A7081</v>
      </c>
      <c r="B131" s="14" t="str">
        <f>Schedule_Data_Mammoet_ScnA!B132</f>
        <v>A0</v>
      </c>
      <c r="C131" s="14" t="str">
        <f>Schedule_Data_Mammoet_ScnA!C132</f>
        <v>Sail-away - Marine Transportation by LCT to Al Ghallan Island</v>
      </c>
      <c r="D131" s="21" t="str">
        <f>Schedule_Data_Mammoet_ScnA!D132</f>
        <v>SAIL</v>
      </c>
      <c r="E131" s="30">
        <f>Schedule_Data_Mammoet_ScnA!F132</f>
        <v>46110</v>
      </c>
      <c r="F131" s="30">
        <f>Schedule_Data_Mammoet_ScnA!G132</f>
        <v>46110</v>
      </c>
      <c r="G131" s="14">
        <f>Schedule_Data_Mammoet_ScnA!H132</f>
        <v>0</v>
      </c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21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</row>
    <row r="132" spans="1:127">
      <c r="A132" s="14" t="str">
        <f>Schedule_Data_Mammoet_ScnA!A133</f>
        <v>A7090</v>
      </c>
      <c r="B132" s="14" t="str">
        <f>Schedule_Data_Mammoet_ScnA!B133</f>
        <v>A0</v>
      </c>
      <c r="C132" s="14" t="str">
        <f>Schedule_Data_Mammoet_ScnA!C133</f>
        <v>MMT Crew Mob to AGI</v>
      </c>
      <c r="D132" s="17" t="str">
        <f>Schedule_Data_Mammoet_ScnA!D133</f>
        <v>BUFFER</v>
      </c>
      <c r="E132" s="30">
        <f>Schedule_Data_Mammoet_ScnA!F133</f>
        <v>46111</v>
      </c>
      <c r="F132" s="30">
        <f>Schedule_Data_Mammoet_ScnA!G133</f>
        <v>46111</v>
      </c>
      <c r="G132" s="14">
        <f>Schedule_Data_Mammoet_ScnA!H133</f>
        <v>0</v>
      </c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7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</row>
    <row r="133" spans="1:127">
      <c r="A133" s="14" t="str">
        <f>Schedule_Data_Mammoet_ScnA!A134</f>
        <v>A7091</v>
      </c>
      <c r="B133" s="14" t="str">
        <f>Schedule_Data_Mammoet_ScnA!B134</f>
        <v>A0</v>
      </c>
      <c r="C133" s="14" t="str">
        <f>Schedule_Data_Mammoet_ScnA!C134</f>
        <v>LCT Arrival; Berthing at AGI RoRo Jetty</v>
      </c>
      <c r="D133" s="22" t="str">
        <f>Schedule_Data_Mammoet_ScnA!D134</f>
        <v>AGI_UNLOAD</v>
      </c>
      <c r="E133" s="30">
        <f>Schedule_Data_Mammoet_ScnA!F134</f>
        <v>46111</v>
      </c>
      <c r="F133" s="30">
        <f>Schedule_Data_Mammoet_ScnA!G134</f>
        <v>46111</v>
      </c>
      <c r="G133" s="14">
        <f>Schedule_Data_Mammoet_ScnA!H134</f>
        <v>0</v>
      </c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22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</row>
    <row r="134" spans="1:127">
      <c r="A134" s="14" t="str">
        <f>Schedule_Data_Mammoet_ScnA!A135</f>
        <v>A7100</v>
      </c>
      <c r="B134" s="14" t="str">
        <f>Schedule_Data_Mammoet_ScnA!B135</f>
        <v>A0</v>
      </c>
      <c r="C134" s="14" t="str">
        <f>Schedule_Data_Mammoet_ScnA!C135</f>
        <v>Unlashing and cutting</v>
      </c>
      <c r="D134" s="17" t="str">
        <f>Schedule_Data_Mammoet_ScnA!D135</f>
        <v>BUFFER</v>
      </c>
      <c r="E134" s="30">
        <f>Schedule_Data_Mammoet_ScnA!F135</f>
        <v>46111</v>
      </c>
      <c r="F134" s="30">
        <f>Schedule_Data_Mammoet_ScnA!G135</f>
        <v>46111</v>
      </c>
      <c r="G134" s="14">
        <f>Schedule_Data_Mammoet_ScnA!H135</f>
        <v>0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7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</row>
    <row r="135" spans="1:127">
      <c r="A135" s="14" t="str">
        <f>Schedule_Data_Mammoet_ScnA!A136</f>
        <v>A7120</v>
      </c>
      <c r="B135" s="14" t="str">
        <f>Schedule_Data_Mammoet_ScnA!B136</f>
        <v>A0</v>
      </c>
      <c r="C135" s="14" t="str">
        <f>Schedule_Data_Mammoet_ScnA!C136</f>
        <v>Load-in of AGI TR Unit 7 (including RoRo Ramp Installation); store on Jetty - Crane required</v>
      </c>
      <c r="D135" s="19" t="str">
        <f>Schedule_Data_Mammoet_ScnA!D136</f>
        <v>LOADOUT</v>
      </c>
      <c r="E135" s="30">
        <f>Schedule_Data_Mammoet_ScnA!F136</f>
        <v>46111</v>
      </c>
      <c r="F135" s="30">
        <f>Schedule_Data_Mammoet_ScnA!G136</f>
        <v>46111</v>
      </c>
      <c r="G135" s="14">
        <f>Schedule_Data_Mammoet_ScnA!H136</f>
        <v>0</v>
      </c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9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</row>
    <row r="136" spans="1:127">
      <c r="A136" s="14" t="str">
        <f>Schedule_Data_Mammoet_ScnA!A137</f>
        <v>A7121</v>
      </c>
      <c r="B136" s="14" t="str">
        <f>Schedule_Data_Mammoet_ScnA!B137</f>
        <v>A0</v>
      </c>
      <c r="C136" s="14" t="str">
        <f>Schedule_Data_Mammoet_ScnA!C137</f>
        <v>Steel bridge Installation 1</v>
      </c>
      <c r="D136" s="17" t="str">
        <f>Schedule_Data_Mammoet_ScnA!D137</f>
        <v>BUFFER</v>
      </c>
      <c r="E136" s="30">
        <f>Schedule_Data_Mammoet_ScnA!F137</f>
        <v>46112</v>
      </c>
      <c r="F136" s="30">
        <f>Schedule_Data_Mammoet_ScnA!G137</f>
        <v>46112.3</v>
      </c>
      <c r="G136" s="14">
        <f>Schedule_Data_Mammoet_ScnA!H137</f>
        <v>0.3</v>
      </c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</row>
    <row r="137" spans="1:127">
      <c r="A137" s="14" t="str">
        <f>Schedule_Data_Mammoet_ScnA!A138</f>
        <v>A7140</v>
      </c>
      <c r="B137" s="14" t="str">
        <f>Schedule_Data_Mammoet_ScnA!B138</f>
        <v>A0</v>
      </c>
      <c r="C137" s="14" t="str">
        <f>Schedule_Data_Mammoet_ScnA!C138</f>
        <v>AGI TR Unit 7 load on SPMT</v>
      </c>
      <c r="D137" s="17" t="str">
        <f>Schedule_Data_Mammoet_ScnA!D138</f>
        <v>BUFFER</v>
      </c>
      <c r="E137" s="30">
        <f>Schedule_Data_Mammoet_ScnA!F138</f>
        <v>46112</v>
      </c>
      <c r="F137" s="30">
        <f>Schedule_Data_Mammoet_ScnA!G138</f>
        <v>46112.7</v>
      </c>
      <c r="G137" s="14">
        <f>Schedule_Data_Mammoet_ScnA!H138</f>
        <v>0.7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</row>
    <row r="138" spans="1:127">
      <c r="A138" s="14" t="str">
        <f>Schedule_Data_Mammoet_ScnA!A139</f>
        <v>A7141</v>
      </c>
      <c r="B138" s="14" t="str">
        <f>Schedule_Data_Mammoet_ScnA!B139</f>
        <v>A0</v>
      </c>
      <c r="C138" s="14" t="str">
        <f>Schedule_Data_Mammoet_ScnA!C139</f>
        <v>Turning of AGI TR Unit 7 - 10t Forklift required</v>
      </c>
      <c r="D138" s="23" t="str">
        <f>Schedule_Data_Mammoet_ScnA!D139</f>
        <v>TURNING</v>
      </c>
      <c r="E138" s="30">
        <f>Schedule_Data_Mammoet_ScnA!F139</f>
        <v>46112</v>
      </c>
      <c r="F138" s="30">
        <f>Schedule_Data_Mammoet_ScnA!G139</f>
        <v>46112</v>
      </c>
      <c r="G138" s="14">
        <f>Schedule_Data_Mammoet_ScnA!H139</f>
        <v>0</v>
      </c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23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</row>
    <row r="139" spans="1:127">
      <c r="A139" s="14" t="str">
        <f>Schedule_Data_Mammoet_ScnA!A140</f>
        <v>A7150</v>
      </c>
      <c r="B139" s="14" t="str">
        <f>Schedule_Data_Mammoet_ScnA!B140</f>
        <v>A0</v>
      </c>
      <c r="C139" s="14" t="str">
        <f>Schedule_Data_Mammoet_ScnA!C140</f>
        <v>Jacking down of AGI TR Unit 7 on temporary support - Forklift and Crane required</v>
      </c>
      <c r="D139" s="31" t="str">
        <f>Schedule_Data_Mammoet_ScnA!D140</f>
        <v>JACKDOWN</v>
      </c>
      <c r="E139" s="30">
        <f>Schedule_Data_Mammoet_ScnA!F140</f>
        <v>46115</v>
      </c>
      <c r="F139" s="30">
        <f>Schedule_Data_Mammoet_ScnA!G140</f>
        <v>46115</v>
      </c>
      <c r="G139" s="14">
        <f>Schedule_Data_Mammoet_ScnA!H140</f>
        <v>0</v>
      </c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31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</row>
    <row r="140" spans="1:127">
      <c r="A140" s="14" t="str">
        <f>Schedule_Data_Mammoet_ScnA!A141</f>
        <v>A7200</v>
      </c>
      <c r="B140" s="14" t="str">
        <f>Schedule_Data_Mammoet_ScnA!B141</f>
        <v>A0</v>
      </c>
      <c r="C140" s="14" t="str">
        <f>Schedule_Data_Mammoet_ScnA!C141</f>
        <v>SPMT shifting from TR Bay Area to Jetty; Loading on LCT (if tide allows)</v>
      </c>
      <c r="D140" s="17" t="str">
        <f>Schedule_Data_Mammoet_ScnA!D141</f>
        <v>BUFFER</v>
      </c>
      <c r="E140" s="30">
        <f>Schedule_Data_Mammoet_ScnA!F141</f>
        <v>46116</v>
      </c>
      <c r="F140" s="30">
        <f>Schedule_Data_Mammoet_ScnA!G141</f>
        <v>46116</v>
      </c>
      <c r="G140" s="14">
        <f>Schedule_Data_Mammoet_ScnA!H141</f>
        <v>0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7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</row>
    <row r="141" spans="1:127">
      <c r="A141" s="14" t="str">
        <f>Schedule_Data_Mammoet_ScnA!A142</f>
        <v>A7210</v>
      </c>
      <c r="B141" s="14" t="str">
        <f>Schedule_Data_Mammoet_ScnA!B142</f>
        <v>A0</v>
      </c>
      <c r="C141" s="14" t="str">
        <f>Schedule_Data_Mammoet_ScnA!C142</f>
        <v>LCT Sail-away back to Mina Zayed Port; MMT SPMT Crew Demobilization</v>
      </c>
      <c r="D141" s="15" t="str">
        <f>Schedule_Data_Mammoet_ScnA!D142</f>
        <v>MOBILIZATION</v>
      </c>
      <c r="E141" s="30">
        <f>Schedule_Data_Mammoet_ScnA!F142</f>
        <v>46116</v>
      </c>
      <c r="F141" s="30">
        <f>Schedule_Data_Mammoet_ScnA!G142</f>
        <v>46116</v>
      </c>
      <c r="G141" s="14">
        <f>Schedule_Data_Mammoet_ScnA!H142</f>
        <v>0</v>
      </c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32" t="s">
        <v>272</v>
      </c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</row>
    <row r="142" spans="1:127">
      <c r="A142" s="14" t="str">
        <f>Schedule_Data_Mammoet_ScnA!A143</f>
        <v>A7220</v>
      </c>
      <c r="B142" s="14" t="str">
        <f>Schedule_Data_Mammoet_ScnA!B143</f>
        <v>A0</v>
      </c>
      <c r="C142" s="14" t="str">
        <f>Schedule_Data_Mammoet_ScnA!C143</f>
        <v>MMT Jacking Crew Demobilization</v>
      </c>
      <c r="D142" s="15" t="str">
        <f>Schedule_Data_Mammoet_ScnA!D143</f>
        <v>MOBILIZATION</v>
      </c>
      <c r="E142" s="30">
        <f>Schedule_Data_Mammoet_ScnA!F143</f>
        <v>46117</v>
      </c>
      <c r="F142" s="30">
        <f>Schedule_Data_Mammoet_ScnA!G143</f>
        <v>46117</v>
      </c>
      <c r="G142" s="14">
        <f>Schedule_Data_Mammoet_ScnA!H143</f>
        <v>0</v>
      </c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32" t="s">
        <v>272</v>
      </c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19"/>
  <sheetViews>
    <sheetView workbookViewId="0">
      <pane ySplit="5" topLeftCell="A6" activePane="bottomLeft" state="frozen"/>
      <selection pane="bottomLeft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367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48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49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50</v>
      </c>
      <c r="B5" s="13" t="s">
        <v>51</v>
      </c>
      <c r="C5" s="13" t="s">
        <v>52</v>
      </c>
      <c r="D5" s="13" t="s">
        <v>53</v>
      </c>
      <c r="E5" s="13" t="s">
        <v>54</v>
      </c>
      <c r="F5" s="13" t="s">
        <v>55</v>
      </c>
      <c r="G5" s="13" t="s">
        <v>56</v>
      </c>
      <c r="H5" s="13" t="s">
        <v>57</v>
      </c>
      <c r="I5" s="13" t="s">
        <v>58</v>
      </c>
    </row>
    <row r="6" spans="1:9">
      <c r="A6" s="14" t="s">
        <v>59</v>
      </c>
      <c r="B6" s="14" t="s">
        <v>60</v>
      </c>
      <c r="C6" s="14" t="s">
        <v>59</v>
      </c>
      <c r="D6" s="15" t="s">
        <v>59</v>
      </c>
      <c r="E6" s="14" t="s">
        <v>61</v>
      </c>
      <c r="F6" s="16">
        <f>PROJECT_START+-5</f>
        <v>46035</v>
      </c>
      <c r="G6" s="16">
        <f t="shared" ref="G6:G37" si="0">F6+H6</f>
        <v>46035</v>
      </c>
      <c r="H6" s="14">
        <f>DUR_BUF</f>
        <v>0</v>
      </c>
      <c r="I6" s="14"/>
    </row>
    <row r="7" spans="1:9">
      <c r="A7" s="14" t="s">
        <v>62</v>
      </c>
      <c r="B7" s="14" t="s">
        <v>60</v>
      </c>
      <c r="C7" s="14" t="s">
        <v>62</v>
      </c>
      <c r="D7" s="17" t="s">
        <v>63</v>
      </c>
      <c r="E7" s="14" t="s">
        <v>61</v>
      </c>
      <c r="F7" s="16">
        <f>PROJECT_START+-5</f>
        <v>46035</v>
      </c>
      <c r="G7" s="16">
        <f t="shared" si="0"/>
        <v>46035</v>
      </c>
      <c r="H7" s="14">
        <f>DUR_BUF</f>
        <v>0</v>
      </c>
      <c r="I7" s="14"/>
    </row>
    <row r="8" spans="1:9">
      <c r="A8" s="14" t="s">
        <v>64</v>
      </c>
      <c r="B8" s="14" t="s">
        <v>60</v>
      </c>
      <c r="C8" s="14" t="s">
        <v>274</v>
      </c>
      <c r="D8" s="15" t="s">
        <v>59</v>
      </c>
      <c r="E8" s="14" t="s">
        <v>61</v>
      </c>
      <c r="F8" s="16">
        <f>PROJECT_START+-6</f>
        <v>46034</v>
      </c>
      <c r="G8" s="16">
        <f t="shared" si="0"/>
        <v>46037</v>
      </c>
      <c r="H8" s="14">
        <f>DUR_MOB</f>
        <v>3</v>
      </c>
      <c r="I8" s="14" t="s">
        <v>66</v>
      </c>
    </row>
    <row r="9" spans="1:9">
      <c r="A9" s="14" t="s">
        <v>67</v>
      </c>
      <c r="B9" s="14" t="s">
        <v>60</v>
      </c>
      <c r="C9" s="14" t="s">
        <v>67</v>
      </c>
      <c r="D9" s="17" t="s">
        <v>63</v>
      </c>
      <c r="E9" s="14" t="s">
        <v>61</v>
      </c>
      <c r="F9" s="16">
        <f>PROJECT_START+-5</f>
        <v>46035</v>
      </c>
      <c r="G9" s="16">
        <f t="shared" si="0"/>
        <v>46035</v>
      </c>
      <c r="H9" s="14">
        <f t="shared" ref="H9:H16" si="1">DUR_BUF</f>
        <v>0</v>
      </c>
      <c r="I9" s="14"/>
    </row>
    <row r="10" spans="1:9">
      <c r="A10" s="14" t="s">
        <v>68</v>
      </c>
      <c r="B10" s="14" t="s">
        <v>60</v>
      </c>
      <c r="C10" s="14" t="s">
        <v>69</v>
      </c>
      <c r="D10" s="15" t="s">
        <v>59</v>
      </c>
      <c r="E10" s="14" t="s">
        <v>61</v>
      </c>
      <c r="F10" s="16">
        <f>PROJECT_START+-6</f>
        <v>46034</v>
      </c>
      <c r="G10" s="16">
        <f t="shared" si="0"/>
        <v>46034</v>
      </c>
      <c r="H10" s="14">
        <f t="shared" si="1"/>
        <v>0</v>
      </c>
      <c r="I10" s="14"/>
    </row>
    <row r="11" spans="1:9">
      <c r="A11" s="14" t="s">
        <v>70</v>
      </c>
      <c r="B11" s="14" t="s">
        <v>60</v>
      </c>
      <c r="C11" s="14" t="s">
        <v>70</v>
      </c>
      <c r="D11" s="17" t="s">
        <v>63</v>
      </c>
      <c r="E11" s="14" t="s">
        <v>61</v>
      </c>
      <c r="F11" s="16">
        <f>PROJECT_START+51</f>
        <v>46091</v>
      </c>
      <c r="G11" s="16">
        <f t="shared" si="0"/>
        <v>46091</v>
      </c>
      <c r="H11" s="14">
        <f t="shared" si="1"/>
        <v>0</v>
      </c>
      <c r="I11" s="14"/>
    </row>
    <row r="12" spans="1:9">
      <c r="A12" s="14" t="s">
        <v>71</v>
      </c>
      <c r="B12" s="14" t="s">
        <v>60</v>
      </c>
      <c r="C12" s="14" t="s">
        <v>71</v>
      </c>
      <c r="D12" s="17" t="s">
        <v>63</v>
      </c>
      <c r="E12" s="14" t="s">
        <v>61</v>
      </c>
      <c r="F12" s="16">
        <f>PROJECT_START+-4</f>
        <v>46036</v>
      </c>
      <c r="G12" s="16">
        <f t="shared" si="0"/>
        <v>46036</v>
      </c>
      <c r="H12" s="14">
        <f t="shared" si="1"/>
        <v>0</v>
      </c>
      <c r="I12" s="14"/>
    </row>
    <row r="13" spans="1:9">
      <c r="A13" s="14" t="s">
        <v>72</v>
      </c>
      <c r="B13" s="14" t="s">
        <v>60</v>
      </c>
      <c r="C13" s="14" t="s">
        <v>73</v>
      </c>
      <c r="D13" s="17" t="s">
        <v>63</v>
      </c>
      <c r="E13" s="14" t="s">
        <v>61</v>
      </c>
      <c r="F13" s="16">
        <f>PROJECT_START+-5</f>
        <v>46035</v>
      </c>
      <c r="G13" s="16">
        <f t="shared" si="0"/>
        <v>46035</v>
      </c>
      <c r="H13" s="14">
        <f t="shared" si="1"/>
        <v>0</v>
      </c>
      <c r="I13" s="14" t="s">
        <v>74</v>
      </c>
    </row>
    <row r="14" spans="1:9">
      <c r="A14" s="14" t="s">
        <v>75</v>
      </c>
      <c r="B14" s="14" t="s">
        <v>60</v>
      </c>
      <c r="C14" s="14" t="s">
        <v>76</v>
      </c>
      <c r="D14" s="17" t="s">
        <v>63</v>
      </c>
      <c r="E14" s="14" t="s">
        <v>61</v>
      </c>
      <c r="F14" s="16">
        <f>PROJECT_START+-4</f>
        <v>46036</v>
      </c>
      <c r="G14" s="16">
        <f t="shared" si="0"/>
        <v>46036</v>
      </c>
      <c r="H14" s="14">
        <f t="shared" si="1"/>
        <v>0</v>
      </c>
      <c r="I14" s="14" t="s">
        <v>74</v>
      </c>
    </row>
    <row r="15" spans="1:9">
      <c r="A15" s="14" t="s">
        <v>77</v>
      </c>
      <c r="B15" s="14" t="s">
        <v>60</v>
      </c>
      <c r="C15" s="14" t="s">
        <v>77</v>
      </c>
      <c r="D15" s="18" t="s">
        <v>78</v>
      </c>
      <c r="E15" s="14" t="s">
        <v>61</v>
      </c>
      <c r="F15" s="16">
        <f>PROJECT_START+-2</f>
        <v>46038</v>
      </c>
      <c r="G15" s="16">
        <f t="shared" si="0"/>
        <v>46038</v>
      </c>
      <c r="H15" s="14">
        <f t="shared" si="1"/>
        <v>0</v>
      </c>
      <c r="I15" s="14"/>
    </row>
    <row r="16" spans="1:9">
      <c r="A16" s="14" t="s">
        <v>79</v>
      </c>
      <c r="B16" s="14" t="s">
        <v>60</v>
      </c>
      <c r="C16" s="14" t="s">
        <v>80</v>
      </c>
      <c r="D16" s="18" t="s">
        <v>78</v>
      </c>
      <c r="E16" s="14" t="s">
        <v>61</v>
      </c>
      <c r="F16" s="16">
        <f>PROJECT_START+-5</f>
        <v>46035</v>
      </c>
      <c r="G16" s="16">
        <f t="shared" si="0"/>
        <v>46035</v>
      </c>
      <c r="H16" s="14">
        <f t="shared" si="1"/>
        <v>0</v>
      </c>
      <c r="I16" s="14" t="s">
        <v>81</v>
      </c>
    </row>
    <row r="17" spans="1:9">
      <c r="A17" s="14" t="s">
        <v>82</v>
      </c>
      <c r="B17" s="14" t="s">
        <v>60</v>
      </c>
      <c r="C17" s="14" t="s">
        <v>83</v>
      </c>
      <c r="D17" s="18" t="s">
        <v>78</v>
      </c>
      <c r="E17" s="14" t="s">
        <v>61</v>
      </c>
      <c r="F17" s="16">
        <f>PROJECT_START+-4</f>
        <v>46036</v>
      </c>
      <c r="G17" s="16">
        <f t="shared" si="0"/>
        <v>46038</v>
      </c>
      <c r="H17" s="14">
        <v>2</v>
      </c>
      <c r="I17" s="14" t="s">
        <v>81</v>
      </c>
    </row>
    <row r="18" spans="1:9">
      <c r="A18" s="14" t="s">
        <v>84</v>
      </c>
      <c r="B18" s="14" t="s">
        <v>60</v>
      </c>
      <c r="C18" s="14" t="s">
        <v>84</v>
      </c>
      <c r="D18" s="17" t="s">
        <v>63</v>
      </c>
      <c r="E18" s="14" t="s">
        <v>61</v>
      </c>
      <c r="F18" s="16">
        <f>PROJECT_START+16</f>
        <v>46056</v>
      </c>
      <c r="G18" s="16">
        <f t="shared" si="0"/>
        <v>46056</v>
      </c>
      <c r="H18" s="14">
        <f>DUR_BUF</f>
        <v>0</v>
      </c>
      <c r="I18" s="14"/>
    </row>
    <row r="19" spans="1:9">
      <c r="A19" s="14" t="s">
        <v>85</v>
      </c>
      <c r="B19" s="14" t="s">
        <v>60</v>
      </c>
      <c r="C19" s="14" t="s">
        <v>86</v>
      </c>
      <c r="D19" s="17" t="s">
        <v>63</v>
      </c>
      <c r="E19" s="14" t="s">
        <v>61</v>
      </c>
      <c r="F19" s="16">
        <f>PROJECT_START+5</f>
        <v>46045</v>
      </c>
      <c r="G19" s="16">
        <f t="shared" si="0"/>
        <v>46045.3</v>
      </c>
      <c r="H19" s="14">
        <v>0.3</v>
      </c>
      <c r="I19" s="14" t="s">
        <v>87</v>
      </c>
    </row>
    <row r="20" spans="1:9">
      <c r="A20" s="14" t="s">
        <v>88</v>
      </c>
      <c r="B20" s="14" t="s">
        <v>60</v>
      </c>
      <c r="C20" s="14" t="s">
        <v>276</v>
      </c>
      <c r="D20" s="17" t="s">
        <v>63</v>
      </c>
      <c r="E20" s="14" t="s">
        <v>61</v>
      </c>
      <c r="F20" s="16">
        <f>PROJECT_START+5</f>
        <v>46045</v>
      </c>
      <c r="G20" s="16">
        <f t="shared" si="0"/>
        <v>46045.3</v>
      </c>
      <c r="H20" s="14">
        <v>0.3</v>
      </c>
      <c r="I20" s="14" t="s">
        <v>87</v>
      </c>
    </row>
    <row r="21" spans="1:9">
      <c r="A21" s="14" t="s">
        <v>90</v>
      </c>
      <c r="B21" s="14" t="s">
        <v>60</v>
      </c>
      <c r="C21" s="14" t="s">
        <v>277</v>
      </c>
      <c r="D21" s="19" t="s">
        <v>92</v>
      </c>
      <c r="E21" s="14" t="s">
        <v>61</v>
      </c>
      <c r="F21" s="16">
        <f>PROJECT_START+5</f>
        <v>46045</v>
      </c>
      <c r="G21" s="16">
        <f t="shared" si="0"/>
        <v>46045.2</v>
      </c>
      <c r="H21" s="14">
        <v>0.2</v>
      </c>
      <c r="I21" s="14" t="s">
        <v>93</v>
      </c>
    </row>
    <row r="22" spans="1:9">
      <c r="A22" s="14" t="s">
        <v>94</v>
      </c>
      <c r="B22" s="14" t="s">
        <v>60</v>
      </c>
      <c r="C22" s="14" t="s">
        <v>278</v>
      </c>
      <c r="D22" s="20" t="s">
        <v>96</v>
      </c>
      <c r="E22" s="14" t="s">
        <v>61</v>
      </c>
      <c r="F22" s="16">
        <f>PROJECT_START+5</f>
        <v>46045</v>
      </c>
      <c r="G22" s="16">
        <f t="shared" si="0"/>
        <v>46045</v>
      </c>
      <c r="H22" s="14">
        <f>DUR_BUF</f>
        <v>0</v>
      </c>
      <c r="I22" s="14" t="s">
        <v>97</v>
      </c>
    </row>
    <row r="23" spans="1:9">
      <c r="A23" s="14" t="s">
        <v>98</v>
      </c>
      <c r="B23" s="14" t="s">
        <v>60</v>
      </c>
      <c r="C23" s="14" t="s">
        <v>99</v>
      </c>
      <c r="D23" s="17" t="s">
        <v>63</v>
      </c>
      <c r="E23" s="14" t="s">
        <v>61</v>
      </c>
      <c r="F23" s="16">
        <f>PROJECT_START+5</f>
        <v>46045</v>
      </c>
      <c r="G23" s="16">
        <f t="shared" si="0"/>
        <v>46045</v>
      </c>
      <c r="H23" s="14">
        <f>DUR_BUF</f>
        <v>0</v>
      </c>
      <c r="I23" s="14" t="s">
        <v>100</v>
      </c>
    </row>
    <row r="24" spans="1:9">
      <c r="A24" s="14" t="s">
        <v>101</v>
      </c>
      <c r="B24" s="14" t="s">
        <v>60</v>
      </c>
      <c r="C24" s="14" t="s">
        <v>368</v>
      </c>
      <c r="D24" s="17" t="s">
        <v>63</v>
      </c>
      <c r="E24" s="14" t="s">
        <v>61</v>
      </c>
      <c r="F24" s="16">
        <f>PROJECT_START+6</f>
        <v>46046</v>
      </c>
      <c r="G24" s="16">
        <f t="shared" si="0"/>
        <v>46046.05</v>
      </c>
      <c r="H24" s="14">
        <v>0.05</v>
      </c>
      <c r="I24" s="14"/>
    </row>
    <row r="25" spans="1:9">
      <c r="A25" s="14" t="s">
        <v>103</v>
      </c>
      <c r="B25" s="14" t="s">
        <v>60</v>
      </c>
      <c r="C25" s="14" t="s">
        <v>104</v>
      </c>
      <c r="D25" s="17" t="s">
        <v>63</v>
      </c>
      <c r="E25" s="14" t="s">
        <v>61</v>
      </c>
      <c r="F25" s="16">
        <f>PROJECT_START+6</f>
        <v>46046</v>
      </c>
      <c r="G25" s="16">
        <f t="shared" si="0"/>
        <v>46046.3</v>
      </c>
      <c r="H25" s="14">
        <v>0.3</v>
      </c>
      <c r="I25" s="14" t="s">
        <v>87</v>
      </c>
    </row>
    <row r="26" spans="1:9">
      <c r="A26" s="14" t="s">
        <v>105</v>
      </c>
      <c r="B26" s="14" t="s">
        <v>60</v>
      </c>
      <c r="C26" s="14" t="s">
        <v>106</v>
      </c>
      <c r="D26" s="19" t="s">
        <v>92</v>
      </c>
      <c r="E26" s="14" t="s">
        <v>61</v>
      </c>
      <c r="F26" s="16">
        <f>PROJECT_START+6</f>
        <v>46046</v>
      </c>
      <c r="G26" s="16">
        <f t="shared" si="0"/>
        <v>46046.3</v>
      </c>
      <c r="H26" s="14">
        <v>0.3</v>
      </c>
      <c r="I26" s="14" t="s">
        <v>93</v>
      </c>
    </row>
    <row r="27" spans="1:9">
      <c r="A27" s="14" t="s">
        <v>107</v>
      </c>
      <c r="B27" s="14" t="s">
        <v>60</v>
      </c>
      <c r="C27" s="14" t="s">
        <v>108</v>
      </c>
      <c r="D27" s="20" t="s">
        <v>96</v>
      </c>
      <c r="E27" s="14" t="s">
        <v>61</v>
      </c>
      <c r="F27" s="16">
        <f>PROJECT_START+6</f>
        <v>46046</v>
      </c>
      <c r="G27" s="16">
        <f t="shared" si="0"/>
        <v>46046</v>
      </c>
      <c r="H27" s="14">
        <f>DUR_BUF</f>
        <v>0</v>
      </c>
      <c r="I27" s="14" t="s">
        <v>97</v>
      </c>
    </row>
    <row r="28" spans="1:9">
      <c r="A28" s="14" t="s">
        <v>109</v>
      </c>
      <c r="B28" s="14" t="s">
        <v>60</v>
      </c>
      <c r="C28" s="14" t="s">
        <v>110</v>
      </c>
      <c r="D28" s="17" t="s">
        <v>63</v>
      </c>
      <c r="E28" s="14" t="s">
        <v>61</v>
      </c>
      <c r="F28" s="16">
        <f>PROJECT_START+7</f>
        <v>46047</v>
      </c>
      <c r="G28" s="16">
        <f t="shared" si="0"/>
        <v>46047.199999999997</v>
      </c>
      <c r="H28" s="14">
        <v>0.2</v>
      </c>
      <c r="I28" s="14" t="s">
        <v>97</v>
      </c>
    </row>
    <row r="29" spans="1:9">
      <c r="A29" s="14" t="s">
        <v>111</v>
      </c>
      <c r="B29" s="14" t="s">
        <v>60</v>
      </c>
      <c r="C29" s="14" t="s">
        <v>112</v>
      </c>
      <c r="D29" s="21" t="s">
        <v>113</v>
      </c>
      <c r="E29" s="14" t="s">
        <v>61</v>
      </c>
      <c r="F29" s="16">
        <f>PROJECT_START+8</f>
        <v>46048</v>
      </c>
      <c r="G29" s="16">
        <f t="shared" si="0"/>
        <v>46048</v>
      </c>
      <c r="H29" s="14">
        <f>DUR_SAIL</f>
        <v>0</v>
      </c>
      <c r="I29" s="14" t="s">
        <v>114</v>
      </c>
    </row>
    <row r="30" spans="1:9">
      <c r="A30" s="14" t="s">
        <v>115</v>
      </c>
      <c r="B30" s="14" t="s">
        <v>60</v>
      </c>
      <c r="C30" s="14" t="s">
        <v>116</v>
      </c>
      <c r="D30" s="17" t="s">
        <v>63</v>
      </c>
      <c r="E30" s="14" t="s">
        <v>61</v>
      </c>
      <c r="F30" s="16">
        <f>PROJECT_START+9</f>
        <v>46049</v>
      </c>
      <c r="G30" s="16">
        <f t="shared" si="0"/>
        <v>46049</v>
      </c>
      <c r="H30" s="14">
        <f>DUR_BUF</f>
        <v>0</v>
      </c>
      <c r="I30" s="14" t="s">
        <v>117</v>
      </c>
    </row>
    <row r="31" spans="1:9">
      <c r="A31" s="14" t="s">
        <v>118</v>
      </c>
      <c r="B31" s="14" t="s">
        <v>60</v>
      </c>
      <c r="C31" s="14" t="s">
        <v>279</v>
      </c>
      <c r="D31" s="22" t="s">
        <v>120</v>
      </c>
      <c r="E31" s="14" t="s">
        <v>61</v>
      </c>
      <c r="F31" s="16">
        <f>PROJECT_START+9</f>
        <v>46049</v>
      </c>
      <c r="G31" s="16">
        <f t="shared" si="0"/>
        <v>46049</v>
      </c>
      <c r="H31" s="14">
        <f>DUR_BUF</f>
        <v>0</v>
      </c>
      <c r="I31" s="14" t="s">
        <v>87</v>
      </c>
    </row>
    <row r="32" spans="1:9">
      <c r="A32" s="14" t="s">
        <v>121</v>
      </c>
      <c r="B32" s="14" t="s">
        <v>60</v>
      </c>
      <c r="C32" s="14" t="s">
        <v>122</v>
      </c>
      <c r="D32" s="17" t="s">
        <v>63</v>
      </c>
      <c r="E32" s="14" t="s">
        <v>61</v>
      </c>
      <c r="F32" s="16">
        <f>PROJECT_START+9</f>
        <v>46049</v>
      </c>
      <c r="G32" s="16">
        <f t="shared" si="0"/>
        <v>46049</v>
      </c>
      <c r="H32" s="14">
        <f>DUR_BUF</f>
        <v>0</v>
      </c>
      <c r="I32" s="14" t="s">
        <v>123</v>
      </c>
    </row>
    <row r="33" spans="1:9">
      <c r="A33" s="14" t="s">
        <v>124</v>
      </c>
      <c r="B33" s="14" t="s">
        <v>60</v>
      </c>
      <c r="C33" s="14" t="s">
        <v>125</v>
      </c>
      <c r="D33" s="19" t="s">
        <v>92</v>
      </c>
      <c r="E33" s="14" t="s">
        <v>61</v>
      </c>
      <c r="F33" s="16">
        <f>PROJECT_START+10</f>
        <v>46050</v>
      </c>
      <c r="G33" s="16">
        <f t="shared" si="0"/>
        <v>46050</v>
      </c>
      <c r="H33" s="14">
        <f>DUR_UL</f>
        <v>0</v>
      </c>
      <c r="I33" s="14" t="s">
        <v>87</v>
      </c>
    </row>
    <row r="34" spans="1:9">
      <c r="A34" s="14" t="s">
        <v>126</v>
      </c>
      <c r="B34" s="14" t="s">
        <v>60</v>
      </c>
      <c r="C34" s="14" t="s">
        <v>127</v>
      </c>
      <c r="D34" s="19" t="s">
        <v>92</v>
      </c>
      <c r="E34" s="14" t="s">
        <v>61</v>
      </c>
      <c r="F34" s="16">
        <f>PROJECT_START+9</f>
        <v>46049</v>
      </c>
      <c r="G34" s="16">
        <f t="shared" si="0"/>
        <v>46049</v>
      </c>
      <c r="H34" s="14">
        <f>DUR_UL</f>
        <v>0</v>
      </c>
      <c r="I34" s="14" t="s">
        <v>87</v>
      </c>
    </row>
    <row r="35" spans="1:9">
      <c r="A35" s="14" t="s">
        <v>128</v>
      </c>
      <c r="B35" s="14" t="s">
        <v>60</v>
      </c>
      <c r="C35" s="14" t="s">
        <v>129</v>
      </c>
      <c r="D35" s="17" t="s">
        <v>63</v>
      </c>
      <c r="E35" s="14" t="s">
        <v>61</v>
      </c>
      <c r="F35" s="16">
        <f>PROJECT_START+11</f>
        <v>46051</v>
      </c>
      <c r="G35" s="16">
        <f t="shared" si="0"/>
        <v>46051.3</v>
      </c>
      <c r="H35" s="14">
        <v>0.3</v>
      </c>
      <c r="I35" s="14" t="s">
        <v>130</v>
      </c>
    </row>
    <row r="36" spans="1:9">
      <c r="A36" s="14" t="s">
        <v>131</v>
      </c>
      <c r="B36" s="14" t="s">
        <v>60</v>
      </c>
      <c r="C36" s="14" t="s">
        <v>280</v>
      </c>
      <c r="D36" s="17" t="s">
        <v>63</v>
      </c>
      <c r="E36" s="14" t="s">
        <v>61</v>
      </c>
      <c r="F36" s="16">
        <f>PROJECT_START+11</f>
        <v>46051</v>
      </c>
      <c r="G36" s="16">
        <f t="shared" si="0"/>
        <v>46051.7</v>
      </c>
      <c r="H36" s="14">
        <v>0.7</v>
      </c>
      <c r="I36" s="14" t="s">
        <v>133</v>
      </c>
    </row>
    <row r="37" spans="1:9">
      <c r="A37" s="14" t="s">
        <v>134</v>
      </c>
      <c r="B37" s="14" t="s">
        <v>60</v>
      </c>
      <c r="C37" s="14" t="s">
        <v>281</v>
      </c>
      <c r="D37" s="23" t="s">
        <v>136</v>
      </c>
      <c r="E37" s="14" t="s">
        <v>61</v>
      </c>
      <c r="F37" s="16">
        <f>PROJECT_START+11</f>
        <v>46051</v>
      </c>
      <c r="G37" s="16">
        <f t="shared" si="0"/>
        <v>46051</v>
      </c>
      <c r="H37" s="14">
        <f>DUR_TURN</f>
        <v>0</v>
      </c>
      <c r="I37" s="14" t="s">
        <v>137</v>
      </c>
    </row>
    <row r="38" spans="1:9">
      <c r="A38" s="24" t="s">
        <v>138</v>
      </c>
      <c r="B38" s="24" t="s">
        <v>60</v>
      </c>
      <c r="C38" s="24" t="s">
        <v>282</v>
      </c>
      <c r="D38" s="25" t="s">
        <v>140</v>
      </c>
      <c r="E38" s="24" t="s">
        <v>61</v>
      </c>
      <c r="F38" s="26">
        <f>PROJECT_START+14</f>
        <v>46054</v>
      </c>
      <c r="G38" s="26">
        <f t="shared" ref="G38:G69" si="2">F38+H38</f>
        <v>46054</v>
      </c>
      <c r="H38" s="24">
        <f>DUR_JD</f>
        <v>0</v>
      </c>
      <c r="I38" s="24" t="s">
        <v>141</v>
      </c>
    </row>
    <row r="39" spans="1:9">
      <c r="A39" s="14" t="s">
        <v>142</v>
      </c>
      <c r="B39" s="14" t="s">
        <v>60</v>
      </c>
      <c r="C39" s="14" t="s">
        <v>143</v>
      </c>
      <c r="D39" s="17" t="s">
        <v>63</v>
      </c>
      <c r="E39" s="14" t="s">
        <v>61</v>
      </c>
      <c r="F39" s="16">
        <f>PROJECT_START+14</f>
        <v>46054</v>
      </c>
      <c r="G39" s="16">
        <f t="shared" si="2"/>
        <v>46054.3</v>
      </c>
      <c r="H39" s="14">
        <v>0.3</v>
      </c>
      <c r="I39" s="14" t="s">
        <v>130</v>
      </c>
    </row>
    <row r="40" spans="1:9">
      <c r="A40" s="14" t="s">
        <v>144</v>
      </c>
      <c r="B40" s="14" t="s">
        <v>60</v>
      </c>
      <c r="C40" s="14" t="s">
        <v>288</v>
      </c>
      <c r="D40" s="17" t="s">
        <v>63</v>
      </c>
      <c r="E40" s="14" t="s">
        <v>61</v>
      </c>
      <c r="F40" s="16">
        <f>PROJECT_START+14</f>
        <v>46054</v>
      </c>
      <c r="G40" s="16">
        <f t="shared" si="2"/>
        <v>46054.7</v>
      </c>
      <c r="H40" s="14">
        <v>0.7</v>
      </c>
      <c r="I40" s="14" t="s">
        <v>133</v>
      </c>
    </row>
    <row r="41" spans="1:9">
      <c r="A41" s="14" t="s">
        <v>146</v>
      </c>
      <c r="B41" s="14" t="s">
        <v>60</v>
      </c>
      <c r="C41" s="14" t="s">
        <v>289</v>
      </c>
      <c r="D41" s="23" t="s">
        <v>136</v>
      </c>
      <c r="E41" s="14" t="s">
        <v>61</v>
      </c>
      <c r="F41" s="16">
        <f>PROJECT_START+15</f>
        <v>46055</v>
      </c>
      <c r="G41" s="16">
        <f t="shared" si="2"/>
        <v>46055</v>
      </c>
      <c r="H41" s="14">
        <f>DUR_TURN</f>
        <v>0</v>
      </c>
      <c r="I41" s="14" t="s">
        <v>137</v>
      </c>
    </row>
    <row r="42" spans="1:9">
      <c r="A42" s="24" t="s">
        <v>148</v>
      </c>
      <c r="B42" s="24" t="s">
        <v>60</v>
      </c>
      <c r="C42" s="24" t="s">
        <v>369</v>
      </c>
      <c r="D42" s="25" t="s">
        <v>140</v>
      </c>
      <c r="E42" s="24" t="s">
        <v>61</v>
      </c>
      <c r="F42" s="26">
        <f>PROJECT_START+18</f>
        <v>46058</v>
      </c>
      <c r="G42" s="26">
        <f t="shared" si="2"/>
        <v>46058</v>
      </c>
      <c r="H42" s="24">
        <f>DUR_JD</f>
        <v>0</v>
      </c>
      <c r="I42" s="24" t="s">
        <v>141</v>
      </c>
    </row>
    <row r="43" spans="1:9">
      <c r="A43" s="14" t="s">
        <v>150</v>
      </c>
      <c r="B43" s="14" t="s">
        <v>60</v>
      </c>
      <c r="C43" s="14" t="s">
        <v>283</v>
      </c>
      <c r="D43" s="17" t="s">
        <v>63</v>
      </c>
      <c r="E43" s="14" t="s">
        <v>61</v>
      </c>
      <c r="F43" s="16">
        <f>PROJECT_START+15</f>
        <v>46055</v>
      </c>
      <c r="G43" s="16">
        <f t="shared" si="2"/>
        <v>46055</v>
      </c>
      <c r="H43" s="14">
        <f>DUR_BUF</f>
        <v>0</v>
      </c>
      <c r="I43" s="14" t="s">
        <v>93</v>
      </c>
    </row>
    <row r="44" spans="1:9">
      <c r="A44" s="14" t="s">
        <v>152</v>
      </c>
      <c r="B44" s="14" t="s">
        <v>60</v>
      </c>
      <c r="C44" s="14" t="s">
        <v>153</v>
      </c>
      <c r="D44" s="15" t="s">
        <v>59</v>
      </c>
      <c r="E44" s="14" t="s">
        <v>61</v>
      </c>
      <c r="F44" s="16">
        <f>PROJECT_START+15</f>
        <v>46055</v>
      </c>
      <c r="G44" s="16">
        <f t="shared" si="2"/>
        <v>46055</v>
      </c>
      <c r="H44" s="14">
        <v>0</v>
      </c>
      <c r="I44" s="14" t="s">
        <v>154</v>
      </c>
    </row>
    <row r="45" spans="1:9">
      <c r="A45" s="14" t="s">
        <v>155</v>
      </c>
      <c r="B45" s="14" t="s">
        <v>60</v>
      </c>
      <c r="C45" s="14" t="s">
        <v>156</v>
      </c>
      <c r="D45" s="15" t="s">
        <v>59</v>
      </c>
      <c r="E45" s="14" t="s">
        <v>61</v>
      </c>
      <c r="F45" s="16">
        <f>PROJECT_START+16</f>
        <v>46056</v>
      </c>
      <c r="G45" s="16">
        <f t="shared" si="2"/>
        <v>46056</v>
      </c>
      <c r="H45" s="14">
        <v>0</v>
      </c>
      <c r="I45" s="14" t="s">
        <v>154</v>
      </c>
    </row>
    <row r="46" spans="1:9">
      <c r="A46" s="14" t="s">
        <v>157</v>
      </c>
      <c r="B46" s="14" t="s">
        <v>60</v>
      </c>
      <c r="C46" s="14" t="s">
        <v>157</v>
      </c>
      <c r="D46" s="17" t="s">
        <v>63</v>
      </c>
      <c r="E46" s="14" t="s">
        <v>61</v>
      </c>
      <c r="F46" s="16">
        <f>PROJECT_START+28</f>
        <v>46068</v>
      </c>
      <c r="G46" s="16">
        <f t="shared" si="2"/>
        <v>46068</v>
      </c>
      <c r="H46" s="14">
        <f>DUR_BUF</f>
        <v>0</v>
      </c>
      <c r="I46" s="14"/>
    </row>
    <row r="47" spans="1:9">
      <c r="A47" s="14" t="s">
        <v>158</v>
      </c>
      <c r="B47" s="14" t="s">
        <v>60</v>
      </c>
      <c r="C47" s="14" t="s">
        <v>159</v>
      </c>
      <c r="D47" s="17" t="s">
        <v>63</v>
      </c>
      <c r="E47" s="14" t="s">
        <v>61</v>
      </c>
      <c r="F47" s="16">
        <f>PROJECT_START+17</f>
        <v>46057</v>
      </c>
      <c r="G47" s="16">
        <f t="shared" si="2"/>
        <v>46057.3</v>
      </c>
      <c r="H47" s="14">
        <v>0.3</v>
      </c>
      <c r="I47" s="14" t="s">
        <v>87</v>
      </c>
    </row>
    <row r="48" spans="1:9">
      <c r="A48" s="14" t="s">
        <v>160</v>
      </c>
      <c r="B48" s="14" t="s">
        <v>60</v>
      </c>
      <c r="C48" s="14" t="s">
        <v>276</v>
      </c>
      <c r="D48" s="17" t="s">
        <v>63</v>
      </c>
      <c r="E48" s="14" t="s">
        <v>61</v>
      </c>
      <c r="F48" s="16">
        <f>PROJECT_START+17</f>
        <v>46057</v>
      </c>
      <c r="G48" s="16">
        <f t="shared" si="2"/>
        <v>46057.3</v>
      </c>
      <c r="H48" s="14">
        <v>0.3</v>
      </c>
      <c r="I48" s="14" t="s">
        <v>87</v>
      </c>
    </row>
    <row r="49" spans="1:9">
      <c r="A49" s="14" t="s">
        <v>161</v>
      </c>
      <c r="B49" s="14" t="s">
        <v>60</v>
      </c>
      <c r="C49" s="14" t="s">
        <v>292</v>
      </c>
      <c r="D49" s="19" t="s">
        <v>92</v>
      </c>
      <c r="E49" s="14" t="s">
        <v>61</v>
      </c>
      <c r="F49" s="16">
        <f>PROJECT_START+17</f>
        <v>46057</v>
      </c>
      <c r="G49" s="16">
        <f t="shared" si="2"/>
        <v>46057.2</v>
      </c>
      <c r="H49" s="14">
        <v>0.2</v>
      </c>
      <c r="I49" s="14" t="s">
        <v>93</v>
      </c>
    </row>
    <row r="50" spans="1:9">
      <c r="A50" s="14" t="s">
        <v>163</v>
      </c>
      <c r="B50" s="14" t="s">
        <v>60</v>
      </c>
      <c r="C50" s="14" t="s">
        <v>293</v>
      </c>
      <c r="D50" s="20" t="s">
        <v>96</v>
      </c>
      <c r="E50" s="14" t="s">
        <v>61</v>
      </c>
      <c r="F50" s="16">
        <f>PROJECT_START+17</f>
        <v>46057</v>
      </c>
      <c r="G50" s="16">
        <f t="shared" si="2"/>
        <v>46057</v>
      </c>
      <c r="H50" s="14">
        <f>DUR_BUF</f>
        <v>0</v>
      </c>
      <c r="I50" s="14" t="s">
        <v>97</v>
      </c>
    </row>
    <row r="51" spans="1:9">
      <c r="A51" s="14" t="s">
        <v>165</v>
      </c>
      <c r="B51" s="14" t="s">
        <v>60</v>
      </c>
      <c r="C51" s="14" t="s">
        <v>166</v>
      </c>
      <c r="D51" s="17" t="s">
        <v>63</v>
      </c>
      <c r="E51" s="14" t="s">
        <v>61</v>
      </c>
      <c r="F51" s="16">
        <f>PROJECT_START+17</f>
        <v>46057</v>
      </c>
      <c r="G51" s="16">
        <f t="shared" si="2"/>
        <v>46057</v>
      </c>
      <c r="H51" s="14">
        <f>DUR_BUF</f>
        <v>0</v>
      </c>
      <c r="I51" s="14" t="s">
        <v>100</v>
      </c>
    </row>
    <row r="52" spans="1:9">
      <c r="A52" s="14" t="s">
        <v>167</v>
      </c>
      <c r="B52" s="14" t="s">
        <v>60</v>
      </c>
      <c r="C52" s="14" t="s">
        <v>370</v>
      </c>
      <c r="D52" s="17" t="s">
        <v>63</v>
      </c>
      <c r="E52" s="14" t="s">
        <v>61</v>
      </c>
      <c r="F52" s="16">
        <f>PROJECT_START+18</f>
        <v>46058</v>
      </c>
      <c r="G52" s="16">
        <f t="shared" si="2"/>
        <v>46058.05</v>
      </c>
      <c r="H52" s="14">
        <v>0.05</v>
      </c>
      <c r="I52" s="14"/>
    </row>
    <row r="53" spans="1:9">
      <c r="A53" s="14" t="s">
        <v>169</v>
      </c>
      <c r="B53" s="14" t="s">
        <v>60</v>
      </c>
      <c r="C53" s="14" t="s">
        <v>104</v>
      </c>
      <c r="D53" s="17" t="s">
        <v>63</v>
      </c>
      <c r="E53" s="14" t="s">
        <v>61</v>
      </c>
      <c r="F53" s="16">
        <f>PROJECT_START+18</f>
        <v>46058</v>
      </c>
      <c r="G53" s="16">
        <f t="shared" si="2"/>
        <v>46058.3</v>
      </c>
      <c r="H53" s="14">
        <v>0.3</v>
      </c>
      <c r="I53" s="14" t="s">
        <v>87</v>
      </c>
    </row>
    <row r="54" spans="1:9">
      <c r="A54" s="14" t="s">
        <v>170</v>
      </c>
      <c r="B54" s="14" t="s">
        <v>60</v>
      </c>
      <c r="C54" s="14" t="s">
        <v>171</v>
      </c>
      <c r="D54" s="19" t="s">
        <v>92</v>
      </c>
      <c r="E54" s="14" t="s">
        <v>61</v>
      </c>
      <c r="F54" s="16">
        <f>PROJECT_START+18</f>
        <v>46058</v>
      </c>
      <c r="G54" s="16">
        <f t="shared" si="2"/>
        <v>46058.3</v>
      </c>
      <c r="H54" s="14">
        <v>0.3</v>
      </c>
      <c r="I54" s="14" t="s">
        <v>93</v>
      </c>
    </row>
    <row r="55" spans="1:9">
      <c r="A55" s="14" t="s">
        <v>172</v>
      </c>
      <c r="B55" s="14" t="s">
        <v>60</v>
      </c>
      <c r="C55" s="14" t="s">
        <v>173</v>
      </c>
      <c r="D55" s="20" t="s">
        <v>96</v>
      </c>
      <c r="E55" s="14" t="s">
        <v>61</v>
      </c>
      <c r="F55" s="16">
        <f>PROJECT_START+18</f>
        <v>46058</v>
      </c>
      <c r="G55" s="16">
        <f t="shared" si="2"/>
        <v>46058</v>
      </c>
      <c r="H55" s="14">
        <f>DUR_BUF</f>
        <v>0</v>
      </c>
      <c r="I55" s="14" t="s">
        <v>97</v>
      </c>
    </row>
    <row r="56" spans="1:9">
      <c r="A56" s="14" t="s">
        <v>174</v>
      </c>
      <c r="B56" s="14" t="s">
        <v>60</v>
      </c>
      <c r="C56" s="14" t="s">
        <v>110</v>
      </c>
      <c r="D56" s="17" t="s">
        <v>63</v>
      </c>
      <c r="E56" s="14" t="s">
        <v>61</v>
      </c>
      <c r="F56" s="16">
        <f>PROJECT_START+19</f>
        <v>46059</v>
      </c>
      <c r="G56" s="16">
        <f t="shared" si="2"/>
        <v>46059.199999999997</v>
      </c>
      <c r="H56" s="14">
        <v>0.2</v>
      </c>
      <c r="I56" s="14" t="s">
        <v>97</v>
      </c>
    </row>
    <row r="57" spans="1:9">
      <c r="A57" s="14" t="s">
        <v>175</v>
      </c>
      <c r="B57" s="14" t="s">
        <v>60</v>
      </c>
      <c r="C57" s="14" t="s">
        <v>112</v>
      </c>
      <c r="D57" s="21" t="s">
        <v>113</v>
      </c>
      <c r="E57" s="14" t="s">
        <v>61</v>
      </c>
      <c r="F57" s="16">
        <f>PROJECT_START+20</f>
        <v>46060</v>
      </c>
      <c r="G57" s="16">
        <f t="shared" si="2"/>
        <v>46060</v>
      </c>
      <c r="H57" s="14">
        <f>DUR_SAIL</f>
        <v>0</v>
      </c>
      <c r="I57" s="14" t="s">
        <v>114</v>
      </c>
    </row>
    <row r="58" spans="1:9">
      <c r="A58" s="14" t="s">
        <v>176</v>
      </c>
      <c r="B58" s="14" t="s">
        <v>60</v>
      </c>
      <c r="C58" s="14" t="s">
        <v>116</v>
      </c>
      <c r="D58" s="17" t="s">
        <v>63</v>
      </c>
      <c r="E58" s="14" t="s">
        <v>61</v>
      </c>
      <c r="F58" s="16">
        <f>PROJECT_START+21</f>
        <v>46061</v>
      </c>
      <c r="G58" s="16">
        <f t="shared" si="2"/>
        <v>46061</v>
      </c>
      <c r="H58" s="14">
        <f>DUR_BUF</f>
        <v>0</v>
      </c>
      <c r="I58" s="14" t="s">
        <v>117</v>
      </c>
    </row>
    <row r="59" spans="1:9">
      <c r="A59" s="14" t="s">
        <v>177</v>
      </c>
      <c r="B59" s="14" t="s">
        <v>60</v>
      </c>
      <c r="C59" s="14" t="s">
        <v>279</v>
      </c>
      <c r="D59" s="22" t="s">
        <v>120</v>
      </c>
      <c r="E59" s="14" t="s">
        <v>61</v>
      </c>
      <c r="F59" s="16">
        <f>PROJECT_START+21</f>
        <v>46061</v>
      </c>
      <c r="G59" s="16">
        <f t="shared" si="2"/>
        <v>46061</v>
      </c>
      <c r="H59" s="14">
        <f>DUR_BUF</f>
        <v>0</v>
      </c>
      <c r="I59" s="14" t="s">
        <v>87</v>
      </c>
    </row>
    <row r="60" spans="1:9">
      <c r="A60" s="14" t="s">
        <v>178</v>
      </c>
      <c r="B60" s="14" t="s">
        <v>60</v>
      </c>
      <c r="C60" s="14" t="s">
        <v>122</v>
      </c>
      <c r="D60" s="17" t="s">
        <v>63</v>
      </c>
      <c r="E60" s="14" t="s">
        <v>61</v>
      </c>
      <c r="F60" s="16">
        <f>PROJECT_START+21</f>
        <v>46061</v>
      </c>
      <c r="G60" s="16">
        <f t="shared" si="2"/>
        <v>46061</v>
      </c>
      <c r="H60" s="14">
        <f>DUR_BUF</f>
        <v>0</v>
      </c>
      <c r="I60" s="14" t="s">
        <v>123</v>
      </c>
    </row>
    <row r="61" spans="1:9">
      <c r="A61" s="14" t="s">
        <v>179</v>
      </c>
      <c r="B61" s="14" t="s">
        <v>60</v>
      </c>
      <c r="C61" s="14" t="s">
        <v>180</v>
      </c>
      <c r="D61" s="19" t="s">
        <v>92</v>
      </c>
      <c r="E61" s="14" t="s">
        <v>61</v>
      </c>
      <c r="F61" s="16">
        <f>PROJECT_START+22</f>
        <v>46062</v>
      </c>
      <c r="G61" s="16">
        <f t="shared" si="2"/>
        <v>46062</v>
      </c>
      <c r="H61" s="14">
        <f>DUR_UL</f>
        <v>0</v>
      </c>
      <c r="I61" s="14" t="s">
        <v>87</v>
      </c>
    </row>
    <row r="62" spans="1:9">
      <c r="A62" s="14" t="s">
        <v>181</v>
      </c>
      <c r="B62" s="14" t="s">
        <v>60</v>
      </c>
      <c r="C62" s="14" t="s">
        <v>182</v>
      </c>
      <c r="D62" s="19" t="s">
        <v>92</v>
      </c>
      <c r="E62" s="14" t="s">
        <v>61</v>
      </c>
      <c r="F62" s="16">
        <f>PROJECT_START+21</f>
        <v>46061</v>
      </c>
      <c r="G62" s="16">
        <f t="shared" si="2"/>
        <v>46061</v>
      </c>
      <c r="H62" s="14">
        <f>DUR_UL</f>
        <v>0</v>
      </c>
      <c r="I62" s="14" t="s">
        <v>87</v>
      </c>
    </row>
    <row r="63" spans="1:9">
      <c r="A63" s="14" t="s">
        <v>183</v>
      </c>
      <c r="B63" s="14" t="s">
        <v>60</v>
      </c>
      <c r="C63" s="14" t="s">
        <v>129</v>
      </c>
      <c r="D63" s="17" t="s">
        <v>63</v>
      </c>
      <c r="E63" s="14" t="s">
        <v>61</v>
      </c>
      <c r="F63" s="16">
        <f>PROJECT_START+23</f>
        <v>46063</v>
      </c>
      <c r="G63" s="16">
        <f t="shared" si="2"/>
        <v>46063.3</v>
      </c>
      <c r="H63" s="14">
        <v>0.3</v>
      </c>
      <c r="I63" s="14" t="s">
        <v>130</v>
      </c>
    </row>
    <row r="64" spans="1:9">
      <c r="A64" s="14" t="s">
        <v>184</v>
      </c>
      <c r="B64" s="14" t="s">
        <v>60</v>
      </c>
      <c r="C64" s="14" t="s">
        <v>294</v>
      </c>
      <c r="D64" s="17" t="s">
        <v>63</v>
      </c>
      <c r="E64" s="14" t="s">
        <v>61</v>
      </c>
      <c r="F64" s="16">
        <f>PROJECT_START+23</f>
        <v>46063</v>
      </c>
      <c r="G64" s="16">
        <f t="shared" si="2"/>
        <v>46063.7</v>
      </c>
      <c r="H64" s="14">
        <v>0.7</v>
      </c>
      <c r="I64" s="14" t="s">
        <v>133</v>
      </c>
    </row>
    <row r="65" spans="1:9">
      <c r="A65" s="14" t="s">
        <v>186</v>
      </c>
      <c r="B65" s="14" t="s">
        <v>60</v>
      </c>
      <c r="C65" s="14" t="s">
        <v>187</v>
      </c>
      <c r="D65" s="23" t="s">
        <v>136</v>
      </c>
      <c r="E65" s="14" t="s">
        <v>61</v>
      </c>
      <c r="F65" s="16">
        <f>PROJECT_START+23</f>
        <v>46063</v>
      </c>
      <c r="G65" s="16">
        <f t="shared" si="2"/>
        <v>46063</v>
      </c>
      <c r="H65" s="14">
        <f>DUR_TURN</f>
        <v>0</v>
      </c>
      <c r="I65" s="14" t="s">
        <v>137</v>
      </c>
    </row>
    <row r="66" spans="1:9">
      <c r="A66" s="24" t="s">
        <v>188</v>
      </c>
      <c r="B66" s="24" t="s">
        <v>60</v>
      </c>
      <c r="C66" s="24" t="s">
        <v>189</v>
      </c>
      <c r="D66" s="25" t="s">
        <v>140</v>
      </c>
      <c r="E66" s="24" t="s">
        <v>61</v>
      </c>
      <c r="F66" s="26">
        <f>PROJECT_START+26</f>
        <v>46066</v>
      </c>
      <c r="G66" s="26">
        <f t="shared" si="2"/>
        <v>46066</v>
      </c>
      <c r="H66" s="24">
        <f>DUR_JD</f>
        <v>0</v>
      </c>
      <c r="I66" s="24" t="s">
        <v>141</v>
      </c>
    </row>
    <row r="67" spans="1:9">
      <c r="A67" s="14" t="s">
        <v>190</v>
      </c>
      <c r="B67" s="14" t="s">
        <v>60</v>
      </c>
      <c r="C67" s="14" t="s">
        <v>143</v>
      </c>
      <c r="D67" s="17" t="s">
        <v>63</v>
      </c>
      <c r="E67" s="14" t="s">
        <v>61</v>
      </c>
      <c r="F67" s="16">
        <f>PROJECT_START+26</f>
        <v>46066</v>
      </c>
      <c r="G67" s="16">
        <f t="shared" si="2"/>
        <v>46066.3</v>
      </c>
      <c r="H67" s="14">
        <v>0.3</v>
      </c>
      <c r="I67" s="14" t="s">
        <v>130</v>
      </c>
    </row>
    <row r="68" spans="1:9">
      <c r="A68" s="14" t="s">
        <v>191</v>
      </c>
      <c r="B68" s="14" t="s">
        <v>60</v>
      </c>
      <c r="C68" s="14" t="s">
        <v>299</v>
      </c>
      <c r="D68" s="17" t="s">
        <v>63</v>
      </c>
      <c r="E68" s="14" t="s">
        <v>61</v>
      </c>
      <c r="F68" s="16">
        <f>PROJECT_START+26</f>
        <v>46066</v>
      </c>
      <c r="G68" s="16">
        <f t="shared" si="2"/>
        <v>46066.7</v>
      </c>
      <c r="H68" s="14">
        <v>0.7</v>
      </c>
      <c r="I68" s="14" t="s">
        <v>133</v>
      </c>
    </row>
    <row r="69" spans="1:9">
      <c r="A69" s="14" t="s">
        <v>193</v>
      </c>
      <c r="B69" s="14" t="s">
        <v>60</v>
      </c>
      <c r="C69" s="14" t="s">
        <v>194</v>
      </c>
      <c r="D69" s="23" t="s">
        <v>136</v>
      </c>
      <c r="E69" s="14" t="s">
        <v>61</v>
      </c>
      <c r="F69" s="16">
        <f>PROJECT_START+27</f>
        <v>46067</v>
      </c>
      <c r="G69" s="16">
        <f t="shared" si="2"/>
        <v>46067</v>
      </c>
      <c r="H69" s="14">
        <f>DUR_TURN</f>
        <v>0</v>
      </c>
      <c r="I69" s="14" t="s">
        <v>137</v>
      </c>
    </row>
    <row r="70" spans="1:9">
      <c r="A70" s="24" t="s">
        <v>195</v>
      </c>
      <c r="B70" s="24" t="s">
        <v>60</v>
      </c>
      <c r="C70" s="24" t="s">
        <v>196</v>
      </c>
      <c r="D70" s="25" t="s">
        <v>140</v>
      </c>
      <c r="E70" s="24" t="s">
        <v>61</v>
      </c>
      <c r="F70" s="26">
        <f>PROJECT_START+30</f>
        <v>46070</v>
      </c>
      <c r="G70" s="26">
        <f t="shared" ref="G70:G101" si="3">F70+H70</f>
        <v>46070</v>
      </c>
      <c r="H70" s="24">
        <f>DUR_JD</f>
        <v>0</v>
      </c>
      <c r="I70" s="24" t="s">
        <v>141</v>
      </c>
    </row>
    <row r="71" spans="1:9">
      <c r="A71" s="14" t="s">
        <v>197</v>
      </c>
      <c r="B71" s="14" t="s">
        <v>60</v>
      </c>
      <c r="C71" s="14" t="s">
        <v>283</v>
      </c>
      <c r="D71" s="17" t="s">
        <v>63</v>
      </c>
      <c r="E71" s="14" t="s">
        <v>61</v>
      </c>
      <c r="F71" s="16">
        <f>PROJECT_START+27</f>
        <v>46067</v>
      </c>
      <c r="G71" s="16">
        <f t="shared" si="3"/>
        <v>46067</v>
      </c>
      <c r="H71" s="14">
        <f>DUR_BUF</f>
        <v>0</v>
      </c>
      <c r="I71" s="14" t="s">
        <v>93</v>
      </c>
    </row>
    <row r="72" spans="1:9">
      <c r="A72" s="14" t="s">
        <v>198</v>
      </c>
      <c r="B72" s="14" t="s">
        <v>60</v>
      </c>
      <c r="C72" s="14" t="s">
        <v>153</v>
      </c>
      <c r="D72" s="15" t="s">
        <v>59</v>
      </c>
      <c r="E72" s="14" t="s">
        <v>61</v>
      </c>
      <c r="F72" s="16">
        <f>PROJECT_START+27</f>
        <v>46067</v>
      </c>
      <c r="G72" s="16">
        <f t="shared" si="3"/>
        <v>46067</v>
      </c>
      <c r="H72" s="14">
        <v>0</v>
      </c>
      <c r="I72" s="14" t="s">
        <v>154</v>
      </c>
    </row>
    <row r="73" spans="1:9">
      <c r="A73" s="14" t="s">
        <v>199</v>
      </c>
      <c r="B73" s="14" t="s">
        <v>60</v>
      </c>
      <c r="C73" s="14" t="s">
        <v>156</v>
      </c>
      <c r="D73" s="15" t="s">
        <v>59</v>
      </c>
      <c r="E73" s="14" t="s">
        <v>61</v>
      </c>
      <c r="F73" s="16">
        <f>PROJECT_START+28</f>
        <v>46068</v>
      </c>
      <c r="G73" s="16">
        <f t="shared" si="3"/>
        <v>46068</v>
      </c>
      <c r="H73" s="14">
        <v>0</v>
      </c>
      <c r="I73" s="14" t="s">
        <v>154</v>
      </c>
    </row>
    <row r="74" spans="1:9">
      <c r="A74" s="14" t="s">
        <v>200</v>
      </c>
      <c r="B74" s="14" t="s">
        <v>60</v>
      </c>
      <c r="C74" s="14" t="s">
        <v>200</v>
      </c>
      <c r="D74" s="17" t="s">
        <v>63</v>
      </c>
      <c r="E74" s="14" t="s">
        <v>61</v>
      </c>
      <c r="F74" s="16">
        <f>PROJECT_START+41</f>
        <v>46081</v>
      </c>
      <c r="G74" s="16">
        <f t="shared" si="3"/>
        <v>46081</v>
      </c>
      <c r="H74" s="14">
        <f>DUR_BUF</f>
        <v>0</v>
      </c>
      <c r="I74" s="14"/>
    </row>
    <row r="75" spans="1:9">
      <c r="A75" s="14" t="s">
        <v>201</v>
      </c>
      <c r="B75" s="14" t="s">
        <v>60</v>
      </c>
      <c r="C75" s="14" t="s">
        <v>202</v>
      </c>
      <c r="D75" s="17" t="s">
        <v>63</v>
      </c>
      <c r="E75" s="14" t="s">
        <v>61</v>
      </c>
      <c r="F75" s="16">
        <f>PROJECT_START+30</f>
        <v>46070</v>
      </c>
      <c r="G75" s="16">
        <f t="shared" si="3"/>
        <v>46070.3</v>
      </c>
      <c r="H75" s="14">
        <v>0.3</v>
      </c>
      <c r="I75" s="14" t="s">
        <v>87</v>
      </c>
    </row>
    <row r="76" spans="1:9">
      <c r="A76" s="14" t="s">
        <v>203</v>
      </c>
      <c r="B76" s="14" t="s">
        <v>60</v>
      </c>
      <c r="C76" s="14" t="s">
        <v>276</v>
      </c>
      <c r="D76" s="17" t="s">
        <v>63</v>
      </c>
      <c r="E76" s="14" t="s">
        <v>61</v>
      </c>
      <c r="F76" s="16">
        <f>PROJECT_START+30</f>
        <v>46070</v>
      </c>
      <c r="G76" s="16">
        <f t="shared" si="3"/>
        <v>46070.3</v>
      </c>
      <c r="H76" s="14">
        <v>0.3</v>
      </c>
      <c r="I76" s="14" t="s">
        <v>87</v>
      </c>
    </row>
    <row r="77" spans="1:9">
      <c r="A77" s="14" t="s">
        <v>204</v>
      </c>
      <c r="B77" s="14" t="s">
        <v>60</v>
      </c>
      <c r="C77" s="14" t="s">
        <v>305</v>
      </c>
      <c r="D77" s="19" t="s">
        <v>92</v>
      </c>
      <c r="E77" s="14" t="s">
        <v>61</v>
      </c>
      <c r="F77" s="16">
        <f>PROJECT_START+30</f>
        <v>46070</v>
      </c>
      <c r="G77" s="16">
        <f t="shared" si="3"/>
        <v>46070.2</v>
      </c>
      <c r="H77" s="14">
        <v>0.2</v>
      </c>
      <c r="I77" s="14" t="s">
        <v>93</v>
      </c>
    </row>
    <row r="78" spans="1:9">
      <c r="A78" s="14" t="s">
        <v>206</v>
      </c>
      <c r="B78" s="14" t="s">
        <v>60</v>
      </c>
      <c r="C78" s="14" t="s">
        <v>307</v>
      </c>
      <c r="D78" s="20" t="s">
        <v>96</v>
      </c>
      <c r="E78" s="14" t="s">
        <v>61</v>
      </c>
      <c r="F78" s="16">
        <f>PROJECT_START+30</f>
        <v>46070</v>
      </c>
      <c r="G78" s="16">
        <f t="shared" si="3"/>
        <v>46070</v>
      </c>
      <c r="H78" s="14">
        <f>DUR_BUF</f>
        <v>0</v>
      </c>
      <c r="I78" s="14" t="s">
        <v>97</v>
      </c>
    </row>
    <row r="79" spans="1:9">
      <c r="A79" s="14" t="s">
        <v>208</v>
      </c>
      <c r="B79" s="14" t="s">
        <v>60</v>
      </c>
      <c r="C79" s="14" t="s">
        <v>209</v>
      </c>
      <c r="D79" s="17" t="s">
        <v>63</v>
      </c>
      <c r="E79" s="14" t="s">
        <v>61</v>
      </c>
      <c r="F79" s="16">
        <f>PROJECT_START+30</f>
        <v>46070</v>
      </c>
      <c r="G79" s="16">
        <f t="shared" si="3"/>
        <v>46070</v>
      </c>
      <c r="H79" s="14">
        <f>DUR_BUF</f>
        <v>0</v>
      </c>
      <c r="I79" s="14" t="s">
        <v>100</v>
      </c>
    </row>
    <row r="80" spans="1:9">
      <c r="A80" s="14" t="s">
        <v>210</v>
      </c>
      <c r="B80" s="14" t="s">
        <v>60</v>
      </c>
      <c r="C80" s="14" t="s">
        <v>371</v>
      </c>
      <c r="D80" s="17" t="s">
        <v>63</v>
      </c>
      <c r="E80" s="14" t="s">
        <v>61</v>
      </c>
      <c r="F80" s="16">
        <f>PROJECT_START+31</f>
        <v>46071</v>
      </c>
      <c r="G80" s="16">
        <f t="shared" si="3"/>
        <v>46071.05</v>
      </c>
      <c r="H80" s="14">
        <v>0.05</v>
      </c>
      <c r="I80" s="14"/>
    </row>
    <row r="81" spans="1:9">
      <c r="A81" s="14" t="s">
        <v>212</v>
      </c>
      <c r="B81" s="14" t="s">
        <v>60</v>
      </c>
      <c r="C81" s="14" t="s">
        <v>104</v>
      </c>
      <c r="D81" s="17" t="s">
        <v>63</v>
      </c>
      <c r="E81" s="14" t="s">
        <v>61</v>
      </c>
      <c r="F81" s="16">
        <f>PROJECT_START+31</f>
        <v>46071</v>
      </c>
      <c r="G81" s="16">
        <f t="shared" si="3"/>
        <v>46071.3</v>
      </c>
      <c r="H81" s="14">
        <v>0.3</v>
      </c>
      <c r="I81" s="14" t="s">
        <v>87</v>
      </c>
    </row>
    <row r="82" spans="1:9">
      <c r="A82" s="14" t="s">
        <v>213</v>
      </c>
      <c r="B82" s="14" t="s">
        <v>60</v>
      </c>
      <c r="C82" s="14" t="s">
        <v>214</v>
      </c>
      <c r="D82" s="19" t="s">
        <v>92</v>
      </c>
      <c r="E82" s="14" t="s">
        <v>61</v>
      </c>
      <c r="F82" s="16">
        <f>PROJECT_START+31</f>
        <v>46071</v>
      </c>
      <c r="G82" s="16">
        <f t="shared" si="3"/>
        <v>46071.3</v>
      </c>
      <c r="H82" s="14">
        <v>0.3</v>
      </c>
      <c r="I82" s="14" t="s">
        <v>93</v>
      </c>
    </row>
    <row r="83" spans="1:9">
      <c r="A83" s="14" t="s">
        <v>215</v>
      </c>
      <c r="B83" s="14" t="s">
        <v>60</v>
      </c>
      <c r="C83" s="14" t="s">
        <v>216</v>
      </c>
      <c r="D83" s="20" t="s">
        <v>96</v>
      </c>
      <c r="E83" s="14" t="s">
        <v>61</v>
      </c>
      <c r="F83" s="16">
        <f>PROJECT_START+31</f>
        <v>46071</v>
      </c>
      <c r="G83" s="16">
        <f t="shared" si="3"/>
        <v>46071</v>
      </c>
      <c r="H83" s="14">
        <f>DUR_BUF</f>
        <v>0</v>
      </c>
      <c r="I83" s="14" t="s">
        <v>97</v>
      </c>
    </row>
    <row r="84" spans="1:9">
      <c r="A84" s="14" t="s">
        <v>217</v>
      </c>
      <c r="B84" s="14" t="s">
        <v>60</v>
      </c>
      <c r="C84" s="14" t="s">
        <v>110</v>
      </c>
      <c r="D84" s="17" t="s">
        <v>63</v>
      </c>
      <c r="E84" s="14" t="s">
        <v>61</v>
      </c>
      <c r="F84" s="16">
        <f>PROJECT_START+32</f>
        <v>46072</v>
      </c>
      <c r="G84" s="16">
        <f t="shared" si="3"/>
        <v>46072.2</v>
      </c>
      <c r="H84" s="14">
        <v>0.2</v>
      </c>
      <c r="I84" s="14" t="s">
        <v>97</v>
      </c>
    </row>
    <row r="85" spans="1:9">
      <c r="A85" s="14" t="s">
        <v>218</v>
      </c>
      <c r="B85" s="14" t="s">
        <v>60</v>
      </c>
      <c r="C85" s="14" t="s">
        <v>112</v>
      </c>
      <c r="D85" s="21" t="s">
        <v>113</v>
      </c>
      <c r="E85" s="14" t="s">
        <v>61</v>
      </c>
      <c r="F85" s="16">
        <f>PROJECT_START+33</f>
        <v>46073</v>
      </c>
      <c r="G85" s="16">
        <f t="shared" si="3"/>
        <v>46073</v>
      </c>
      <c r="H85" s="14">
        <f>DUR_SAIL</f>
        <v>0</v>
      </c>
      <c r="I85" s="14" t="s">
        <v>114</v>
      </c>
    </row>
    <row r="86" spans="1:9">
      <c r="A86" s="14" t="s">
        <v>219</v>
      </c>
      <c r="B86" s="14" t="s">
        <v>60</v>
      </c>
      <c r="C86" s="14" t="s">
        <v>116</v>
      </c>
      <c r="D86" s="17" t="s">
        <v>63</v>
      </c>
      <c r="E86" s="14" t="s">
        <v>61</v>
      </c>
      <c r="F86" s="16">
        <f>PROJECT_START+34</f>
        <v>46074</v>
      </c>
      <c r="G86" s="16">
        <f t="shared" si="3"/>
        <v>46074</v>
      </c>
      <c r="H86" s="14">
        <f>DUR_BUF</f>
        <v>0</v>
      </c>
      <c r="I86" s="14" t="s">
        <v>117</v>
      </c>
    </row>
    <row r="87" spans="1:9">
      <c r="A87" s="14" t="s">
        <v>220</v>
      </c>
      <c r="B87" s="14" t="s">
        <v>60</v>
      </c>
      <c r="C87" s="14" t="s">
        <v>279</v>
      </c>
      <c r="D87" s="22" t="s">
        <v>120</v>
      </c>
      <c r="E87" s="14" t="s">
        <v>61</v>
      </c>
      <c r="F87" s="16">
        <f>PROJECT_START+34</f>
        <v>46074</v>
      </c>
      <c r="G87" s="16">
        <f t="shared" si="3"/>
        <v>46074</v>
      </c>
      <c r="H87" s="14">
        <f>DUR_BUF</f>
        <v>0</v>
      </c>
      <c r="I87" s="14" t="s">
        <v>87</v>
      </c>
    </row>
    <row r="88" spans="1:9">
      <c r="A88" s="14" t="s">
        <v>221</v>
      </c>
      <c r="B88" s="14" t="s">
        <v>60</v>
      </c>
      <c r="C88" s="14" t="s">
        <v>122</v>
      </c>
      <c r="D88" s="17" t="s">
        <v>63</v>
      </c>
      <c r="E88" s="14" t="s">
        <v>61</v>
      </c>
      <c r="F88" s="16">
        <f>PROJECT_START+34</f>
        <v>46074</v>
      </c>
      <c r="G88" s="16">
        <f t="shared" si="3"/>
        <v>46074</v>
      </c>
      <c r="H88" s="14">
        <f>DUR_BUF</f>
        <v>0</v>
      </c>
      <c r="I88" s="14" t="s">
        <v>123</v>
      </c>
    </row>
    <row r="89" spans="1:9">
      <c r="A89" s="14" t="s">
        <v>222</v>
      </c>
      <c r="B89" s="14" t="s">
        <v>60</v>
      </c>
      <c r="C89" s="14" t="s">
        <v>223</v>
      </c>
      <c r="D89" s="19" t="s">
        <v>92</v>
      </c>
      <c r="E89" s="14" t="s">
        <v>61</v>
      </c>
      <c r="F89" s="16">
        <f>PROJECT_START+35</f>
        <v>46075</v>
      </c>
      <c r="G89" s="16">
        <f t="shared" si="3"/>
        <v>46075</v>
      </c>
      <c r="H89" s="14">
        <f>DUR_UL</f>
        <v>0</v>
      </c>
      <c r="I89" s="14" t="s">
        <v>87</v>
      </c>
    </row>
    <row r="90" spans="1:9">
      <c r="A90" s="14" t="s">
        <v>224</v>
      </c>
      <c r="B90" s="14" t="s">
        <v>60</v>
      </c>
      <c r="C90" s="14" t="s">
        <v>225</v>
      </c>
      <c r="D90" s="19" t="s">
        <v>92</v>
      </c>
      <c r="E90" s="14" t="s">
        <v>61</v>
      </c>
      <c r="F90" s="16">
        <f>PROJECT_START+34</f>
        <v>46074</v>
      </c>
      <c r="G90" s="16">
        <f t="shared" si="3"/>
        <v>46074</v>
      </c>
      <c r="H90" s="14">
        <f>DUR_UL</f>
        <v>0</v>
      </c>
      <c r="I90" s="14" t="s">
        <v>87</v>
      </c>
    </row>
    <row r="91" spans="1:9">
      <c r="A91" s="14" t="s">
        <v>226</v>
      </c>
      <c r="B91" s="14" t="s">
        <v>60</v>
      </c>
      <c r="C91" s="14" t="s">
        <v>129</v>
      </c>
      <c r="D91" s="17" t="s">
        <v>63</v>
      </c>
      <c r="E91" s="14" t="s">
        <v>61</v>
      </c>
      <c r="F91" s="16">
        <f>PROJECT_START+36</f>
        <v>46076</v>
      </c>
      <c r="G91" s="16">
        <f t="shared" si="3"/>
        <v>46076.3</v>
      </c>
      <c r="H91" s="14">
        <v>0.3</v>
      </c>
      <c r="I91" s="14" t="s">
        <v>130</v>
      </c>
    </row>
    <row r="92" spans="1:9">
      <c r="A92" s="14" t="s">
        <v>227</v>
      </c>
      <c r="B92" s="14" t="s">
        <v>60</v>
      </c>
      <c r="C92" s="14" t="s">
        <v>316</v>
      </c>
      <c r="D92" s="17" t="s">
        <v>63</v>
      </c>
      <c r="E92" s="14" t="s">
        <v>61</v>
      </c>
      <c r="F92" s="16">
        <f>PROJECT_START+36</f>
        <v>46076</v>
      </c>
      <c r="G92" s="16">
        <f t="shared" si="3"/>
        <v>46076.7</v>
      </c>
      <c r="H92" s="14">
        <v>0.7</v>
      </c>
      <c r="I92" s="14" t="s">
        <v>133</v>
      </c>
    </row>
    <row r="93" spans="1:9">
      <c r="A93" s="14" t="s">
        <v>229</v>
      </c>
      <c r="B93" s="14" t="s">
        <v>60</v>
      </c>
      <c r="C93" s="14" t="s">
        <v>230</v>
      </c>
      <c r="D93" s="23" t="s">
        <v>136</v>
      </c>
      <c r="E93" s="14" t="s">
        <v>61</v>
      </c>
      <c r="F93" s="16">
        <f>PROJECT_START+36</f>
        <v>46076</v>
      </c>
      <c r="G93" s="16">
        <f t="shared" si="3"/>
        <v>46076</v>
      </c>
      <c r="H93" s="14">
        <f>DUR_TURN</f>
        <v>0</v>
      </c>
      <c r="I93" s="14" t="s">
        <v>137</v>
      </c>
    </row>
    <row r="94" spans="1:9">
      <c r="A94" s="24" t="s">
        <v>231</v>
      </c>
      <c r="B94" s="24" t="s">
        <v>60</v>
      </c>
      <c r="C94" s="24" t="s">
        <v>232</v>
      </c>
      <c r="D94" s="25" t="s">
        <v>140</v>
      </c>
      <c r="E94" s="24" t="s">
        <v>61</v>
      </c>
      <c r="F94" s="26">
        <f>PROJECT_START+39</f>
        <v>46079</v>
      </c>
      <c r="G94" s="26">
        <f t="shared" si="3"/>
        <v>46079</v>
      </c>
      <c r="H94" s="24">
        <f>DUR_JD</f>
        <v>0</v>
      </c>
      <c r="I94" s="24" t="s">
        <v>141</v>
      </c>
    </row>
    <row r="95" spans="1:9">
      <c r="A95" s="14" t="s">
        <v>233</v>
      </c>
      <c r="B95" s="14" t="s">
        <v>60</v>
      </c>
      <c r="C95" s="14" t="s">
        <v>143</v>
      </c>
      <c r="D95" s="17" t="s">
        <v>63</v>
      </c>
      <c r="E95" s="14" t="s">
        <v>61</v>
      </c>
      <c r="F95" s="16">
        <f>PROJECT_START+39</f>
        <v>46079</v>
      </c>
      <c r="G95" s="16">
        <f t="shared" si="3"/>
        <v>46079.3</v>
      </c>
      <c r="H95" s="14">
        <v>0.3</v>
      </c>
      <c r="I95" s="14" t="s">
        <v>130</v>
      </c>
    </row>
    <row r="96" spans="1:9">
      <c r="A96" s="14" t="s">
        <v>234</v>
      </c>
      <c r="B96" s="14" t="s">
        <v>60</v>
      </c>
      <c r="C96" s="14" t="s">
        <v>338</v>
      </c>
      <c r="D96" s="17" t="s">
        <v>63</v>
      </c>
      <c r="E96" s="14" t="s">
        <v>61</v>
      </c>
      <c r="F96" s="16">
        <f>PROJECT_START+39</f>
        <v>46079</v>
      </c>
      <c r="G96" s="16">
        <f t="shared" si="3"/>
        <v>46079.7</v>
      </c>
      <c r="H96" s="14">
        <v>0.7</v>
      </c>
      <c r="I96" s="14" t="s">
        <v>133</v>
      </c>
    </row>
    <row r="97" spans="1:9">
      <c r="A97" s="14" t="s">
        <v>236</v>
      </c>
      <c r="B97" s="14" t="s">
        <v>60</v>
      </c>
      <c r="C97" s="14" t="s">
        <v>237</v>
      </c>
      <c r="D97" s="23" t="s">
        <v>136</v>
      </c>
      <c r="E97" s="14" t="s">
        <v>61</v>
      </c>
      <c r="F97" s="16">
        <f>PROJECT_START+40</f>
        <v>46080</v>
      </c>
      <c r="G97" s="16">
        <f t="shared" si="3"/>
        <v>46080</v>
      </c>
      <c r="H97" s="14">
        <f>DUR_TURN</f>
        <v>0</v>
      </c>
      <c r="I97" s="14" t="s">
        <v>137</v>
      </c>
    </row>
    <row r="98" spans="1:9">
      <c r="A98" s="24" t="s">
        <v>238</v>
      </c>
      <c r="B98" s="24" t="s">
        <v>60</v>
      </c>
      <c r="C98" s="24" t="s">
        <v>239</v>
      </c>
      <c r="D98" s="25" t="s">
        <v>140</v>
      </c>
      <c r="E98" s="24" t="s">
        <v>61</v>
      </c>
      <c r="F98" s="26">
        <f>PROJECT_START+43</f>
        <v>46083</v>
      </c>
      <c r="G98" s="26">
        <f t="shared" si="3"/>
        <v>46083</v>
      </c>
      <c r="H98" s="24">
        <f>DUR_JD</f>
        <v>0</v>
      </c>
      <c r="I98" s="24" t="s">
        <v>141</v>
      </c>
    </row>
    <row r="99" spans="1:9">
      <c r="A99" s="14" t="s">
        <v>240</v>
      </c>
      <c r="B99" s="14" t="s">
        <v>60</v>
      </c>
      <c r="C99" s="14" t="s">
        <v>283</v>
      </c>
      <c r="D99" s="17" t="s">
        <v>63</v>
      </c>
      <c r="E99" s="14" t="s">
        <v>61</v>
      </c>
      <c r="F99" s="16">
        <f>PROJECT_START+40</f>
        <v>46080</v>
      </c>
      <c r="G99" s="16">
        <f t="shared" si="3"/>
        <v>46080</v>
      </c>
      <c r="H99" s="14">
        <f>DUR_BUF</f>
        <v>0</v>
      </c>
      <c r="I99" s="14" t="s">
        <v>93</v>
      </c>
    </row>
    <row r="100" spans="1:9">
      <c r="A100" s="14" t="s">
        <v>241</v>
      </c>
      <c r="B100" s="14" t="s">
        <v>60</v>
      </c>
      <c r="C100" s="14" t="s">
        <v>153</v>
      </c>
      <c r="D100" s="15" t="s">
        <v>59</v>
      </c>
      <c r="E100" s="14" t="s">
        <v>61</v>
      </c>
      <c r="F100" s="16">
        <f>PROJECT_START+40</f>
        <v>46080</v>
      </c>
      <c r="G100" s="16">
        <f t="shared" si="3"/>
        <v>46080</v>
      </c>
      <c r="H100" s="14">
        <v>0</v>
      </c>
      <c r="I100" s="14" t="s">
        <v>154</v>
      </c>
    </row>
    <row r="101" spans="1:9">
      <c r="A101" s="14" t="s">
        <v>242</v>
      </c>
      <c r="B101" s="14" t="s">
        <v>60</v>
      </c>
      <c r="C101" s="14" t="s">
        <v>156</v>
      </c>
      <c r="D101" s="15" t="s">
        <v>59</v>
      </c>
      <c r="E101" s="14" t="s">
        <v>61</v>
      </c>
      <c r="F101" s="16">
        <f>PROJECT_START+41</f>
        <v>46081</v>
      </c>
      <c r="G101" s="16">
        <f t="shared" si="3"/>
        <v>46081</v>
      </c>
      <c r="H101" s="14">
        <v>0</v>
      </c>
      <c r="I101" s="14" t="s">
        <v>154</v>
      </c>
    </row>
    <row r="102" spans="1:9">
      <c r="A102" s="14" t="s">
        <v>243</v>
      </c>
      <c r="B102" s="14" t="s">
        <v>60</v>
      </c>
      <c r="C102" s="14" t="s">
        <v>243</v>
      </c>
      <c r="D102" s="17" t="s">
        <v>63</v>
      </c>
      <c r="E102" s="14" t="s">
        <v>61</v>
      </c>
      <c r="F102" s="16">
        <f>PROJECT_START+51</f>
        <v>46091</v>
      </c>
      <c r="G102" s="16">
        <f t="shared" ref="G102:G133" si="4">F102+H102</f>
        <v>46091</v>
      </c>
      <c r="H102" s="14">
        <f>DUR_BUF</f>
        <v>0</v>
      </c>
      <c r="I102" s="14"/>
    </row>
    <row r="103" spans="1:9">
      <c r="A103" s="14" t="s">
        <v>244</v>
      </c>
      <c r="B103" s="14" t="s">
        <v>60</v>
      </c>
      <c r="C103" s="14" t="s">
        <v>245</v>
      </c>
      <c r="D103" s="17" t="s">
        <v>63</v>
      </c>
      <c r="E103" s="14" t="s">
        <v>61</v>
      </c>
      <c r="F103" s="16">
        <f>PROJECT_START+42</f>
        <v>46082</v>
      </c>
      <c r="G103" s="16">
        <f t="shared" si="4"/>
        <v>46082.3</v>
      </c>
      <c r="H103" s="14">
        <v>0.3</v>
      </c>
      <c r="I103" s="14" t="s">
        <v>87</v>
      </c>
    </row>
    <row r="104" spans="1:9">
      <c r="A104" s="14" t="s">
        <v>246</v>
      </c>
      <c r="B104" s="14" t="s">
        <v>60</v>
      </c>
      <c r="C104" s="14" t="s">
        <v>276</v>
      </c>
      <c r="D104" s="17" t="s">
        <v>63</v>
      </c>
      <c r="E104" s="14" t="s">
        <v>61</v>
      </c>
      <c r="F104" s="16">
        <f>PROJECT_START+42</f>
        <v>46082</v>
      </c>
      <c r="G104" s="16">
        <f t="shared" si="4"/>
        <v>46082.3</v>
      </c>
      <c r="H104" s="14">
        <v>0.3</v>
      </c>
      <c r="I104" s="14" t="s">
        <v>87</v>
      </c>
    </row>
    <row r="105" spans="1:9">
      <c r="A105" s="14" t="s">
        <v>247</v>
      </c>
      <c r="B105" s="14" t="s">
        <v>60</v>
      </c>
      <c r="C105" s="14" t="s">
        <v>348</v>
      </c>
      <c r="D105" s="19" t="s">
        <v>92</v>
      </c>
      <c r="E105" s="14" t="s">
        <v>61</v>
      </c>
      <c r="F105" s="16">
        <f>PROJECT_START+42</f>
        <v>46082</v>
      </c>
      <c r="G105" s="16">
        <f t="shared" si="4"/>
        <v>46082.2</v>
      </c>
      <c r="H105" s="14">
        <v>0.2</v>
      </c>
      <c r="I105" s="14" t="s">
        <v>93</v>
      </c>
    </row>
    <row r="106" spans="1:9">
      <c r="A106" s="14" t="s">
        <v>249</v>
      </c>
      <c r="B106" s="14" t="s">
        <v>60</v>
      </c>
      <c r="C106" s="14" t="s">
        <v>350</v>
      </c>
      <c r="D106" s="20" t="s">
        <v>96</v>
      </c>
      <c r="E106" s="14" t="s">
        <v>61</v>
      </c>
      <c r="F106" s="16">
        <f>PROJECT_START+42</f>
        <v>46082</v>
      </c>
      <c r="G106" s="16">
        <f t="shared" si="4"/>
        <v>46082</v>
      </c>
      <c r="H106" s="14">
        <f>DUR_BUF</f>
        <v>0</v>
      </c>
      <c r="I106" s="14" t="s">
        <v>97</v>
      </c>
    </row>
    <row r="107" spans="1:9">
      <c r="A107" s="14" t="s">
        <v>251</v>
      </c>
      <c r="B107" s="14" t="s">
        <v>60</v>
      </c>
      <c r="C107" s="14" t="s">
        <v>110</v>
      </c>
      <c r="D107" s="17" t="s">
        <v>63</v>
      </c>
      <c r="E107" s="14" t="s">
        <v>61</v>
      </c>
      <c r="F107" s="16">
        <f>PROJECT_START+43</f>
        <v>46083</v>
      </c>
      <c r="G107" s="16">
        <f t="shared" si="4"/>
        <v>46083.199999999997</v>
      </c>
      <c r="H107" s="14">
        <v>0.2</v>
      </c>
      <c r="I107" s="14" t="s">
        <v>97</v>
      </c>
    </row>
    <row r="108" spans="1:9">
      <c r="A108" s="14" t="s">
        <v>252</v>
      </c>
      <c r="B108" s="14" t="s">
        <v>60</v>
      </c>
      <c r="C108" s="14" t="s">
        <v>112</v>
      </c>
      <c r="D108" s="21" t="s">
        <v>113</v>
      </c>
      <c r="E108" s="14" t="s">
        <v>61</v>
      </c>
      <c r="F108" s="16">
        <f>PROJECT_START+44</f>
        <v>46084</v>
      </c>
      <c r="G108" s="16">
        <f t="shared" si="4"/>
        <v>46084</v>
      </c>
      <c r="H108" s="14">
        <f>DUR_SAIL</f>
        <v>0</v>
      </c>
      <c r="I108" s="14" t="s">
        <v>114</v>
      </c>
    </row>
    <row r="109" spans="1:9">
      <c r="A109" s="14" t="s">
        <v>253</v>
      </c>
      <c r="B109" s="14" t="s">
        <v>60</v>
      </c>
      <c r="C109" s="14" t="s">
        <v>116</v>
      </c>
      <c r="D109" s="17" t="s">
        <v>63</v>
      </c>
      <c r="E109" s="14" t="s">
        <v>61</v>
      </c>
      <c r="F109" s="16">
        <f>PROJECT_START+45</f>
        <v>46085</v>
      </c>
      <c r="G109" s="16">
        <f t="shared" si="4"/>
        <v>46085</v>
      </c>
      <c r="H109" s="14">
        <f>DUR_BUF</f>
        <v>0</v>
      </c>
      <c r="I109" s="14" t="s">
        <v>117</v>
      </c>
    </row>
    <row r="110" spans="1:9">
      <c r="A110" s="14" t="s">
        <v>254</v>
      </c>
      <c r="B110" s="14" t="s">
        <v>60</v>
      </c>
      <c r="C110" s="14" t="s">
        <v>279</v>
      </c>
      <c r="D110" s="22" t="s">
        <v>120</v>
      </c>
      <c r="E110" s="14" t="s">
        <v>61</v>
      </c>
      <c r="F110" s="16">
        <f>PROJECT_START+45</f>
        <v>46085</v>
      </c>
      <c r="G110" s="16">
        <f t="shared" si="4"/>
        <v>46085</v>
      </c>
      <c r="H110" s="14">
        <f>DUR_BUF</f>
        <v>0</v>
      </c>
      <c r="I110" s="14" t="s">
        <v>87</v>
      </c>
    </row>
    <row r="111" spans="1:9">
      <c r="A111" s="14" t="s">
        <v>255</v>
      </c>
      <c r="B111" s="14" t="s">
        <v>60</v>
      </c>
      <c r="C111" s="14" t="s">
        <v>122</v>
      </c>
      <c r="D111" s="17" t="s">
        <v>63</v>
      </c>
      <c r="E111" s="14" t="s">
        <v>61</v>
      </c>
      <c r="F111" s="16">
        <f>PROJECT_START+45</f>
        <v>46085</v>
      </c>
      <c r="G111" s="16">
        <f t="shared" si="4"/>
        <v>46085</v>
      </c>
      <c r="H111" s="14">
        <f>DUR_BUF</f>
        <v>0</v>
      </c>
      <c r="I111" s="14" t="s">
        <v>123</v>
      </c>
    </row>
    <row r="112" spans="1:9">
      <c r="A112" s="14" t="s">
        <v>256</v>
      </c>
      <c r="B112" s="14" t="s">
        <v>60</v>
      </c>
      <c r="C112" s="14" t="s">
        <v>257</v>
      </c>
      <c r="D112" s="19" t="s">
        <v>92</v>
      </c>
      <c r="E112" s="14" t="s">
        <v>61</v>
      </c>
      <c r="F112" s="16">
        <f>PROJECT_START+45</f>
        <v>46085</v>
      </c>
      <c r="G112" s="16">
        <f t="shared" si="4"/>
        <v>46085</v>
      </c>
      <c r="H112" s="14">
        <f>DUR_UL</f>
        <v>0</v>
      </c>
      <c r="I112" s="14" t="s">
        <v>87</v>
      </c>
    </row>
    <row r="113" spans="1:9">
      <c r="A113" s="14" t="s">
        <v>258</v>
      </c>
      <c r="B113" s="14" t="s">
        <v>60</v>
      </c>
      <c r="C113" s="14" t="s">
        <v>129</v>
      </c>
      <c r="D113" s="17" t="s">
        <v>63</v>
      </c>
      <c r="E113" s="14" t="s">
        <v>61</v>
      </c>
      <c r="F113" s="16">
        <f>PROJECT_START+46</f>
        <v>46086</v>
      </c>
      <c r="G113" s="16">
        <f t="shared" si="4"/>
        <v>46086.3</v>
      </c>
      <c r="H113" s="14">
        <v>0.3</v>
      </c>
      <c r="I113" s="14" t="s">
        <v>130</v>
      </c>
    </row>
    <row r="114" spans="1:9">
      <c r="A114" s="14" t="s">
        <v>259</v>
      </c>
      <c r="B114" s="14" t="s">
        <v>60</v>
      </c>
      <c r="C114" s="14" t="s">
        <v>359</v>
      </c>
      <c r="D114" s="17" t="s">
        <v>63</v>
      </c>
      <c r="E114" s="14" t="s">
        <v>61</v>
      </c>
      <c r="F114" s="16">
        <f>PROJECT_START+46</f>
        <v>46086</v>
      </c>
      <c r="G114" s="16">
        <f t="shared" si="4"/>
        <v>46086.7</v>
      </c>
      <c r="H114" s="14">
        <v>0.7</v>
      </c>
      <c r="I114" s="14" t="s">
        <v>133</v>
      </c>
    </row>
    <row r="115" spans="1:9">
      <c r="A115" s="14" t="s">
        <v>261</v>
      </c>
      <c r="B115" s="14" t="s">
        <v>60</v>
      </c>
      <c r="C115" s="14" t="s">
        <v>262</v>
      </c>
      <c r="D115" s="23" t="s">
        <v>136</v>
      </c>
      <c r="E115" s="14" t="s">
        <v>61</v>
      </c>
      <c r="F115" s="16">
        <f>PROJECT_START+46</f>
        <v>46086</v>
      </c>
      <c r="G115" s="16">
        <f t="shared" si="4"/>
        <v>46086</v>
      </c>
      <c r="H115" s="14">
        <f>DUR_TURN</f>
        <v>0</v>
      </c>
      <c r="I115" s="14" t="s">
        <v>137</v>
      </c>
    </row>
    <row r="116" spans="1:9">
      <c r="A116" s="24" t="s">
        <v>263</v>
      </c>
      <c r="B116" s="24" t="s">
        <v>60</v>
      </c>
      <c r="C116" s="24" t="s">
        <v>264</v>
      </c>
      <c r="D116" s="25" t="s">
        <v>140</v>
      </c>
      <c r="E116" s="24" t="s">
        <v>61</v>
      </c>
      <c r="F116" s="26">
        <f>PROJECT_START+49</f>
        <v>46089</v>
      </c>
      <c r="G116" s="26">
        <f t="shared" si="4"/>
        <v>46089</v>
      </c>
      <c r="H116" s="24">
        <f>DUR_JD</f>
        <v>0</v>
      </c>
      <c r="I116" s="24" t="s">
        <v>141</v>
      </c>
    </row>
    <row r="117" spans="1:9">
      <c r="A117" s="14" t="s">
        <v>265</v>
      </c>
      <c r="B117" s="14" t="s">
        <v>60</v>
      </c>
      <c r="C117" s="14" t="s">
        <v>283</v>
      </c>
      <c r="D117" s="17" t="s">
        <v>63</v>
      </c>
      <c r="E117" s="14" t="s">
        <v>61</v>
      </c>
      <c r="F117" s="16">
        <f>PROJECT_START+50</f>
        <v>46090</v>
      </c>
      <c r="G117" s="16">
        <f t="shared" si="4"/>
        <v>46090</v>
      </c>
      <c r="H117" s="14">
        <f>DUR_BUF</f>
        <v>0</v>
      </c>
      <c r="I117" s="14" t="s">
        <v>93</v>
      </c>
    </row>
    <row r="118" spans="1:9">
      <c r="A118" s="14" t="s">
        <v>266</v>
      </c>
      <c r="B118" s="14" t="s">
        <v>60</v>
      </c>
      <c r="C118" s="14" t="s">
        <v>153</v>
      </c>
      <c r="D118" s="15" t="s">
        <v>59</v>
      </c>
      <c r="E118" s="14" t="s">
        <v>61</v>
      </c>
      <c r="F118" s="16">
        <f>PROJECT_START+50</f>
        <v>46090</v>
      </c>
      <c r="G118" s="16">
        <f t="shared" si="4"/>
        <v>46090</v>
      </c>
      <c r="H118" s="14">
        <v>0</v>
      </c>
      <c r="I118" s="14" t="s">
        <v>154</v>
      </c>
    </row>
    <row r="119" spans="1:9">
      <c r="A119" s="14" t="s">
        <v>267</v>
      </c>
      <c r="B119" s="14" t="s">
        <v>60</v>
      </c>
      <c r="C119" s="14" t="s">
        <v>156</v>
      </c>
      <c r="D119" s="15" t="s">
        <v>59</v>
      </c>
      <c r="E119" s="14" t="s">
        <v>61</v>
      </c>
      <c r="F119" s="16">
        <f>PROJECT_START+51</f>
        <v>46091</v>
      </c>
      <c r="G119" s="16">
        <f t="shared" si="4"/>
        <v>46091</v>
      </c>
      <c r="H119" s="14">
        <v>0</v>
      </c>
      <c r="I119" s="14" t="s">
        <v>154</v>
      </c>
    </row>
  </sheetData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W118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372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373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270</v>
      </c>
      <c r="B3" s="40"/>
      <c r="C3" s="40"/>
      <c r="D3" s="40"/>
      <c r="E3" s="40"/>
      <c r="F3" s="40"/>
      <c r="G3" s="40"/>
    </row>
    <row r="4" spans="1:127">
      <c r="A4" s="27" t="s">
        <v>50</v>
      </c>
      <c r="B4" s="27" t="s">
        <v>51</v>
      </c>
      <c r="C4" s="27" t="s">
        <v>52</v>
      </c>
      <c r="D4" s="27" t="s">
        <v>53</v>
      </c>
      <c r="E4" s="27" t="s">
        <v>55</v>
      </c>
      <c r="F4" s="27" t="s">
        <v>56</v>
      </c>
      <c r="G4" s="27" t="s">
        <v>271</v>
      </c>
      <c r="H4" s="28">
        <f>PROJECT_START+0</f>
        <v>46040</v>
      </c>
      <c r="I4" s="28">
        <f>PROJECT_START+1</f>
        <v>46041</v>
      </c>
      <c r="J4" s="28">
        <f>PROJECT_START+2</f>
        <v>46042</v>
      </c>
      <c r="K4" s="28">
        <f>PROJECT_START+3</f>
        <v>46043</v>
      </c>
      <c r="L4" s="28">
        <f>PROJECT_START+4</f>
        <v>46044</v>
      </c>
      <c r="M4" s="28">
        <f>PROJECT_START+5</f>
        <v>46045</v>
      </c>
      <c r="N4" s="28">
        <f>PROJECT_START+6</f>
        <v>46046</v>
      </c>
      <c r="O4" s="28">
        <f>PROJECT_START+7</f>
        <v>46047</v>
      </c>
      <c r="P4" s="28">
        <f>PROJECT_START+8</f>
        <v>46048</v>
      </c>
      <c r="Q4" s="28">
        <f>PROJECT_START+9</f>
        <v>46049</v>
      </c>
      <c r="R4" s="28">
        <f>PROJECT_START+10</f>
        <v>46050</v>
      </c>
      <c r="S4" s="28">
        <f>PROJECT_START+11</f>
        <v>46051</v>
      </c>
      <c r="T4" s="28">
        <f>PROJECT_START+12</f>
        <v>46052</v>
      </c>
      <c r="U4" s="28">
        <f>PROJECT_START+13</f>
        <v>46053</v>
      </c>
      <c r="V4" s="28">
        <f>PROJECT_START+14</f>
        <v>46054</v>
      </c>
      <c r="W4" s="28">
        <f>PROJECT_START+15</f>
        <v>46055</v>
      </c>
      <c r="X4" s="28">
        <f>PROJECT_START+16</f>
        <v>46056</v>
      </c>
      <c r="Y4" s="28">
        <f>PROJECT_START+17</f>
        <v>46057</v>
      </c>
      <c r="Z4" s="28">
        <f>PROJECT_START+18</f>
        <v>46058</v>
      </c>
      <c r="AA4" s="28">
        <f>PROJECT_START+19</f>
        <v>46059</v>
      </c>
      <c r="AB4" s="28">
        <f>PROJECT_START+20</f>
        <v>46060</v>
      </c>
      <c r="AC4" s="28">
        <f>PROJECT_START+21</f>
        <v>46061</v>
      </c>
      <c r="AD4" s="28">
        <f>PROJECT_START+22</f>
        <v>46062</v>
      </c>
      <c r="AE4" s="28">
        <f>PROJECT_START+23</f>
        <v>46063</v>
      </c>
      <c r="AF4" s="28">
        <f>PROJECT_START+24</f>
        <v>46064</v>
      </c>
      <c r="AG4" s="28">
        <f>PROJECT_START+25</f>
        <v>46065</v>
      </c>
      <c r="AH4" s="28">
        <f>PROJECT_START+26</f>
        <v>46066</v>
      </c>
      <c r="AI4" s="28">
        <f>PROJECT_START+27</f>
        <v>46067</v>
      </c>
      <c r="AJ4" s="28">
        <f>PROJECT_START+28</f>
        <v>46068</v>
      </c>
      <c r="AK4" s="28">
        <f>PROJECT_START+29</f>
        <v>46069</v>
      </c>
      <c r="AL4" s="28">
        <f>PROJECT_START+30</f>
        <v>46070</v>
      </c>
      <c r="AM4" s="28">
        <f>PROJECT_START+31</f>
        <v>46071</v>
      </c>
      <c r="AN4" s="28">
        <f>PROJECT_START+32</f>
        <v>46072</v>
      </c>
      <c r="AO4" s="28">
        <f>PROJECT_START+33</f>
        <v>46073</v>
      </c>
      <c r="AP4" s="28">
        <f>PROJECT_START+34</f>
        <v>46074</v>
      </c>
      <c r="AQ4" s="28">
        <f>PROJECT_START+35</f>
        <v>46075</v>
      </c>
      <c r="AR4" s="28">
        <f>PROJECT_START+36</f>
        <v>46076</v>
      </c>
      <c r="AS4" s="28">
        <f>PROJECT_START+37</f>
        <v>46077</v>
      </c>
      <c r="AT4" s="28">
        <f>PROJECT_START+38</f>
        <v>46078</v>
      </c>
      <c r="AU4" s="28">
        <f>PROJECT_START+39</f>
        <v>46079</v>
      </c>
      <c r="AV4" s="28">
        <f>PROJECT_START+40</f>
        <v>46080</v>
      </c>
      <c r="AW4" s="28">
        <f>PROJECT_START+41</f>
        <v>46081</v>
      </c>
      <c r="AX4" s="28">
        <f>PROJECT_START+42</f>
        <v>46082</v>
      </c>
      <c r="AY4" s="28">
        <f>PROJECT_START+43</f>
        <v>46083</v>
      </c>
      <c r="AZ4" s="28">
        <f>PROJECT_START+44</f>
        <v>46084</v>
      </c>
      <c r="BA4" s="28">
        <f>PROJECT_START+45</f>
        <v>46085</v>
      </c>
      <c r="BB4" s="28">
        <f>PROJECT_START+46</f>
        <v>46086</v>
      </c>
      <c r="BC4" s="28">
        <f>PROJECT_START+47</f>
        <v>46087</v>
      </c>
      <c r="BD4" s="28">
        <f>PROJECT_START+48</f>
        <v>46088</v>
      </c>
      <c r="BE4" s="28">
        <f>PROJECT_START+49</f>
        <v>46089</v>
      </c>
      <c r="BF4" s="28">
        <f>PROJECT_START+50</f>
        <v>46090</v>
      </c>
      <c r="BG4" s="28">
        <f>PROJECT_START+51</f>
        <v>46091</v>
      </c>
      <c r="BH4" s="28">
        <f>PROJECT_START+52</f>
        <v>46092</v>
      </c>
      <c r="BI4" s="28">
        <f>PROJECT_START+53</f>
        <v>46093</v>
      </c>
      <c r="BJ4" s="28">
        <f>PROJECT_START+54</f>
        <v>46094</v>
      </c>
      <c r="BK4" s="28">
        <f>PROJECT_START+55</f>
        <v>46095</v>
      </c>
      <c r="BL4" s="28">
        <f>PROJECT_START+56</f>
        <v>46096</v>
      </c>
      <c r="BM4" s="28">
        <f>PROJECT_START+57</f>
        <v>46097</v>
      </c>
      <c r="BN4" s="28">
        <f>PROJECT_START+58</f>
        <v>46098</v>
      </c>
      <c r="BO4" s="28">
        <f>PROJECT_START+59</f>
        <v>46099</v>
      </c>
      <c r="BP4" s="28">
        <f>PROJECT_START+60</f>
        <v>46100</v>
      </c>
      <c r="BQ4" s="28">
        <f>PROJECT_START+61</f>
        <v>46101</v>
      </c>
      <c r="BR4" s="28">
        <f>PROJECT_START+62</f>
        <v>46102</v>
      </c>
      <c r="BS4" s="28">
        <f>PROJECT_START+63</f>
        <v>46103</v>
      </c>
      <c r="BT4" s="28">
        <f>PROJECT_START+64</f>
        <v>46104</v>
      </c>
      <c r="BU4" s="28">
        <f>PROJECT_START+65</f>
        <v>46105</v>
      </c>
      <c r="BV4" s="28">
        <f>PROJECT_START+66</f>
        <v>46106</v>
      </c>
      <c r="BW4" s="28">
        <f>PROJECT_START+67</f>
        <v>46107</v>
      </c>
      <c r="BX4" s="28">
        <f>PROJECT_START+68</f>
        <v>46108</v>
      </c>
      <c r="BY4" s="28">
        <f>PROJECT_START+69</f>
        <v>46109</v>
      </c>
      <c r="BZ4" s="28">
        <f>PROJECT_START+70</f>
        <v>46110</v>
      </c>
      <c r="CA4" s="28">
        <f>PROJECT_START+71</f>
        <v>46111</v>
      </c>
      <c r="CB4" s="28">
        <f>PROJECT_START+72</f>
        <v>46112</v>
      </c>
      <c r="CC4" s="28">
        <f>PROJECT_START+73</f>
        <v>46113</v>
      </c>
      <c r="CD4" s="28">
        <f>PROJECT_START+74</f>
        <v>46114</v>
      </c>
      <c r="CE4" s="28">
        <f>PROJECT_START+75</f>
        <v>46115</v>
      </c>
      <c r="CF4" s="28">
        <f>PROJECT_START+76</f>
        <v>46116</v>
      </c>
      <c r="CG4" s="28">
        <f>PROJECT_START+77</f>
        <v>46117</v>
      </c>
      <c r="CH4" s="28">
        <f>PROJECT_START+78</f>
        <v>46118</v>
      </c>
      <c r="CI4" s="28">
        <f>PROJECT_START+79</f>
        <v>46119</v>
      </c>
      <c r="CJ4" s="28">
        <f>PROJECT_START+80</f>
        <v>46120</v>
      </c>
      <c r="CK4" s="28">
        <f>PROJECT_START+81</f>
        <v>46121</v>
      </c>
      <c r="CL4" s="28">
        <f>PROJECT_START+82</f>
        <v>46122</v>
      </c>
      <c r="CM4" s="28">
        <f>PROJECT_START+83</f>
        <v>46123</v>
      </c>
      <c r="CN4" s="28">
        <f>PROJECT_START+84</f>
        <v>46124</v>
      </c>
      <c r="CO4" s="28">
        <f>PROJECT_START+85</f>
        <v>46125</v>
      </c>
      <c r="CP4" s="28">
        <f>PROJECT_START+86</f>
        <v>46126</v>
      </c>
      <c r="CQ4" s="28">
        <f>PROJECT_START+87</f>
        <v>46127</v>
      </c>
      <c r="CR4" s="28">
        <f>PROJECT_START+88</f>
        <v>46128</v>
      </c>
      <c r="CS4" s="28">
        <f>PROJECT_START+89</f>
        <v>46129</v>
      </c>
      <c r="CT4" s="28">
        <f>PROJECT_START+90</f>
        <v>46130</v>
      </c>
      <c r="CU4" s="28">
        <f>PROJECT_START+91</f>
        <v>46131</v>
      </c>
      <c r="CV4" s="28">
        <f>PROJECT_START+92</f>
        <v>46132</v>
      </c>
      <c r="CW4" s="28">
        <f>PROJECT_START+93</f>
        <v>46133</v>
      </c>
      <c r="CX4" s="28">
        <f>PROJECT_START+94</f>
        <v>46134</v>
      </c>
      <c r="CY4" s="28">
        <f>PROJECT_START+95</f>
        <v>46135</v>
      </c>
      <c r="CZ4" s="28">
        <f>PROJECT_START+96</f>
        <v>46136</v>
      </c>
      <c r="DA4" s="28">
        <f>PROJECT_START+97</f>
        <v>46137</v>
      </c>
      <c r="DB4" s="28">
        <f>PROJECT_START+98</f>
        <v>46138</v>
      </c>
      <c r="DC4" s="28">
        <f>PROJECT_START+99</f>
        <v>46139</v>
      </c>
      <c r="DD4" s="28">
        <f>PROJECT_START+100</f>
        <v>46140</v>
      </c>
      <c r="DE4" s="28">
        <f>PROJECT_START+101</f>
        <v>46141</v>
      </c>
      <c r="DF4" s="28">
        <f>PROJECT_START+102</f>
        <v>46142</v>
      </c>
      <c r="DG4" s="29">
        <f>PROJECT_START+103</f>
        <v>46143</v>
      </c>
      <c r="DH4" s="29">
        <f>PROJECT_START+104</f>
        <v>46144</v>
      </c>
      <c r="DI4" s="29">
        <f>PROJECT_START+105</f>
        <v>46145</v>
      </c>
      <c r="DJ4" s="29">
        <f>PROJECT_START+106</f>
        <v>46146</v>
      </c>
      <c r="DK4" s="29">
        <f>PROJECT_START+107</f>
        <v>46147</v>
      </c>
      <c r="DL4" s="29">
        <f>PROJECT_START+108</f>
        <v>46148</v>
      </c>
      <c r="DM4" s="29">
        <f>PROJECT_START+109</f>
        <v>46149</v>
      </c>
      <c r="DN4" s="29">
        <f>PROJECT_START+110</f>
        <v>46150</v>
      </c>
      <c r="DO4" s="29">
        <f>PROJECT_START+111</f>
        <v>46151</v>
      </c>
      <c r="DP4" s="29">
        <f>PROJECT_START+112</f>
        <v>46152</v>
      </c>
      <c r="DQ4" s="29">
        <f>PROJECT_START+113</f>
        <v>46153</v>
      </c>
      <c r="DR4" s="29">
        <f>PROJECT_START+114</f>
        <v>46154</v>
      </c>
      <c r="DS4" s="29">
        <f>PROJECT_START+115</f>
        <v>46155</v>
      </c>
      <c r="DT4" s="29">
        <f>PROJECT_START+116</f>
        <v>46156</v>
      </c>
      <c r="DU4" s="29">
        <f>PROJECT_START+117</f>
        <v>46157</v>
      </c>
      <c r="DV4" s="29">
        <f>PROJECT_START+118</f>
        <v>46158</v>
      </c>
      <c r="DW4" s="29">
        <f>PROJECT_START+119</f>
        <v>46159</v>
      </c>
    </row>
    <row r="5" spans="1:127">
      <c r="A5" s="14" t="str">
        <f>Schedule_Data_Mammoet_Alt!A6</f>
        <v>MOBILIZATION</v>
      </c>
      <c r="B5" s="14" t="str">
        <f>Schedule_Data_Mammoet_Alt!B6</f>
        <v>A0</v>
      </c>
      <c r="C5" s="14" t="str">
        <f>Schedule_Data_Mammoet_Alt!C6</f>
        <v>MOBILIZATION</v>
      </c>
      <c r="D5" s="15" t="str">
        <f>Schedule_Data_Mammoet_Alt!D6</f>
        <v>MOBILIZATION</v>
      </c>
      <c r="E5" s="30">
        <f>Schedule_Data_Mammoet_Alt!F6</f>
        <v>46035</v>
      </c>
      <c r="F5" s="30">
        <f>Schedule_Data_Mammoet_Alt!G6</f>
        <v>46035</v>
      </c>
      <c r="G5" s="14">
        <f>Schedule_Data_Mammoet_Alt!H6</f>
        <v>0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Schedule_Data_Mammoet_Alt!A7</f>
        <v>SPMT</v>
      </c>
      <c r="B6" s="14" t="str">
        <f>Schedule_Data_Mammoet_Alt!B7</f>
        <v>A0</v>
      </c>
      <c r="C6" s="14" t="str">
        <f>Schedule_Data_Mammoet_Alt!C7</f>
        <v>SPMT</v>
      </c>
      <c r="D6" s="17" t="str">
        <f>Schedule_Data_Mammoet_Alt!D7</f>
        <v>BUFFER</v>
      </c>
      <c r="E6" s="30">
        <f>Schedule_Data_Mammoet_Alt!F7</f>
        <v>46035</v>
      </c>
      <c r="F6" s="30">
        <f>Schedule_Data_Mammoet_Alt!G7</f>
        <v>46035</v>
      </c>
      <c r="G6" s="14">
        <f>Schedule_Data_Mammoet_Alt!H7</f>
        <v>0</v>
      </c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Schedule_Data_Mammoet_Alt!A8</f>
        <v>A1000</v>
      </c>
      <c r="B7" s="14" t="str">
        <f>Schedule_Data_Mammoet_Alt!B8</f>
        <v>A0</v>
      </c>
      <c r="C7" s="14" t="str">
        <f>Schedule_Data_Mammoet_Alt!C8</f>
        <v>Mobilization of SPMTs; Assembly + Function Test</v>
      </c>
      <c r="D7" s="15" t="str">
        <f>Schedule_Data_Mammoet_Alt!D8</f>
        <v>MOBILIZATION</v>
      </c>
      <c r="E7" s="30">
        <f>Schedule_Data_Mammoet_Alt!F8</f>
        <v>46034</v>
      </c>
      <c r="F7" s="30">
        <f>Schedule_Data_Mammoet_Alt!G8</f>
        <v>46037</v>
      </c>
      <c r="G7" s="14">
        <f>Schedule_Data_Mammoet_Alt!H8</f>
        <v>3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Schedule_Data_Mammoet_Alt!A9</f>
        <v>MARINE</v>
      </c>
      <c r="B8" s="14" t="str">
        <f>Schedule_Data_Mammoet_Alt!B9</f>
        <v>A0</v>
      </c>
      <c r="C8" s="14" t="str">
        <f>Schedule_Data_Mammoet_Alt!C9</f>
        <v>MARINE</v>
      </c>
      <c r="D8" s="17" t="str">
        <f>Schedule_Data_Mammoet_Alt!D9</f>
        <v>BUFFER</v>
      </c>
      <c r="E8" s="30">
        <f>Schedule_Data_Mammoet_Alt!F9</f>
        <v>46035</v>
      </c>
      <c r="F8" s="30">
        <f>Schedule_Data_Mammoet_Alt!G9</f>
        <v>46035</v>
      </c>
      <c r="G8" s="14">
        <f>Schedule_Data_Mammoet_Alt!H9</f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Schedule_Data_Mammoet_Alt!A10</f>
        <v>A1001</v>
      </c>
      <c r="B9" s="14" t="str">
        <f>Schedule_Data_Mammoet_Alt!B10</f>
        <v>A0</v>
      </c>
      <c r="C9" s="14" t="str">
        <f>Schedule_Data_Mammoet_Alt!C10</f>
        <v>Mobilization of Marine Equipment and Steelworks</v>
      </c>
      <c r="D9" s="15" t="str">
        <f>Schedule_Data_Mammoet_Alt!D10</f>
        <v>MOBILIZATION</v>
      </c>
      <c r="E9" s="30">
        <f>Schedule_Data_Mammoet_Alt!F10</f>
        <v>46034</v>
      </c>
      <c r="F9" s="30">
        <f>Schedule_Data_Mammoet_Alt!G10</f>
        <v>46034</v>
      </c>
      <c r="G9" s="14">
        <f>Schedule_Data_Mammoet_Alt!H10</f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Schedule_Data_Mammoet_Alt!A11</f>
        <v>OPERATIONAL</v>
      </c>
      <c r="B10" s="14" t="str">
        <f>Schedule_Data_Mammoet_Alt!B11</f>
        <v>A0</v>
      </c>
      <c r="C10" s="14" t="str">
        <f>Schedule_Data_Mammoet_Alt!C11</f>
        <v>OPERATIONAL</v>
      </c>
      <c r="D10" s="17" t="str">
        <f>Schedule_Data_Mammoet_Alt!D11</f>
        <v>BUFFER</v>
      </c>
      <c r="E10" s="30">
        <f>Schedule_Data_Mammoet_Alt!F11</f>
        <v>46091</v>
      </c>
      <c r="F10" s="30">
        <f>Schedule_Data_Mammoet_Alt!G11</f>
        <v>46091</v>
      </c>
      <c r="G10" s="14">
        <f>Schedule_Data_Mammoet_Alt!H11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7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Schedule_Data_Mammoet_Alt!A12</f>
        <v>Beam Replacement</v>
      </c>
      <c r="B11" s="14" t="str">
        <f>Schedule_Data_Mammoet_Alt!B12</f>
        <v>A0</v>
      </c>
      <c r="C11" s="14" t="str">
        <f>Schedule_Data_Mammoet_Alt!C12</f>
        <v>Beam Replacement</v>
      </c>
      <c r="D11" s="17" t="str">
        <f>Schedule_Data_Mammoet_Alt!D12</f>
        <v>BUFFER</v>
      </c>
      <c r="E11" s="30">
        <f>Schedule_Data_Mammoet_Alt!F12</f>
        <v>46036</v>
      </c>
      <c r="F11" s="30">
        <f>Schedule_Data_Mammoet_Alt!G12</f>
        <v>46036</v>
      </c>
      <c r="G11" s="14">
        <f>Schedule_Data_Mammoet_Alt!H12</f>
        <v>0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Schedule_Data_Mammoet_Alt!A13</f>
        <v>A1002</v>
      </c>
      <c r="B12" s="14" t="str">
        <f>Schedule_Data_Mammoet_Alt!B13</f>
        <v>A0</v>
      </c>
      <c r="C12" s="14" t="str">
        <f>Schedule_Data_Mammoet_Alt!C13</f>
        <v>Beam Replacement AGI TR Unit 1 (TR Bay 4) - Two 5t forklifts required</v>
      </c>
      <c r="D12" s="17" t="str">
        <f>Schedule_Data_Mammoet_Alt!D13</f>
        <v>BUFFER</v>
      </c>
      <c r="E12" s="30">
        <f>Schedule_Data_Mammoet_Alt!F13</f>
        <v>46035</v>
      </c>
      <c r="F12" s="30">
        <f>Schedule_Data_Mammoet_Alt!G13</f>
        <v>46035</v>
      </c>
      <c r="G12" s="14">
        <f>Schedule_Data_Mammoet_Alt!H13</f>
        <v>0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Schedule_Data_Mammoet_Alt!A14</f>
        <v>A1003</v>
      </c>
      <c r="B13" s="14" t="str">
        <f>Schedule_Data_Mammoet_Alt!B14</f>
        <v>A0</v>
      </c>
      <c r="C13" s="14" t="str">
        <f>Schedule_Data_Mammoet_Alt!C14</f>
        <v>Beam Replacement AGI TR Unit 2 (TR Bay 3) - Two 5t forklifts required</v>
      </c>
      <c r="D13" s="17" t="str">
        <f>Schedule_Data_Mammoet_Alt!D14</f>
        <v>BUFFER</v>
      </c>
      <c r="E13" s="30">
        <f>Schedule_Data_Mammoet_Alt!F14</f>
        <v>46036</v>
      </c>
      <c r="F13" s="30">
        <f>Schedule_Data_Mammoet_Alt!G14</f>
        <v>46036</v>
      </c>
      <c r="G13" s="14">
        <f>Schedule_Data_Mammoet_Alt!H14</f>
        <v>0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Schedule_Data_Mammoet_Alt!A15</f>
        <v>Deck Preparations</v>
      </c>
      <c r="B14" s="14" t="str">
        <f>Schedule_Data_Mammoet_Alt!B15</f>
        <v>A0</v>
      </c>
      <c r="C14" s="14" t="str">
        <f>Schedule_Data_Mammoet_Alt!C15</f>
        <v>Deck Preparations</v>
      </c>
      <c r="D14" s="18" t="str">
        <f>Schedule_Data_Mammoet_Alt!D15</f>
        <v>DECK_PREP</v>
      </c>
      <c r="E14" s="30">
        <f>Schedule_Data_Mammoet_Alt!F15</f>
        <v>46038</v>
      </c>
      <c r="F14" s="30">
        <f>Schedule_Data_Mammoet_Alt!G15</f>
        <v>46038</v>
      </c>
      <c r="G14" s="14">
        <f>Schedule_Data_Mammoet_Alt!H15</f>
        <v>0</v>
      </c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Schedule_Data_Mammoet_Alt!A16</f>
        <v>A1004</v>
      </c>
      <c r="B15" s="14" t="str">
        <f>Schedule_Data_Mammoet_Alt!B16</f>
        <v>A0</v>
      </c>
      <c r="C15" s="14" t="str">
        <f>Schedule_Data_Mammoet_Alt!C16</f>
        <v>Deck Preparations (D-ring cutting; marking, steel sets installation) - One 5t forklift and Crane required</v>
      </c>
      <c r="D15" s="18" t="str">
        <f>Schedule_Data_Mammoet_Alt!D16</f>
        <v>DECK_PREP</v>
      </c>
      <c r="E15" s="30">
        <f>Schedule_Data_Mammoet_Alt!F16</f>
        <v>46035</v>
      </c>
      <c r="F15" s="30">
        <f>Schedule_Data_Mammoet_Alt!G16</f>
        <v>46035</v>
      </c>
      <c r="G15" s="14">
        <f>Schedule_Data_Mammoet_Alt!H16</f>
        <v>0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Schedule_Data_Mammoet_Alt!A17</f>
        <v>A1005</v>
      </c>
      <c r="B16" s="14" t="str">
        <f>Schedule_Data_Mammoet_Alt!B17</f>
        <v>A0</v>
      </c>
      <c r="C16" s="14" t="str">
        <f>Schedule_Data_Mammoet_Alt!C17</f>
        <v>Deck Preparations (Steel sets installation, welding) - Crane Required for steel sets installation</v>
      </c>
      <c r="D16" s="18" t="str">
        <f>Schedule_Data_Mammoet_Alt!D17</f>
        <v>DECK_PREP</v>
      </c>
      <c r="E16" s="30">
        <f>Schedule_Data_Mammoet_Alt!F17</f>
        <v>46036</v>
      </c>
      <c r="F16" s="30">
        <f>Schedule_Data_Mammoet_Alt!G17</f>
        <v>46038</v>
      </c>
      <c r="G16" s="14">
        <f>Schedule_Data_Mammoet_Alt!H17</f>
        <v>2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Schedule_Data_Mammoet_Alt!A18</f>
        <v>AGI TR Units 1-2</v>
      </c>
      <c r="B17" s="14" t="str">
        <f>Schedule_Data_Mammoet_Alt!B18</f>
        <v>A0</v>
      </c>
      <c r="C17" s="14" t="str">
        <f>Schedule_Data_Mammoet_Alt!C18</f>
        <v>AGI TR Units 1-2</v>
      </c>
      <c r="D17" s="17" t="str">
        <f>Schedule_Data_Mammoet_Alt!D18</f>
        <v>BUFFER</v>
      </c>
      <c r="E17" s="30">
        <f>Schedule_Data_Mammoet_Alt!F18</f>
        <v>46056</v>
      </c>
      <c r="F17" s="30">
        <f>Schedule_Data_Mammoet_Alt!G18</f>
        <v>46056</v>
      </c>
      <c r="G17" s="14">
        <f>Schedule_Data_Mammoet_Alt!H18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7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Schedule_Data_Mammoet_Alt!A19</f>
        <v>A1030</v>
      </c>
      <c r="B18" s="14" t="str">
        <f>Schedule_Data_Mammoet_Alt!B19</f>
        <v>A0</v>
      </c>
      <c r="C18" s="14" t="str">
        <f>Schedule_Data_Mammoet_Alt!C19</f>
        <v>Loading of AGI TR Unit 1 on SPMT; lashing; Shifting to Mina Zayed Port RoRo Jetty area</v>
      </c>
      <c r="D18" s="17" t="str">
        <f>Schedule_Data_Mammoet_Alt!D19</f>
        <v>BUFFER</v>
      </c>
      <c r="E18" s="30">
        <f>Schedule_Data_Mammoet_Alt!F19</f>
        <v>46045</v>
      </c>
      <c r="F18" s="30">
        <f>Schedule_Data_Mammoet_Alt!G19</f>
        <v>46045.3</v>
      </c>
      <c r="G18" s="14">
        <f>Schedule_Data_Mammoet_Alt!H19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Schedule_Data_Mammoet_Alt!A20</f>
        <v>A1040</v>
      </c>
      <c r="B19" s="14" t="str">
        <f>Schedule_Data_Mammoet_Alt!B20</f>
        <v>A0</v>
      </c>
      <c r="C19" s="14" t="str">
        <f>Schedule_Data_Mammoet_Alt!C20</f>
        <v>RoRo Ramp Installation - 5t Forklift and Crane required</v>
      </c>
      <c r="D19" s="17" t="str">
        <f>Schedule_Data_Mammoet_Alt!D20</f>
        <v>BUFFER</v>
      </c>
      <c r="E19" s="30">
        <f>Schedule_Data_Mammoet_Alt!F20</f>
        <v>46045</v>
      </c>
      <c r="F19" s="30">
        <f>Schedule_Data_Mammoet_Alt!G20</f>
        <v>46045.3</v>
      </c>
      <c r="G19" s="14">
        <f>Schedule_Data_Mammoet_Alt!H20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Schedule_Data_Mammoet_Alt!A21</f>
        <v>A1060</v>
      </c>
      <c r="B20" s="14" t="str">
        <f>Schedule_Data_Mammoet_Alt!B21</f>
        <v>A0</v>
      </c>
      <c r="C20" s="14" t="str">
        <f>Schedule_Data_Mammoet_Alt!C21</f>
        <v>Load-out of AGI TR Unit 1; stool down</v>
      </c>
      <c r="D20" s="19" t="str">
        <f>Schedule_Data_Mammoet_Alt!D21</f>
        <v>LOADOUT</v>
      </c>
      <c r="E20" s="30">
        <f>Schedule_Data_Mammoet_Alt!F21</f>
        <v>46045</v>
      </c>
      <c r="F20" s="30">
        <f>Schedule_Data_Mammoet_Alt!G21</f>
        <v>46045.2</v>
      </c>
      <c r="G20" s="14">
        <f>Schedule_Data_Mammoet_Alt!H21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Schedule_Data_Mammoet_Alt!A22</f>
        <v>A1070</v>
      </c>
      <c r="B21" s="14" t="str">
        <f>Schedule_Data_Mammoet_Alt!B22</f>
        <v>A0</v>
      </c>
      <c r="C21" s="14" t="str">
        <f>Schedule_Data_Mammoet_Alt!C22</f>
        <v>RoRo ramp removal; Seafastening AGI TR Unit 1 - Crane required</v>
      </c>
      <c r="D21" s="20" t="str">
        <f>Schedule_Data_Mammoet_Alt!D22</f>
        <v>SEAFAST</v>
      </c>
      <c r="E21" s="30">
        <f>Schedule_Data_Mammoet_Alt!F22</f>
        <v>46045</v>
      </c>
      <c r="F21" s="30">
        <f>Schedule_Data_Mammoet_Alt!G22</f>
        <v>46045</v>
      </c>
      <c r="G21" s="14">
        <f>Schedule_Data_Mammoet_Alt!H22</f>
        <v>0</v>
      </c>
      <c r="H21" s="14"/>
      <c r="I21" s="14"/>
      <c r="J21" s="14"/>
      <c r="K21" s="14"/>
      <c r="L21" s="14"/>
      <c r="M21" s="20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Schedule_Data_Mammoet_Alt!A23</f>
        <v>A1071</v>
      </c>
      <c r="B22" s="14" t="str">
        <f>Schedule_Data_Mammoet_Alt!B23</f>
        <v>A0</v>
      </c>
      <c r="C22" s="14" t="str">
        <f>Schedule_Data_Mammoet_Alt!C23</f>
        <v>Loading of AGI TR Unit 2 on SPMT</v>
      </c>
      <c r="D22" s="17" t="str">
        <f>Schedule_Data_Mammoet_Alt!D23</f>
        <v>BUFFER</v>
      </c>
      <c r="E22" s="30">
        <f>Schedule_Data_Mammoet_Alt!F23</f>
        <v>46045</v>
      </c>
      <c r="F22" s="30">
        <f>Schedule_Data_Mammoet_Alt!G23</f>
        <v>46045</v>
      </c>
      <c r="G22" s="14">
        <f>Schedule_Data_Mammoet_Alt!H23</f>
        <v>0</v>
      </c>
      <c r="H22" s="14"/>
      <c r="I22" s="14"/>
      <c r="J22" s="14"/>
      <c r="K22" s="14"/>
      <c r="L22" s="14"/>
      <c r="M22" s="1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Schedule_Data_Mammoet_Alt!A24</f>
        <v>A1072</v>
      </c>
      <c r="B23" s="14" t="str">
        <f>Schedule_Data_Mammoet_Alt!B24</f>
        <v>A0</v>
      </c>
      <c r="C23" s="14" t="str">
        <f>Schedule_Data_Mammoet_Alt!C24</f>
        <v>Shifting of AGI TR Unit 2 to Jetty area</v>
      </c>
      <c r="D23" s="17" t="str">
        <f>Schedule_Data_Mammoet_Alt!D24</f>
        <v>BUFFER</v>
      </c>
      <c r="E23" s="30">
        <f>Schedule_Data_Mammoet_Alt!F24</f>
        <v>46046</v>
      </c>
      <c r="F23" s="30">
        <f>Schedule_Data_Mammoet_Alt!G24</f>
        <v>46046.05</v>
      </c>
      <c r="G23" s="14">
        <f>Schedule_Data_Mammoet_Alt!H24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Schedule_Data_Mammoet_Alt!A25</f>
        <v>A1073</v>
      </c>
      <c r="B24" s="14" t="str">
        <f>Schedule_Data_Mammoet_Alt!B25</f>
        <v>A0</v>
      </c>
      <c r="C24" s="14" t="str">
        <f>Schedule_Data_Mammoet_Alt!C25</f>
        <v>RoRo Ramp Installation - Crane required</v>
      </c>
      <c r="D24" s="17" t="str">
        <f>Schedule_Data_Mammoet_Alt!D25</f>
        <v>BUFFER</v>
      </c>
      <c r="E24" s="30">
        <f>Schedule_Data_Mammoet_Alt!F25</f>
        <v>46046</v>
      </c>
      <c r="F24" s="30">
        <f>Schedule_Data_Mammoet_Alt!G25</f>
        <v>46046.3</v>
      </c>
      <c r="G24" s="14">
        <f>Schedule_Data_Mammoet_Alt!H25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Schedule_Data_Mammoet_Alt!A26</f>
        <v>A1074</v>
      </c>
      <c r="B25" s="14" t="str">
        <f>Schedule_Data_Mammoet_Alt!B26</f>
        <v>A0</v>
      </c>
      <c r="C25" s="14" t="str">
        <f>Schedule_Data_Mammoet_Alt!C26</f>
        <v>Load-out of AGI TR Unit 2; stoold down; securing of SPMT</v>
      </c>
      <c r="D25" s="19" t="str">
        <f>Schedule_Data_Mammoet_Alt!D26</f>
        <v>LOADOUT</v>
      </c>
      <c r="E25" s="30">
        <f>Schedule_Data_Mammoet_Alt!F26</f>
        <v>46046</v>
      </c>
      <c r="F25" s="30">
        <f>Schedule_Data_Mammoet_Alt!G26</f>
        <v>46046.3</v>
      </c>
      <c r="G25" s="14">
        <f>Schedule_Data_Mammoet_Alt!H26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Schedule_Data_Mammoet_Alt!A27</f>
        <v>A1075</v>
      </c>
      <c r="B26" s="14" t="str">
        <f>Schedule_Data_Mammoet_Alt!B27</f>
        <v>A0</v>
      </c>
      <c r="C26" s="14" t="str">
        <f>Schedule_Data_Mammoet_Alt!C27</f>
        <v>Removal of RoRo Ramp; Sea fastening AGI TR Unit 2 - Crane required</v>
      </c>
      <c r="D26" s="20" t="str">
        <f>Schedule_Data_Mammoet_Alt!D27</f>
        <v>SEAFAST</v>
      </c>
      <c r="E26" s="30">
        <f>Schedule_Data_Mammoet_Alt!F27</f>
        <v>46046</v>
      </c>
      <c r="F26" s="30">
        <f>Schedule_Data_Mammoet_Alt!G27</f>
        <v>46046</v>
      </c>
      <c r="G26" s="14">
        <f>Schedule_Data_Mammoet_Alt!H27</f>
        <v>0</v>
      </c>
      <c r="H26" s="14"/>
      <c r="I26" s="14"/>
      <c r="J26" s="14"/>
      <c r="K26" s="14"/>
      <c r="L26" s="14"/>
      <c r="M26" s="14"/>
      <c r="N26" s="20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Schedule_Data_Mammoet_Alt!A28</f>
        <v>A1080</v>
      </c>
      <c r="B27" s="14" t="str">
        <f>Schedule_Data_Mammoet_Alt!B28</f>
        <v>A0</v>
      </c>
      <c r="C27" s="14" t="str">
        <f>Schedule_Data_Mammoet_Alt!C28</f>
        <v>MWS + MPI + Final Preparations</v>
      </c>
      <c r="D27" s="17" t="str">
        <f>Schedule_Data_Mammoet_Alt!D28</f>
        <v>BUFFER</v>
      </c>
      <c r="E27" s="30">
        <f>Schedule_Data_Mammoet_Alt!F28</f>
        <v>46047</v>
      </c>
      <c r="F27" s="30">
        <f>Schedule_Data_Mammoet_Alt!G28</f>
        <v>46047.199999999997</v>
      </c>
      <c r="G27" s="14">
        <f>Schedule_Data_Mammoet_Alt!H28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Schedule_Data_Mammoet_Alt!A29</f>
        <v>A1081</v>
      </c>
      <c r="B28" s="14" t="str">
        <f>Schedule_Data_Mammoet_Alt!B29</f>
        <v>A0</v>
      </c>
      <c r="C28" s="14" t="str">
        <f>Schedule_Data_Mammoet_Alt!C29</f>
        <v>Sail-away - Marine Transportation by LCT to Al Ghallan Island</v>
      </c>
      <c r="D28" s="21" t="str">
        <f>Schedule_Data_Mammoet_Alt!D29</f>
        <v>SAIL</v>
      </c>
      <c r="E28" s="30">
        <f>Schedule_Data_Mammoet_Alt!F29</f>
        <v>46048</v>
      </c>
      <c r="F28" s="30">
        <f>Schedule_Data_Mammoet_Alt!G29</f>
        <v>46048</v>
      </c>
      <c r="G28" s="14">
        <f>Schedule_Data_Mammoet_Alt!H29</f>
        <v>0</v>
      </c>
      <c r="H28" s="14"/>
      <c r="I28" s="14"/>
      <c r="J28" s="14"/>
      <c r="K28" s="14"/>
      <c r="L28" s="14"/>
      <c r="M28" s="14"/>
      <c r="N28" s="14"/>
      <c r="O28" s="14"/>
      <c r="P28" s="21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Schedule_Data_Mammoet_Alt!A30</f>
        <v>A1090</v>
      </c>
      <c r="B29" s="14" t="str">
        <f>Schedule_Data_Mammoet_Alt!B30</f>
        <v>A0</v>
      </c>
      <c r="C29" s="14" t="str">
        <f>Schedule_Data_Mammoet_Alt!C30</f>
        <v>MMT Crew Mob to AGI</v>
      </c>
      <c r="D29" s="17" t="str">
        <f>Schedule_Data_Mammoet_Alt!D30</f>
        <v>BUFFER</v>
      </c>
      <c r="E29" s="30">
        <f>Schedule_Data_Mammoet_Alt!F30</f>
        <v>46049</v>
      </c>
      <c r="F29" s="30">
        <f>Schedule_Data_Mammoet_Alt!G30</f>
        <v>46049</v>
      </c>
      <c r="G29" s="14">
        <f>Schedule_Data_Mammoet_Alt!H30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Schedule_Data_Mammoet_Alt!A31</f>
        <v>A1091</v>
      </c>
      <c r="B30" s="14" t="str">
        <f>Schedule_Data_Mammoet_Alt!B31</f>
        <v>A0</v>
      </c>
      <c r="C30" s="14" t="str">
        <f>Schedule_Data_Mammoet_Alt!C31</f>
        <v>LCT Arrival; Berthing at AGI RoRo Jetty</v>
      </c>
      <c r="D30" s="22" t="str">
        <f>Schedule_Data_Mammoet_Alt!D31</f>
        <v>AGI_UNLOAD</v>
      </c>
      <c r="E30" s="30">
        <f>Schedule_Data_Mammoet_Alt!F31</f>
        <v>46049</v>
      </c>
      <c r="F30" s="30">
        <f>Schedule_Data_Mammoet_Alt!G31</f>
        <v>46049</v>
      </c>
      <c r="G30" s="14">
        <f>Schedule_Data_Mammoet_Alt!H31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22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Schedule_Data_Mammoet_Alt!A32</f>
        <v>A1100</v>
      </c>
      <c r="B31" s="14" t="str">
        <f>Schedule_Data_Mammoet_Alt!B32</f>
        <v>A0</v>
      </c>
      <c r="C31" s="14" t="str">
        <f>Schedule_Data_Mammoet_Alt!C32</f>
        <v>Unlashing and cutting</v>
      </c>
      <c r="D31" s="17" t="str">
        <f>Schedule_Data_Mammoet_Alt!D32</f>
        <v>BUFFER</v>
      </c>
      <c r="E31" s="30">
        <f>Schedule_Data_Mammoet_Alt!F32</f>
        <v>46049</v>
      </c>
      <c r="F31" s="30">
        <f>Schedule_Data_Mammoet_Alt!G32</f>
        <v>46049</v>
      </c>
      <c r="G31" s="14">
        <f>Schedule_Data_Mammoet_Alt!H32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Schedule_Data_Mammoet_Alt!A33</f>
        <v>A1110</v>
      </c>
      <c r="B32" s="14" t="str">
        <f>Schedule_Data_Mammoet_Alt!B33</f>
        <v>A0</v>
      </c>
      <c r="C32" s="14" t="str">
        <f>Schedule_Data_Mammoet_Alt!C33</f>
        <v>Load-in of AGI TR Unit 2 (including RoRo Ramp Installation); store on Jetty - Crane required</v>
      </c>
      <c r="D32" s="19" t="str">
        <f>Schedule_Data_Mammoet_Alt!D33</f>
        <v>LOADOUT</v>
      </c>
      <c r="E32" s="30">
        <f>Schedule_Data_Mammoet_Alt!F33</f>
        <v>46050</v>
      </c>
      <c r="F32" s="30">
        <f>Schedule_Data_Mammoet_Alt!G33</f>
        <v>46050</v>
      </c>
      <c r="G32" s="14">
        <f>Schedule_Data_Mammoet_Alt!H33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9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Schedule_Data_Mammoet_Alt!A34</f>
        <v>A1120</v>
      </c>
      <c r="B33" s="14" t="str">
        <f>Schedule_Data_Mammoet_Alt!B34</f>
        <v>A0</v>
      </c>
      <c r="C33" s="14" t="str">
        <f>Schedule_Data_Mammoet_Alt!C34</f>
        <v>Load-in of AGI TR Unit 1 (including RoRo Ramp Installation); store on Jetty - Crane required</v>
      </c>
      <c r="D33" s="19" t="str">
        <f>Schedule_Data_Mammoet_Alt!D34</f>
        <v>LOADOUT</v>
      </c>
      <c r="E33" s="30">
        <f>Schedule_Data_Mammoet_Alt!F34</f>
        <v>46049</v>
      </c>
      <c r="F33" s="30">
        <f>Schedule_Data_Mammoet_Alt!G34</f>
        <v>46049</v>
      </c>
      <c r="G33" s="14">
        <f>Schedule_Data_Mammoet_Alt!H34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9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Schedule_Data_Mammoet_Alt!A35</f>
        <v>A1121</v>
      </c>
      <c r="B34" s="14" t="str">
        <f>Schedule_Data_Mammoet_Alt!B35</f>
        <v>A0</v>
      </c>
      <c r="C34" s="14" t="str">
        <f>Schedule_Data_Mammoet_Alt!C35</f>
        <v>Steel bridge Installation 1</v>
      </c>
      <c r="D34" s="17" t="str">
        <f>Schedule_Data_Mammoet_Alt!D35</f>
        <v>BUFFER</v>
      </c>
      <c r="E34" s="30">
        <f>Schedule_Data_Mammoet_Alt!F35</f>
        <v>46051</v>
      </c>
      <c r="F34" s="30">
        <f>Schedule_Data_Mammoet_Alt!G35</f>
        <v>46051.3</v>
      </c>
      <c r="G34" s="14">
        <f>Schedule_Data_Mammoet_Alt!H35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Schedule_Data_Mammoet_Alt!A36</f>
        <v>A1140</v>
      </c>
      <c r="B35" s="14" t="str">
        <f>Schedule_Data_Mammoet_Alt!B36</f>
        <v>A0</v>
      </c>
      <c r="C35" s="14" t="str">
        <f>Schedule_Data_Mammoet_Alt!C36</f>
        <v>AGI TR Unit 1 load on SPMT</v>
      </c>
      <c r="D35" s="17" t="str">
        <f>Schedule_Data_Mammoet_Alt!D36</f>
        <v>BUFFER</v>
      </c>
      <c r="E35" s="30">
        <f>Schedule_Data_Mammoet_Alt!F36</f>
        <v>46051</v>
      </c>
      <c r="F35" s="30">
        <f>Schedule_Data_Mammoet_Alt!G36</f>
        <v>46051.7</v>
      </c>
      <c r="G35" s="14">
        <f>Schedule_Data_Mammoet_Alt!H36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Schedule_Data_Mammoet_Alt!A37</f>
        <v>A1141</v>
      </c>
      <c r="B36" s="14" t="str">
        <f>Schedule_Data_Mammoet_Alt!B37</f>
        <v>A0</v>
      </c>
      <c r="C36" s="14" t="str">
        <f>Schedule_Data_Mammoet_Alt!C37</f>
        <v>Turning of AGI TR Unit 1 - 10t Forklift required</v>
      </c>
      <c r="D36" s="23" t="str">
        <f>Schedule_Data_Mammoet_Alt!D37</f>
        <v>TURNING</v>
      </c>
      <c r="E36" s="30">
        <f>Schedule_Data_Mammoet_Alt!F37</f>
        <v>46051</v>
      </c>
      <c r="F36" s="30">
        <f>Schedule_Data_Mammoet_Alt!G37</f>
        <v>46051</v>
      </c>
      <c r="G36" s="14">
        <f>Schedule_Data_Mammoet_Alt!H37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23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Schedule_Data_Mammoet_Alt!A38</f>
        <v>A1150</v>
      </c>
      <c r="B37" s="14" t="str">
        <f>Schedule_Data_Mammoet_Alt!B38</f>
        <v>A0</v>
      </c>
      <c r="C37" s="14" t="str">
        <f>Schedule_Data_Mammoet_Alt!C38</f>
        <v>Jacking down of AGI TR Unit 1 on temporary support - Forklift required</v>
      </c>
      <c r="D37" s="31" t="str">
        <f>Schedule_Data_Mammoet_Alt!D38</f>
        <v>JACKDOWN</v>
      </c>
      <c r="E37" s="30">
        <f>Schedule_Data_Mammoet_Alt!F38</f>
        <v>46054</v>
      </c>
      <c r="F37" s="30">
        <f>Schedule_Data_Mammoet_Alt!G38</f>
        <v>46054</v>
      </c>
      <c r="G37" s="14">
        <f>Schedule_Data_Mammoet_Alt!H38</f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31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Schedule_Data_Mammoet_Alt!A39</f>
        <v>A1160</v>
      </c>
      <c r="B38" s="14" t="str">
        <f>Schedule_Data_Mammoet_Alt!B39</f>
        <v>A0</v>
      </c>
      <c r="C38" s="14" t="str">
        <f>Schedule_Data_Mammoet_Alt!C39</f>
        <v>Steel bridge Installation 2</v>
      </c>
      <c r="D38" s="17" t="str">
        <f>Schedule_Data_Mammoet_Alt!D39</f>
        <v>BUFFER</v>
      </c>
      <c r="E38" s="30">
        <f>Schedule_Data_Mammoet_Alt!F39</f>
        <v>46054</v>
      </c>
      <c r="F38" s="30">
        <f>Schedule_Data_Mammoet_Alt!G39</f>
        <v>46054.3</v>
      </c>
      <c r="G38" s="14">
        <f>Schedule_Data_Mammoet_Alt!H39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Schedule_Data_Mammoet_Alt!A40</f>
        <v>A1170</v>
      </c>
      <c r="B39" s="14" t="str">
        <f>Schedule_Data_Mammoet_Alt!B40</f>
        <v>A0</v>
      </c>
      <c r="C39" s="14" t="str">
        <f>Schedule_Data_Mammoet_Alt!C40</f>
        <v>AGI TR Unit 2 load on SPMT</v>
      </c>
      <c r="D39" s="17" t="str">
        <f>Schedule_Data_Mammoet_Alt!D40</f>
        <v>BUFFER</v>
      </c>
      <c r="E39" s="30">
        <f>Schedule_Data_Mammoet_Alt!F40</f>
        <v>46054</v>
      </c>
      <c r="F39" s="30">
        <f>Schedule_Data_Mammoet_Alt!G40</f>
        <v>46054.7</v>
      </c>
      <c r="G39" s="14">
        <f>Schedule_Data_Mammoet_Alt!H40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Schedule_Data_Mammoet_Alt!A41</f>
        <v>A1180</v>
      </c>
      <c r="B40" s="14" t="str">
        <f>Schedule_Data_Mammoet_Alt!B41</f>
        <v>A0</v>
      </c>
      <c r="C40" s="14" t="str">
        <f>Schedule_Data_Mammoet_Alt!C41</f>
        <v>Turning of AGI TR Unit 2 - 10t Forklift required</v>
      </c>
      <c r="D40" s="23" t="str">
        <f>Schedule_Data_Mammoet_Alt!D41</f>
        <v>TURNING</v>
      </c>
      <c r="E40" s="30">
        <f>Schedule_Data_Mammoet_Alt!F41</f>
        <v>46055</v>
      </c>
      <c r="F40" s="30">
        <f>Schedule_Data_Mammoet_Alt!G41</f>
        <v>46055</v>
      </c>
      <c r="G40" s="14">
        <f>Schedule_Data_Mammoet_Alt!H41</f>
        <v>0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23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Schedule_Data_Mammoet_Alt!A42</f>
        <v>A1190</v>
      </c>
      <c r="B41" s="14" t="str">
        <f>Schedule_Data_Mammoet_Alt!B42</f>
        <v>A0</v>
      </c>
      <c r="C41" s="14" t="str">
        <f>Schedule_Data_Mammoet_Alt!C42</f>
        <v>Jacking down of AGI TR Unit 2 on temporary support - Forklift and Crane required</v>
      </c>
      <c r="D41" s="31" t="str">
        <f>Schedule_Data_Mammoet_Alt!D42</f>
        <v>JACKDOWN</v>
      </c>
      <c r="E41" s="30">
        <f>Schedule_Data_Mammoet_Alt!F42</f>
        <v>46058</v>
      </c>
      <c r="F41" s="30">
        <f>Schedule_Data_Mammoet_Alt!G42</f>
        <v>46058</v>
      </c>
      <c r="G41" s="14">
        <f>Schedule_Data_Mammoet_Alt!H42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1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Schedule_Data_Mammoet_Alt!A43</f>
        <v>A1200</v>
      </c>
      <c r="B42" s="14" t="str">
        <f>Schedule_Data_Mammoet_Alt!B43</f>
        <v>A0</v>
      </c>
      <c r="C42" s="14" t="str">
        <f>Schedule_Data_Mammoet_Alt!C43</f>
        <v>SPMT shifting from TR Bay Area to Jetty; Loading on LCT (if tide allows)</v>
      </c>
      <c r="D42" s="17" t="str">
        <f>Schedule_Data_Mammoet_Alt!D43</f>
        <v>BUFFER</v>
      </c>
      <c r="E42" s="30">
        <f>Schedule_Data_Mammoet_Alt!F43</f>
        <v>46055</v>
      </c>
      <c r="F42" s="30">
        <f>Schedule_Data_Mammoet_Alt!G43</f>
        <v>46055</v>
      </c>
      <c r="G42" s="14">
        <f>Schedule_Data_Mammoet_Alt!H43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Schedule_Data_Mammoet_Alt!A44</f>
        <v>A1210</v>
      </c>
      <c r="B43" s="14" t="str">
        <f>Schedule_Data_Mammoet_Alt!B44</f>
        <v>A0</v>
      </c>
      <c r="C43" s="14" t="str">
        <f>Schedule_Data_Mammoet_Alt!C44</f>
        <v>LCT Sail-away back to Mina Zayed Port; MMT SPMT Crew Demobilization</v>
      </c>
      <c r="D43" s="15" t="str">
        <f>Schedule_Data_Mammoet_Alt!D44</f>
        <v>MOBILIZATION</v>
      </c>
      <c r="E43" s="30">
        <f>Schedule_Data_Mammoet_Alt!F44</f>
        <v>46055</v>
      </c>
      <c r="F43" s="30">
        <f>Schedule_Data_Mammoet_Alt!G44</f>
        <v>46055</v>
      </c>
      <c r="G43" s="14">
        <f>Schedule_Data_Mammoet_Alt!H44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32" t="s">
        <v>272</v>
      </c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Schedule_Data_Mammoet_Alt!A45</f>
        <v>A1220</v>
      </c>
      <c r="B44" s="14" t="str">
        <f>Schedule_Data_Mammoet_Alt!B45</f>
        <v>A0</v>
      </c>
      <c r="C44" s="14" t="str">
        <f>Schedule_Data_Mammoet_Alt!C45</f>
        <v>MMT Jacking Crew Demobilization</v>
      </c>
      <c r="D44" s="15" t="str">
        <f>Schedule_Data_Mammoet_Alt!D45</f>
        <v>MOBILIZATION</v>
      </c>
      <c r="E44" s="30">
        <f>Schedule_Data_Mammoet_Alt!F45</f>
        <v>46056</v>
      </c>
      <c r="F44" s="30">
        <f>Schedule_Data_Mammoet_Alt!G45</f>
        <v>46056</v>
      </c>
      <c r="G44" s="14">
        <f>Schedule_Data_Mammoet_Alt!H45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32" t="s">
        <v>272</v>
      </c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Schedule_Data_Mammoet_Alt!A46</f>
        <v>AGI TR Units 3-4</v>
      </c>
      <c r="B45" s="14" t="str">
        <f>Schedule_Data_Mammoet_Alt!B46</f>
        <v>A0</v>
      </c>
      <c r="C45" s="14" t="str">
        <f>Schedule_Data_Mammoet_Alt!C46</f>
        <v>AGI TR Units 3-4</v>
      </c>
      <c r="D45" s="17" t="str">
        <f>Schedule_Data_Mammoet_Alt!D46</f>
        <v>BUFFER</v>
      </c>
      <c r="E45" s="30">
        <f>Schedule_Data_Mammoet_Alt!F46</f>
        <v>46068</v>
      </c>
      <c r="F45" s="30">
        <f>Schedule_Data_Mammoet_Alt!G46</f>
        <v>46068</v>
      </c>
      <c r="G45" s="14">
        <f>Schedule_Data_Mammoet_Alt!H46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7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Schedule_Data_Mammoet_Alt!A47</f>
        <v>A2030</v>
      </c>
      <c r="B46" s="14" t="str">
        <f>Schedule_Data_Mammoet_Alt!B47</f>
        <v>A0</v>
      </c>
      <c r="C46" s="14" t="str">
        <f>Schedule_Data_Mammoet_Alt!C47</f>
        <v>Loading of AGI TR Unit 3 on SPMT; lashing; Shifting to Mina Zayed Port RoRo Jetty area</v>
      </c>
      <c r="D46" s="17" t="str">
        <f>Schedule_Data_Mammoet_Alt!D47</f>
        <v>BUFFER</v>
      </c>
      <c r="E46" s="30">
        <f>Schedule_Data_Mammoet_Alt!F47</f>
        <v>46057</v>
      </c>
      <c r="F46" s="30">
        <f>Schedule_Data_Mammoet_Alt!G47</f>
        <v>46057.3</v>
      </c>
      <c r="G46" s="14">
        <f>Schedule_Data_Mammoet_Alt!H47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Schedule_Data_Mammoet_Alt!A48</f>
        <v>A2040</v>
      </c>
      <c r="B47" s="14" t="str">
        <f>Schedule_Data_Mammoet_Alt!B48</f>
        <v>A0</v>
      </c>
      <c r="C47" s="14" t="str">
        <f>Schedule_Data_Mammoet_Alt!C48</f>
        <v>RoRo Ramp Installation - 5t Forklift and Crane required</v>
      </c>
      <c r="D47" s="17" t="str">
        <f>Schedule_Data_Mammoet_Alt!D48</f>
        <v>BUFFER</v>
      </c>
      <c r="E47" s="30">
        <f>Schedule_Data_Mammoet_Alt!F48</f>
        <v>46057</v>
      </c>
      <c r="F47" s="30">
        <f>Schedule_Data_Mammoet_Alt!G48</f>
        <v>46057.3</v>
      </c>
      <c r="G47" s="14">
        <f>Schedule_Data_Mammoet_Alt!H48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Schedule_Data_Mammoet_Alt!A49</f>
        <v>A2060</v>
      </c>
      <c r="B48" s="14" t="str">
        <f>Schedule_Data_Mammoet_Alt!B49</f>
        <v>A0</v>
      </c>
      <c r="C48" s="14" t="str">
        <f>Schedule_Data_Mammoet_Alt!C49</f>
        <v>Load-out of AGI TR Unit 3; stool down</v>
      </c>
      <c r="D48" s="19" t="str">
        <f>Schedule_Data_Mammoet_Alt!D49</f>
        <v>LOADOUT</v>
      </c>
      <c r="E48" s="30">
        <f>Schedule_Data_Mammoet_Alt!F49</f>
        <v>46057</v>
      </c>
      <c r="F48" s="30">
        <f>Schedule_Data_Mammoet_Alt!G49</f>
        <v>46057.2</v>
      </c>
      <c r="G48" s="14">
        <f>Schedule_Data_Mammoet_Alt!H49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Schedule_Data_Mammoet_Alt!A50</f>
        <v>A2070</v>
      </c>
      <c r="B49" s="14" t="str">
        <f>Schedule_Data_Mammoet_Alt!B50</f>
        <v>A0</v>
      </c>
      <c r="C49" s="14" t="str">
        <f>Schedule_Data_Mammoet_Alt!C50</f>
        <v>RoRo ramp removal; Seafastening AGI TR Unit 3 - Crane required</v>
      </c>
      <c r="D49" s="20" t="str">
        <f>Schedule_Data_Mammoet_Alt!D50</f>
        <v>SEAFAST</v>
      </c>
      <c r="E49" s="30">
        <f>Schedule_Data_Mammoet_Alt!F50</f>
        <v>46057</v>
      </c>
      <c r="F49" s="30">
        <f>Schedule_Data_Mammoet_Alt!G50</f>
        <v>46057</v>
      </c>
      <c r="G49" s="14">
        <f>Schedule_Data_Mammoet_Alt!H50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20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Schedule_Data_Mammoet_Alt!A51</f>
        <v>A2071</v>
      </c>
      <c r="B50" s="14" t="str">
        <f>Schedule_Data_Mammoet_Alt!B51</f>
        <v>A0</v>
      </c>
      <c r="C50" s="14" t="str">
        <f>Schedule_Data_Mammoet_Alt!C51</f>
        <v>Loading of AGI TR Unit 4 on SPMT</v>
      </c>
      <c r="D50" s="17" t="str">
        <f>Schedule_Data_Mammoet_Alt!D51</f>
        <v>BUFFER</v>
      </c>
      <c r="E50" s="30">
        <f>Schedule_Data_Mammoet_Alt!F51</f>
        <v>46057</v>
      </c>
      <c r="F50" s="30">
        <f>Schedule_Data_Mammoet_Alt!G51</f>
        <v>46057</v>
      </c>
      <c r="G50" s="14">
        <f>Schedule_Data_Mammoet_Alt!H51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7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Schedule_Data_Mammoet_Alt!A52</f>
        <v>A2072</v>
      </c>
      <c r="B51" s="14" t="str">
        <f>Schedule_Data_Mammoet_Alt!B52</f>
        <v>A0</v>
      </c>
      <c r="C51" s="14" t="str">
        <f>Schedule_Data_Mammoet_Alt!C52</f>
        <v>Shifting of AGI TR Unit 4 to Jetty area</v>
      </c>
      <c r="D51" s="17" t="str">
        <f>Schedule_Data_Mammoet_Alt!D52</f>
        <v>BUFFER</v>
      </c>
      <c r="E51" s="30">
        <f>Schedule_Data_Mammoet_Alt!F52</f>
        <v>46058</v>
      </c>
      <c r="F51" s="30">
        <f>Schedule_Data_Mammoet_Alt!G52</f>
        <v>46058.05</v>
      </c>
      <c r="G51" s="14">
        <f>Schedule_Data_Mammoet_Alt!H52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Schedule_Data_Mammoet_Alt!A53</f>
        <v>A2073</v>
      </c>
      <c r="B52" s="14" t="str">
        <f>Schedule_Data_Mammoet_Alt!B53</f>
        <v>A0</v>
      </c>
      <c r="C52" s="14" t="str">
        <f>Schedule_Data_Mammoet_Alt!C53</f>
        <v>RoRo Ramp Installation - Crane required</v>
      </c>
      <c r="D52" s="17" t="str">
        <f>Schedule_Data_Mammoet_Alt!D53</f>
        <v>BUFFER</v>
      </c>
      <c r="E52" s="30">
        <f>Schedule_Data_Mammoet_Alt!F53</f>
        <v>46058</v>
      </c>
      <c r="F52" s="30">
        <f>Schedule_Data_Mammoet_Alt!G53</f>
        <v>46058.3</v>
      </c>
      <c r="G52" s="14">
        <f>Schedule_Data_Mammoet_Alt!H53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Schedule_Data_Mammoet_Alt!A54</f>
        <v>A2074</v>
      </c>
      <c r="B53" s="14" t="str">
        <f>Schedule_Data_Mammoet_Alt!B54</f>
        <v>A0</v>
      </c>
      <c r="C53" s="14" t="str">
        <f>Schedule_Data_Mammoet_Alt!C54</f>
        <v>Load-out of AGI TR Unit 4; stoold down; securing of SPMT</v>
      </c>
      <c r="D53" s="19" t="str">
        <f>Schedule_Data_Mammoet_Alt!D54</f>
        <v>LOADOUT</v>
      </c>
      <c r="E53" s="30">
        <f>Schedule_Data_Mammoet_Alt!F54</f>
        <v>46058</v>
      </c>
      <c r="F53" s="30">
        <f>Schedule_Data_Mammoet_Alt!G54</f>
        <v>46058.3</v>
      </c>
      <c r="G53" s="14">
        <f>Schedule_Data_Mammoet_Alt!H54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Schedule_Data_Mammoet_Alt!A55</f>
        <v>A2075</v>
      </c>
      <c r="B54" s="14" t="str">
        <f>Schedule_Data_Mammoet_Alt!B55</f>
        <v>A0</v>
      </c>
      <c r="C54" s="14" t="str">
        <f>Schedule_Data_Mammoet_Alt!C55</f>
        <v>Removal of RoRo Ramp; Sea fastening AGI TR Unit 4 - Crane required</v>
      </c>
      <c r="D54" s="20" t="str">
        <f>Schedule_Data_Mammoet_Alt!D55</f>
        <v>SEAFAST</v>
      </c>
      <c r="E54" s="30">
        <f>Schedule_Data_Mammoet_Alt!F55</f>
        <v>46058</v>
      </c>
      <c r="F54" s="30">
        <f>Schedule_Data_Mammoet_Alt!G55</f>
        <v>46058</v>
      </c>
      <c r="G54" s="14">
        <f>Schedule_Data_Mammoet_Alt!H55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20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Schedule_Data_Mammoet_Alt!A56</f>
        <v>A2080</v>
      </c>
      <c r="B55" s="14" t="str">
        <f>Schedule_Data_Mammoet_Alt!B56</f>
        <v>A0</v>
      </c>
      <c r="C55" s="14" t="str">
        <f>Schedule_Data_Mammoet_Alt!C56</f>
        <v>MWS + MPI + Final Preparations</v>
      </c>
      <c r="D55" s="17" t="str">
        <f>Schedule_Data_Mammoet_Alt!D56</f>
        <v>BUFFER</v>
      </c>
      <c r="E55" s="30">
        <f>Schedule_Data_Mammoet_Alt!F56</f>
        <v>46059</v>
      </c>
      <c r="F55" s="30">
        <f>Schedule_Data_Mammoet_Alt!G56</f>
        <v>46059.199999999997</v>
      </c>
      <c r="G55" s="14">
        <f>Schedule_Data_Mammoet_Alt!H56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Schedule_Data_Mammoet_Alt!A57</f>
        <v>A2081</v>
      </c>
      <c r="B56" s="14" t="str">
        <f>Schedule_Data_Mammoet_Alt!B57</f>
        <v>A0</v>
      </c>
      <c r="C56" s="14" t="str">
        <f>Schedule_Data_Mammoet_Alt!C57</f>
        <v>Sail-away - Marine Transportation by LCT to Al Ghallan Island</v>
      </c>
      <c r="D56" s="21" t="str">
        <f>Schedule_Data_Mammoet_Alt!D57</f>
        <v>SAIL</v>
      </c>
      <c r="E56" s="30">
        <f>Schedule_Data_Mammoet_Alt!F57</f>
        <v>46060</v>
      </c>
      <c r="F56" s="30">
        <f>Schedule_Data_Mammoet_Alt!G57</f>
        <v>46060</v>
      </c>
      <c r="G56" s="14">
        <f>Schedule_Data_Mammoet_Alt!H57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21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Schedule_Data_Mammoet_Alt!A58</f>
        <v>A2090</v>
      </c>
      <c r="B57" s="14" t="str">
        <f>Schedule_Data_Mammoet_Alt!B58</f>
        <v>A0</v>
      </c>
      <c r="C57" s="14" t="str">
        <f>Schedule_Data_Mammoet_Alt!C58</f>
        <v>MMT Crew Mob to AGI</v>
      </c>
      <c r="D57" s="17" t="str">
        <f>Schedule_Data_Mammoet_Alt!D58</f>
        <v>BUFFER</v>
      </c>
      <c r="E57" s="30">
        <f>Schedule_Data_Mammoet_Alt!F58</f>
        <v>46061</v>
      </c>
      <c r="F57" s="30">
        <f>Schedule_Data_Mammoet_Alt!G58</f>
        <v>46061</v>
      </c>
      <c r="G57" s="14">
        <f>Schedule_Data_Mammoet_Alt!H58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7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Schedule_Data_Mammoet_Alt!A59</f>
        <v>A2091</v>
      </c>
      <c r="B58" s="14" t="str">
        <f>Schedule_Data_Mammoet_Alt!B59</f>
        <v>A0</v>
      </c>
      <c r="C58" s="14" t="str">
        <f>Schedule_Data_Mammoet_Alt!C59</f>
        <v>LCT Arrival; Berthing at AGI RoRo Jetty</v>
      </c>
      <c r="D58" s="22" t="str">
        <f>Schedule_Data_Mammoet_Alt!D59</f>
        <v>AGI_UNLOAD</v>
      </c>
      <c r="E58" s="30">
        <f>Schedule_Data_Mammoet_Alt!F59</f>
        <v>46061</v>
      </c>
      <c r="F58" s="30">
        <f>Schedule_Data_Mammoet_Alt!G59</f>
        <v>46061</v>
      </c>
      <c r="G58" s="14">
        <f>Schedule_Data_Mammoet_Alt!H59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22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Schedule_Data_Mammoet_Alt!A60</f>
        <v>A2100</v>
      </c>
      <c r="B59" s="14" t="str">
        <f>Schedule_Data_Mammoet_Alt!B60</f>
        <v>A0</v>
      </c>
      <c r="C59" s="14" t="str">
        <f>Schedule_Data_Mammoet_Alt!C60</f>
        <v>Unlashing and cutting</v>
      </c>
      <c r="D59" s="17" t="str">
        <f>Schedule_Data_Mammoet_Alt!D60</f>
        <v>BUFFER</v>
      </c>
      <c r="E59" s="30">
        <f>Schedule_Data_Mammoet_Alt!F60</f>
        <v>46061</v>
      </c>
      <c r="F59" s="30">
        <f>Schedule_Data_Mammoet_Alt!G60</f>
        <v>46061</v>
      </c>
      <c r="G59" s="14">
        <f>Schedule_Data_Mammoet_Alt!H60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7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Schedule_Data_Mammoet_Alt!A61</f>
        <v>A2110</v>
      </c>
      <c r="B60" s="14" t="str">
        <f>Schedule_Data_Mammoet_Alt!B61</f>
        <v>A0</v>
      </c>
      <c r="C60" s="14" t="str">
        <f>Schedule_Data_Mammoet_Alt!C61</f>
        <v>Load-in of AGI TR Unit 4 (including RoRo Ramp Installation); store on Jetty - Crane required</v>
      </c>
      <c r="D60" s="19" t="str">
        <f>Schedule_Data_Mammoet_Alt!D61</f>
        <v>LOADOUT</v>
      </c>
      <c r="E60" s="30">
        <f>Schedule_Data_Mammoet_Alt!F61</f>
        <v>46062</v>
      </c>
      <c r="F60" s="30">
        <f>Schedule_Data_Mammoet_Alt!G61</f>
        <v>46062</v>
      </c>
      <c r="G60" s="14">
        <f>Schedule_Data_Mammoet_Alt!H61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9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Schedule_Data_Mammoet_Alt!A62</f>
        <v>A2120</v>
      </c>
      <c r="B61" s="14" t="str">
        <f>Schedule_Data_Mammoet_Alt!B62</f>
        <v>A0</v>
      </c>
      <c r="C61" s="14" t="str">
        <f>Schedule_Data_Mammoet_Alt!C62</f>
        <v>Load-in of AGI TR Unit 3 (including RoRo Ramp Installation); store on Jetty - Crane required</v>
      </c>
      <c r="D61" s="19" t="str">
        <f>Schedule_Data_Mammoet_Alt!D62</f>
        <v>LOADOUT</v>
      </c>
      <c r="E61" s="30">
        <f>Schedule_Data_Mammoet_Alt!F62</f>
        <v>46061</v>
      </c>
      <c r="F61" s="30">
        <f>Schedule_Data_Mammoet_Alt!G62</f>
        <v>46061</v>
      </c>
      <c r="G61" s="14">
        <f>Schedule_Data_Mammoet_Alt!H62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9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Schedule_Data_Mammoet_Alt!A63</f>
        <v>A2121</v>
      </c>
      <c r="B62" s="14" t="str">
        <f>Schedule_Data_Mammoet_Alt!B63</f>
        <v>A0</v>
      </c>
      <c r="C62" s="14" t="str">
        <f>Schedule_Data_Mammoet_Alt!C63</f>
        <v>Steel bridge Installation 1</v>
      </c>
      <c r="D62" s="17" t="str">
        <f>Schedule_Data_Mammoet_Alt!D63</f>
        <v>BUFFER</v>
      </c>
      <c r="E62" s="30">
        <f>Schedule_Data_Mammoet_Alt!F63</f>
        <v>46063</v>
      </c>
      <c r="F62" s="30">
        <f>Schedule_Data_Mammoet_Alt!G63</f>
        <v>46063.3</v>
      </c>
      <c r="G62" s="14">
        <f>Schedule_Data_Mammoet_Alt!H63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Schedule_Data_Mammoet_Alt!A64</f>
        <v>A2140</v>
      </c>
      <c r="B63" s="14" t="str">
        <f>Schedule_Data_Mammoet_Alt!B64</f>
        <v>A0</v>
      </c>
      <c r="C63" s="14" t="str">
        <f>Schedule_Data_Mammoet_Alt!C64</f>
        <v>AGI TR Unit 3 load on SPMT</v>
      </c>
      <c r="D63" s="17" t="str">
        <f>Schedule_Data_Mammoet_Alt!D64</f>
        <v>BUFFER</v>
      </c>
      <c r="E63" s="30">
        <f>Schedule_Data_Mammoet_Alt!F64</f>
        <v>46063</v>
      </c>
      <c r="F63" s="30">
        <f>Schedule_Data_Mammoet_Alt!G64</f>
        <v>46063.7</v>
      </c>
      <c r="G63" s="14">
        <f>Schedule_Data_Mammoet_Alt!H64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Schedule_Data_Mammoet_Alt!A65</f>
        <v>A2141</v>
      </c>
      <c r="B64" s="14" t="str">
        <f>Schedule_Data_Mammoet_Alt!B65</f>
        <v>A0</v>
      </c>
      <c r="C64" s="14" t="str">
        <f>Schedule_Data_Mammoet_Alt!C65</f>
        <v>Turning of AGI TR Unit 3 - 10t Forklift required</v>
      </c>
      <c r="D64" s="23" t="str">
        <f>Schedule_Data_Mammoet_Alt!D65</f>
        <v>TURNING</v>
      </c>
      <c r="E64" s="30">
        <f>Schedule_Data_Mammoet_Alt!F65</f>
        <v>46063</v>
      </c>
      <c r="F64" s="30">
        <f>Schedule_Data_Mammoet_Alt!G65</f>
        <v>46063</v>
      </c>
      <c r="G64" s="14">
        <f>Schedule_Data_Mammoet_Alt!H65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23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Schedule_Data_Mammoet_Alt!A66</f>
        <v>A2150</v>
      </c>
      <c r="B65" s="14" t="str">
        <f>Schedule_Data_Mammoet_Alt!B66</f>
        <v>A0</v>
      </c>
      <c r="C65" s="14" t="str">
        <f>Schedule_Data_Mammoet_Alt!C66</f>
        <v>Jacking down of AGI TR Unit 3 on temporary support - Forklift required</v>
      </c>
      <c r="D65" s="31" t="str">
        <f>Schedule_Data_Mammoet_Alt!D66</f>
        <v>JACKDOWN</v>
      </c>
      <c r="E65" s="30">
        <f>Schedule_Data_Mammoet_Alt!F66</f>
        <v>46066</v>
      </c>
      <c r="F65" s="30">
        <f>Schedule_Data_Mammoet_Alt!G66</f>
        <v>46066</v>
      </c>
      <c r="G65" s="14">
        <f>Schedule_Data_Mammoet_Alt!H66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31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Schedule_Data_Mammoet_Alt!A67</f>
        <v>A2160</v>
      </c>
      <c r="B66" s="14" t="str">
        <f>Schedule_Data_Mammoet_Alt!B67</f>
        <v>A0</v>
      </c>
      <c r="C66" s="14" t="str">
        <f>Schedule_Data_Mammoet_Alt!C67</f>
        <v>Steel bridge Installation 2</v>
      </c>
      <c r="D66" s="17" t="str">
        <f>Schedule_Data_Mammoet_Alt!D67</f>
        <v>BUFFER</v>
      </c>
      <c r="E66" s="30">
        <f>Schedule_Data_Mammoet_Alt!F67</f>
        <v>46066</v>
      </c>
      <c r="F66" s="30">
        <f>Schedule_Data_Mammoet_Alt!G67</f>
        <v>46066.3</v>
      </c>
      <c r="G66" s="14">
        <f>Schedule_Data_Mammoet_Alt!H67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Schedule_Data_Mammoet_Alt!A68</f>
        <v>A2170</v>
      </c>
      <c r="B67" s="14" t="str">
        <f>Schedule_Data_Mammoet_Alt!B68</f>
        <v>A0</v>
      </c>
      <c r="C67" s="14" t="str">
        <f>Schedule_Data_Mammoet_Alt!C68</f>
        <v>AGI TR Unit 4 load on SPMT</v>
      </c>
      <c r="D67" s="17" t="str">
        <f>Schedule_Data_Mammoet_Alt!D68</f>
        <v>BUFFER</v>
      </c>
      <c r="E67" s="30">
        <f>Schedule_Data_Mammoet_Alt!F68</f>
        <v>46066</v>
      </c>
      <c r="F67" s="30">
        <f>Schedule_Data_Mammoet_Alt!G68</f>
        <v>46066.7</v>
      </c>
      <c r="G67" s="14">
        <f>Schedule_Data_Mammoet_Alt!H68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Schedule_Data_Mammoet_Alt!A69</f>
        <v>A2180</v>
      </c>
      <c r="B68" s="14" t="str">
        <f>Schedule_Data_Mammoet_Alt!B69</f>
        <v>A0</v>
      </c>
      <c r="C68" s="14" t="str">
        <f>Schedule_Data_Mammoet_Alt!C69</f>
        <v>Turning of AGI TR Unit 4 - 10t Forklift required</v>
      </c>
      <c r="D68" s="23" t="str">
        <f>Schedule_Data_Mammoet_Alt!D69</f>
        <v>TURNING</v>
      </c>
      <c r="E68" s="30">
        <f>Schedule_Data_Mammoet_Alt!F69</f>
        <v>46067</v>
      </c>
      <c r="F68" s="30">
        <f>Schedule_Data_Mammoet_Alt!G69</f>
        <v>46067</v>
      </c>
      <c r="G68" s="14">
        <f>Schedule_Data_Mammoet_Alt!H69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23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Schedule_Data_Mammoet_Alt!A70</f>
        <v>A2190</v>
      </c>
      <c r="B69" s="14" t="str">
        <f>Schedule_Data_Mammoet_Alt!B70</f>
        <v>A0</v>
      </c>
      <c r="C69" s="14" t="str">
        <f>Schedule_Data_Mammoet_Alt!C70</f>
        <v>Jacking down of AGI TR Unit 4 on temporary support - Forklift and Crane required</v>
      </c>
      <c r="D69" s="31" t="str">
        <f>Schedule_Data_Mammoet_Alt!D70</f>
        <v>JACKDOWN</v>
      </c>
      <c r="E69" s="30">
        <f>Schedule_Data_Mammoet_Alt!F70</f>
        <v>46070</v>
      </c>
      <c r="F69" s="30">
        <f>Schedule_Data_Mammoet_Alt!G70</f>
        <v>46070</v>
      </c>
      <c r="G69" s="14">
        <f>Schedule_Data_Mammoet_Alt!H70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31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Schedule_Data_Mammoet_Alt!A71</f>
        <v>A2200</v>
      </c>
      <c r="B70" s="14" t="str">
        <f>Schedule_Data_Mammoet_Alt!B71</f>
        <v>A0</v>
      </c>
      <c r="C70" s="14" t="str">
        <f>Schedule_Data_Mammoet_Alt!C71</f>
        <v>SPMT shifting from TR Bay Area to Jetty; Loading on LCT (if tide allows)</v>
      </c>
      <c r="D70" s="17" t="str">
        <f>Schedule_Data_Mammoet_Alt!D71</f>
        <v>BUFFER</v>
      </c>
      <c r="E70" s="30">
        <f>Schedule_Data_Mammoet_Alt!F71</f>
        <v>46067</v>
      </c>
      <c r="F70" s="30">
        <f>Schedule_Data_Mammoet_Alt!G71</f>
        <v>46067</v>
      </c>
      <c r="G70" s="14">
        <f>Schedule_Data_Mammoet_Alt!H71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7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Schedule_Data_Mammoet_Alt!A72</f>
        <v>A2210</v>
      </c>
      <c r="B71" s="14" t="str">
        <f>Schedule_Data_Mammoet_Alt!B72</f>
        <v>A0</v>
      </c>
      <c r="C71" s="14" t="str">
        <f>Schedule_Data_Mammoet_Alt!C72</f>
        <v>LCT Sail-away back to Mina Zayed Port; MMT SPMT Crew Demobilization</v>
      </c>
      <c r="D71" s="15" t="str">
        <f>Schedule_Data_Mammoet_Alt!D72</f>
        <v>MOBILIZATION</v>
      </c>
      <c r="E71" s="30">
        <f>Schedule_Data_Mammoet_Alt!F72</f>
        <v>46067</v>
      </c>
      <c r="F71" s="30">
        <f>Schedule_Data_Mammoet_Alt!G72</f>
        <v>46067</v>
      </c>
      <c r="G71" s="14">
        <f>Schedule_Data_Mammoet_Alt!H72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32" t="s">
        <v>272</v>
      </c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Schedule_Data_Mammoet_Alt!A73</f>
        <v>A2220</v>
      </c>
      <c r="B72" s="14" t="str">
        <f>Schedule_Data_Mammoet_Alt!B73</f>
        <v>A0</v>
      </c>
      <c r="C72" s="14" t="str">
        <f>Schedule_Data_Mammoet_Alt!C73</f>
        <v>MMT Jacking Crew Demobilization</v>
      </c>
      <c r="D72" s="15" t="str">
        <f>Schedule_Data_Mammoet_Alt!D73</f>
        <v>MOBILIZATION</v>
      </c>
      <c r="E72" s="30">
        <f>Schedule_Data_Mammoet_Alt!F73</f>
        <v>46068</v>
      </c>
      <c r="F72" s="30">
        <f>Schedule_Data_Mammoet_Alt!G73</f>
        <v>46068</v>
      </c>
      <c r="G72" s="14">
        <f>Schedule_Data_Mammoet_Alt!H73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32" t="s">
        <v>272</v>
      </c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Schedule_Data_Mammoet_Alt!A74</f>
        <v>AGI TR Units 5-6</v>
      </c>
      <c r="B73" s="14" t="str">
        <f>Schedule_Data_Mammoet_Alt!B74</f>
        <v>A0</v>
      </c>
      <c r="C73" s="14" t="str">
        <f>Schedule_Data_Mammoet_Alt!C74</f>
        <v>AGI TR Units 5-6</v>
      </c>
      <c r="D73" s="17" t="str">
        <f>Schedule_Data_Mammoet_Alt!D74</f>
        <v>BUFFER</v>
      </c>
      <c r="E73" s="30">
        <f>Schedule_Data_Mammoet_Alt!F74</f>
        <v>46081</v>
      </c>
      <c r="F73" s="30">
        <f>Schedule_Data_Mammoet_Alt!G74</f>
        <v>46081</v>
      </c>
      <c r="G73" s="14">
        <f>Schedule_Data_Mammoet_Alt!H74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7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Schedule_Data_Mammoet_Alt!A75</f>
        <v>A3030</v>
      </c>
      <c r="B74" s="14" t="str">
        <f>Schedule_Data_Mammoet_Alt!B75</f>
        <v>A0</v>
      </c>
      <c r="C74" s="14" t="str">
        <f>Schedule_Data_Mammoet_Alt!C75</f>
        <v>Loading of AGI TR Unit 5 on SPMT; lashing; Shifting to Mina Zayed Port RoRo Jetty area</v>
      </c>
      <c r="D74" s="17" t="str">
        <f>Schedule_Data_Mammoet_Alt!D75</f>
        <v>BUFFER</v>
      </c>
      <c r="E74" s="30">
        <f>Schedule_Data_Mammoet_Alt!F75</f>
        <v>46070</v>
      </c>
      <c r="F74" s="30">
        <f>Schedule_Data_Mammoet_Alt!G75</f>
        <v>46070.3</v>
      </c>
      <c r="G74" s="14">
        <f>Schedule_Data_Mammoet_Alt!H75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Schedule_Data_Mammoet_Alt!A76</f>
        <v>A3040</v>
      </c>
      <c r="B75" s="14" t="str">
        <f>Schedule_Data_Mammoet_Alt!B76</f>
        <v>A0</v>
      </c>
      <c r="C75" s="14" t="str">
        <f>Schedule_Data_Mammoet_Alt!C76</f>
        <v>RoRo Ramp Installation - 5t Forklift and Crane required</v>
      </c>
      <c r="D75" s="17" t="str">
        <f>Schedule_Data_Mammoet_Alt!D76</f>
        <v>BUFFER</v>
      </c>
      <c r="E75" s="30">
        <f>Schedule_Data_Mammoet_Alt!F76</f>
        <v>46070</v>
      </c>
      <c r="F75" s="30">
        <f>Schedule_Data_Mammoet_Alt!G76</f>
        <v>46070.3</v>
      </c>
      <c r="G75" s="14">
        <f>Schedule_Data_Mammoet_Alt!H76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Schedule_Data_Mammoet_Alt!A77</f>
        <v>A3060</v>
      </c>
      <c r="B76" s="14" t="str">
        <f>Schedule_Data_Mammoet_Alt!B77</f>
        <v>A0</v>
      </c>
      <c r="C76" s="14" t="str">
        <f>Schedule_Data_Mammoet_Alt!C77</f>
        <v>Load-out of AGI TR Unit 5; stool down</v>
      </c>
      <c r="D76" s="19" t="str">
        <f>Schedule_Data_Mammoet_Alt!D77</f>
        <v>LOADOUT</v>
      </c>
      <c r="E76" s="30">
        <f>Schedule_Data_Mammoet_Alt!F77</f>
        <v>46070</v>
      </c>
      <c r="F76" s="30">
        <f>Schedule_Data_Mammoet_Alt!G77</f>
        <v>46070.2</v>
      </c>
      <c r="G76" s="14">
        <f>Schedule_Data_Mammoet_Alt!H77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Schedule_Data_Mammoet_Alt!A78</f>
        <v>A3070</v>
      </c>
      <c r="B77" s="14" t="str">
        <f>Schedule_Data_Mammoet_Alt!B78</f>
        <v>A0</v>
      </c>
      <c r="C77" s="14" t="str">
        <f>Schedule_Data_Mammoet_Alt!C78</f>
        <v>RoRo ramp removal; Seafastening AGI TR Unit 5 - Crane required</v>
      </c>
      <c r="D77" s="20" t="str">
        <f>Schedule_Data_Mammoet_Alt!D78</f>
        <v>SEAFAST</v>
      </c>
      <c r="E77" s="30">
        <f>Schedule_Data_Mammoet_Alt!F78</f>
        <v>46070</v>
      </c>
      <c r="F77" s="30">
        <f>Schedule_Data_Mammoet_Alt!G78</f>
        <v>46070</v>
      </c>
      <c r="G77" s="14">
        <f>Schedule_Data_Mammoet_Alt!H78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20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Schedule_Data_Mammoet_Alt!A79</f>
        <v>A3071</v>
      </c>
      <c r="B78" s="14" t="str">
        <f>Schedule_Data_Mammoet_Alt!B79</f>
        <v>A0</v>
      </c>
      <c r="C78" s="14" t="str">
        <f>Schedule_Data_Mammoet_Alt!C79</f>
        <v>Loading of AGI TR Unit 6 on SPMT</v>
      </c>
      <c r="D78" s="17" t="str">
        <f>Schedule_Data_Mammoet_Alt!D79</f>
        <v>BUFFER</v>
      </c>
      <c r="E78" s="30">
        <f>Schedule_Data_Mammoet_Alt!F79</f>
        <v>46070</v>
      </c>
      <c r="F78" s="30">
        <f>Schedule_Data_Mammoet_Alt!G79</f>
        <v>46070</v>
      </c>
      <c r="G78" s="14">
        <f>Schedule_Data_Mammoet_Alt!H79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7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Schedule_Data_Mammoet_Alt!A80</f>
        <v>A3072</v>
      </c>
      <c r="B79" s="14" t="str">
        <f>Schedule_Data_Mammoet_Alt!B80</f>
        <v>A0</v>
      </c>
      <c r="C79" s="14" t="str">
        <f>Schedule_Data_Mammoet_Alt!C80</f>
        <v>Shifting of AGI TR Unit 6 to Jetty area</v>
      </c>
      <c r="D79" s="17" t="str">
        <f>Schedule_Data_Mammoet_Alt!D80</f>
        <v>BUFFER</v>
      </c>
      <c r="E79" s="30">
        <f>Schedule_Data_Mammoet_Alt!F80</f>
        <v>46071</v>
      </c>
      <c r="F79" s="30">
        <f>Schedule_Data_Mammoet_Alt!G80</f>
        <v>46071.05</v>
      </c>
      <c r="G79" s="14">
        <f>Schedule_Data_Mammoet_Alt!H80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Schedule_Data_Mammoet_Alt!A81</f>
        <v>A3073</v>
      </c>
      <c r="B80" s="14" t="str">
        <f>Schedule_Data_Mammoet_Alt!B81</f>
        <v>A0</v>
      </c>
      <c r="C80" s="14" t="str">
        <f>Schedule_Data_Mammoet_Alt!C81</f>
        <v>RoRo Ramp Installation - Crane required</v>
      </c>
      <c r="D80" s="17" t="str">
        <f>Schedule_Data_Mammoet_Alt!D81</f>
        <v>BUFFER</v>
      </c>
      <c r="E80" s="30">
        <f>Schedule_Data_Mammoet_Alt!F81</f>
        <v>46071</v>
      </c>
      <c r="F80" s="30">
        <f>Schedule_Data_Mammoet_Alt!G81</f>
        <v>46071.3</v>
      </c>
      <c r="G80" s="14">
        <f>Schedule_Data_Mammoet_Alt!H81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Schedule_Data_Mammoet_Alt!A82</f>
        <v>A3074</v>
      </c>
      <c r="B81" s="14" t="str">
        <f>Schedule_Data_Mammoet_Alt!B82</f>
        <v>A0</v>
      </c>
      <c r="C81" s="14" t="str">
        <f>Schedule_Data_Mammoet_Alt!C82</f>
        <v>Load-out of AGI TR Unit 6; stoold down; securing of SPMT</v>
      </c>
      <c r="D81" s="19" t="str">
        <f>Schedule_Data_Mammoet_Alt!D82</f>
        <v>LOADOUT</v>
      </c>
      <c r="E81" s="30">
        <f>Schedule_Data_Mammoet_Alt!F82</f>
        <v>46071</v>
      </c>
      <c r="F81" s="30">
        <f>Schedule_Data_Mammoet_Alt!G82</f>
        <v>46071.3</v>
      </c>
      <c r="G81" s="14">
        <f>Schedule_Data_Mammoet_Alt!H82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Schedule_Data_Mammoet_Alt!A83</f>
        <v>A3075</v>
      </c>
      <c r="B82" s="14" t="str">
        <f>Schedule_Data_Mammoet_Alt!B83</f>
        <v>A0</v>
      </c>
      <c r="C82" s="14" t="str">
        <f>Schedule_Data_Mammoet_Alt!C83</f>
        <v>Removal of RoRo Ramp; Sea fastening AGI TR Unit 6 - Crane required</v>
      </c>
      <c r="D82" s="20" t="str">
        <f>Schedule_Data_Mammoet_Alt!D83</f>
        <v>SEAFAST</v>
      </c>
      <c r="E82" s="30">
        <f>Schedule_Data_Mammoet_Alt!F83</f>
        <v>46071</v>
      </c>
      <c r="F82" s="30">
        <f>Schedule_Data_Mammoet_Alt!G83</f>
        <v>46071</v>
      </c>
      <c r="G82" s="14">
        <f>Schedule_Data_Mammoet_Alt!H83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20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Schedule_Data_Mammoet_Alt!A84</f>
        <v>A3080</v>
      </c>
      <c r="B83" s="14" t="str">
        <f>Schedule_Data_Mammoet_Alt!B84</f>
        <v>A0</v>
      </c>
      <c r="C83" s="14" t="str">
        <f>Schedule_Data_Mammoet_Alt!C84</f>
        <v>MWS + MPI + Final Preparations</v>
      </c>
      <c r="D83" s="17" t="str">
        <f>Schedule_Data_Mammoet_Alt!D84</f>
        <v>BUFFER</v>
      </c>
      <c r="E83" s="30">
        <f>Schedule_Data_Mammoet_Alt!F84</f>
        <v>46072</v>
      </c>
      <c r="F83" s="30">
        <f>Schedule_Data_Mammoet_Alt!G84</f>
        <v>46072.2</v>
      </c>
      <c r="G83" s="14">
        <f>Schedule_Data_Mammoet_Alt!H84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Schedule_Data_Mammoet_Alt!A85</f>
        <v>A3081</v>
      </c>
      <c r="B84" s="14" t="str">
        <f>Schedule_Data_Mammoet_Alt!B85</f>
        <v>A0</v>
      </c>
      <c r="C84" s="14" t="str">
        <f>Schedule_Data_Mammoet_Alt!C85</f>
        <v>Sail-away - Marine Transportation by LCT to Al Ghallan Island</v>
      </c>
      <c r="D84" s="21" t="str">
        <f>Schedule_Data_Mammoet_Alt!D85</f>
        <v>SAIL</v>
      </c>
      <c r="E84" s="30">
        <f>Schedule_Data_Mammoet_Alt!F85</f>
        <v>46073</v>
      </c>
      <c r="F84" s="30">
        <f>Schedule_Data_Mammoet_Alt!G85</f>
        <v>46073</v>
      </c>
      <c r="G84" s="14">
        <f>Schedule_Data_Mammoet_Alt!H85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21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Schedule_Data_Mammoet_Alt!A86</f>
        <v>A3090</v>
      </c>
      <c r="B85" s="14" t="str">
        <f>Schedule_Data_Mammoet_Alt!B86</f>
        <v>A0</v>
      </c>
      <c r="C85" s="14" t="str">
        <f>Schedule_Data_Mammoet_Alt!C86</f>
        <v>MMT Crew Mob to AGI</v>
      </c>
      <c r="D85" s="17" t="str">
        <f>Schedule_Data_Mammoet_Alt!D86</f>
        <v>BUFFER</v>
      </c>
      <c r="E85" s="30">
        <f>Schedule_Data_Mammoet_Alt!F86</f>
        <v>46074</v>
      </c>
      <c r="F85" s="30">
        <f>Schedule_Data_Mammoet_Alt!G86</f>
        <v>46074</v>
      </c>
      <c r="G85" s="14">
        <f>Schedule_Data_Mammoet_Alt!H86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7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Schedule_Data_Mammoet_Alt!A87</f>
        <v>A3091</v>
      </c>
      <c r="B86" s="14" t="str">
        <f>Schedule_Data_Mammoet_Alt!B87</f>
        <v>A0</v>
      </c>
      <c r="C86" s="14" t="str">
        <f>Schedule_Data_Mammoet_Alt!C87</f>
        <v>LCT Arrival; Berthing at AGI RoRo Jetty</v>
      </c>
      <c r="D86" s="22" t="str">
        <f>Schedule_Data_Mammoet_Alt!D87</f>
        <v>AGI_UNLOAD</v>
      </c>
      <c r="E86" s="30">
        <f>Schedule_Data_Mammoet_Alt!F87</f>
        <v>46074</v>
      </c>
      <c r="F86" s="30">
        <f>Schedule_Data_Mammoet_Alt!G87</f>
        <v>46074</v>
      </c>
      <c r="G86" s="14">
        <f>Schedule_Data_Mammoet_Alt!H87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22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Schedule_Data_Mammoet_Alt!A88</f>
        <v>A3100</v>
      </c>
      <c r="B87" s="14" t="str">
        <f>Schedule_Data_Mammoet_Alt!B88</f>
        <v>A0</v>
      </c>
      <c r="C87" s="14" t="str">
        <f>Schedule_Data_Mammoet_Alt!C88</f>
        <v>Unlashing and cutting</v>
      </c>
      <c r="D87" s="17" t="str">
        <f>Schedule_Data_Mammoet_Alt!D88</f>
        <v>BUFFER</v>
      </c>
      <c r="E87" s="30">
        <f>Schedule_Data_Mammoet_Alt!F88</f>
        <v>46074</v>
      </c>
      <c r="F87" s="30">
        <f>Schedule_Data_Mammoet_Alt!G88</f>
        <v>46074</v>
      </c>
      <c r="G87" s="14">
        <f>Schedule_Data_Mammoet_Alt!H88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7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Schedule_Data_Mammoet_Alt!A89</f>
        <v>A3110</v>
      </c>
      <c r="B88" s="14" t="str">
        <f>Schedule_Data_Mammoet_Alt!B89</f>
        <v>A0</v>
      </c>
      <c r="C88" s="14" t="str">
        <f>Schedule_Data_Mammoet_Alt!C89</f>
        <v>Load-in of AGI TR Unit 6 (including RoRo Ramp Installation); store on Jetty - Crane required</v>
      </c>
      <c r="D88" s="19" t="str">
        <f>Schedule_Data_Mammoet_Alt!D89</f>
        <v>LOADOUT</v>
      </c>
      <c r="E88" s="30">
        <f>Schedule_Data_Mammoet_Alt!F89</f>
        <v>46075</v>
      </c>
      <c r="F88" s="30">
        <f>Schedule_Data_Mammoet_Alt!G89</f>
        <v>46075</v>
      </c>
      <c r="G88" s="14">
        <f>Schedule_Data_Mammoet_Alt!H89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9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Schedule_Data_Mammoet_Alt!A90</f>
        <v>A3120</v>
      </c>
      <c r="B89" s="14" t="str">
        <f>Schedule_Data_Mammoet_Alt!B90</f>
        <v>A0</v>
      </c>
      <c r="C89" s="14" t="str">
        <f>Schedule_Data_Mammoet_Alt!C90</f>
        <v>Load-in of AGI TR Unit 5 (including RoRo Ramp Installation); store on Jetty - Crane required</v>
      </c>
      <c r="D89" s="19" t="str">
        <f>Schedule_Data_Mammoet_Alt!D90</f>
        <v>LOADOUT</v>
      </c>
      <c r="E89" s="30">
        <f>Schedule_Data_Mammoet_Alt!F90</f>
        <v>46074</v>
      </c>
      <c r="F89" s="30">
        <f>Schedule_Data_Mammoet_Alt!G90</f>
        <v>46074</v>
      </c>
      <c r="G89" s="14">
        <f>Schedule_Data_Mammoet_Alt!H90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9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Schedule_Data_Mammoet_Alt!A91</f>
        <v>A3121</v>
      </c>
      <c r="B90" s="14" t="str">
        <f>Schedule_Data_Mammoet_Alt!B91</f>
        <v>A0</v>
      </c>
      <c r="C90" s="14" t="str">
        <f>Schedule_Data_Mammoet_Alt!C91</f>
        <v>Steel bridge Installation 1</v>
      </c>
      <c r="D90" s="17" t="str">
        <f>Schedule_Data_Mammoet_Alt!D91</f>
        <v>BUFFER</v>
      </c>
      <c r="E90" s="30">
        <f>Schedule_Data_Mammoet_Alt!F91</f>
        <v>46076</v>
      </c>
      <c r="F90" s="30">
        <f>Schedule_Data_Mammoet_Alt!G91</f>
        <v>46076.3</v>
      </c>
      <c r="G90" s="14">
        <f>Schedule_Data_Mammoet_Alt!H91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Schedule_Data_Mammoet_Alt!A92</f>
        <v>A3140</v>
      </c>
      <c r="B91" s="14" t="str">
        <f>Schedule_Data_Mammoet_Alt!B92</f>
        <v>A0</v>
      </c>
      <c r="C91" s="14" t="str">
        <f>Schedule_Data_Mammoet_Alt!C92</f>
        <v>AGI TR Unit 5 load on SPMT</v>
      </c>
      <c r="D91" s="17" t="str">
        <f>Schedule_Data_Mammoet_Alt!D92</f>
        <v>BUFFER</v>
      </c>
      <c r="E91" s="30">
        <f>Schedule_Data_Mammoet_Alt!F92</f>
        <v>46076</v>
      </c>
      <c r="F91" s="30">
        <f>Schedule_Data_Mammoet_Alt!G92</f>
        <v>46076.7</v>
      </c>
      <c r="G91" s="14">
        <f>Schedule_Data_Mammoet_Alt!H92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Schedule_Data_Mammoet_Alt!A93</f>
        <v>A3141</v>
      </c>
      <c r="B92" s="14" t="str">
        <f>Schedule_Data_Mammoet_Alt!B93</f>
        <v>A0</v>
      </c>
      <c r="C92" s="14" t="str">
        <f>Schedule_Data_Mammoet_Alt!C93</f>
        <v>Turning of AGI TR Unit 5 - 10t Forklift required</v>
      </c>
      <c r="D92" s="23" t="str">
        <f>Schedule_Data_Mammoet_Alt!D93</f>
        <v>TURNING</v>
      </c>
      <c r="E92" s="30">
        <f>Schedule_Data_Mammoet_Alt!F93</f>
        <v>46076</v>
      </c>
      <c r="F92" s="30">
        <f>Schedule_Data_Mammoet_Alt!G93</f>
        <v>46076</v>
      </c>
      <c r="G92" s="14">
        <f>Schedule_Data_Mammoet_Alt!H93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23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Schedule_Data_Mammoet_Alt!A94</f>
        <v>A3150</v>
      </c>
      <c r="B93" s="14" t="str">
        <f>Schedule_Data_Mammoet_Alt!B94</f>
        <v>A0</v>
      </c>
      <c r="C93" s="14" t="str">
        <f>Schedule_Data_Mammoet_Alt!C94</f>
        <v>Jacking down of AGI TR Unit 5 on temporary support - Forklift required</v>
      </c>
      <c r="D93" s="31" t="str">
        <f>Schedule_Data_Mammoet_Alt!D94</f>
        <v>JACKDOWN</v>
      </c>
      <c r="E93" s="30">
        <f>Schedule_Data_Mammoet_Alt!F94</f>
        <v>46079</v>
      </c>
      <c r="F93" s="30">
        <f>Schedule_Data_Mammoet_Alt!G94</f>
        <v>46079</v>
      </c>
      <c r="G93" s="14">
        <f>Schedule_Data_Mammoet_Alt!H94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31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Schedule_Data_Mammoet_Alt!A95</f>
        <v>A3160</v>
      </c>
      <c r="B94" s="14" t="str">
        <f>Schedule_Data_Mammoet_Alt!B95</f>
        <v>A0</v>
      </c>
      <c r="C94" s="14" t="str">
        <f>Schedule_Data_Mammoet_Alt!C95</f>
        <v>Steel bridge Installation 2</v>
      </c>
      <c r="D94" s="17" t="str">
        <f>Schedule_Data_Mammoet_Alt!D95</f>
        <v>BUFFER</v>
      </c>
      <c r="E94" s="30">
        <f>Schedule_Data_Mammoet_Alt!F95</f>
        <v>46079</v>
      </c>
      <c r="F94" s="30">
        <f>Schedule_Data_Mammoet_Alt!G95</f>
        <v>46079.3</v>
      </c>
      <c r="G94" s="14">
        <f>Schedule_Data_Mammoet_Alt!H95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Schedule_Data_Mammoet_Alt!A96</f>
        <v>A3170</v>
      </c>
      <c r="B95" s="14" t="str">
        <f>Schedule_Data_Mammoet_Alt!B96</f>
        <v>A0</v>
      </c>
      <c r="C95" s="14" t="str">
        <f>Schedule_Data_Mammoet_Alt!C96</f>
        <v>AGI TR Unit 6 load on SPMT</v>
      </c>
      <c r="D95" s="17" t="str">
        <f>Schedule_Data_Mammoet_Alt!D96</f>
        <v>BUFFER</v>
      </c>
      <c r="E95" s="30">
        <f>Schedule_Data_Mammoet_Alt!F96</f>
        <v>46079</v>
      </c>
      <c r="F95" s="30">
        <f>Schedule_Data_Mammoet_Alt!G96</f>
        <v>46079.7</v>
      </c>
      <c r="G95" s="14">
        <f>Schedule_Data_Mammoet_Alt!H96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Schedule_Data_Mammoet_Alt!A97</f>
        <v>A3180</v>
      </c>
      <c r="B96" s="14" t="str">
        <f>Schedule_Data_Mammoet_Alt!B97</f>
        <v>A0</v>
      </c>
      <c r="C96" s="14" t="str">
        <f>Schedule_Data_Mammoet_Alt!C97</f>
        <v>Turning of AGI TR Unit 6 - 10t Forklift required</v>
      </c>
      <c r="D96" s="23" t="str">
        <f>Schedule_Data_Mammoet_Alt!D97</f>
        <v>TURNING</v>
      </c>
      <c r="E96" s="30">
        <f>Schedule_Data_Mammoet_Alt!F97</f>
        <v>46080</v>
      </c>
      <c r="F96" s="30">
        <f>Schedule_Data_Mammoet_Alt!G97</f>
        <v>46080</v>
      </c>
      <c r="G96" s="14">
        <f>Schedule_Data_Mammoet_Alt!H97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23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Schedule_Data_Mammoet_Alt!A98</f>
        <v>A3190</v>
      </c>
      <c r="B97" s="14" t="str">
        <f>Schedule_Data_Mammoet_Alt!B98</f>
        <v>A0</v>
      </c>
      <c r="C97" s="14" t="str">
        <f>Schedule_Data_Mammoet_Alt!C98</f>
        <v>Jacking down of AGI TR Unit 6 on temporary support - Forklift and Crane required</v>
      </c>
      <c r="D97" s="31" t="str">
        <f>Schedule_Data_Mammoet_Alt!D98</f>
        <v>JACKDOWN</v>
      </c>
      <c r="E97" s="30">
        <f>Schedule_Data_Mammoet_Alt!F98</f>
        <v>46083</v>
      </c>
      <c r="F97" s="30">
        <f>Schedule_Data_Mammoet_Alt!G98</f>
        <v>46083</v>
      </c>
      <c r="G97" s="14">
        <f>Schedule_Data_Mammoet_Alt!H98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31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Schedule_Data_Mammoet_Alt!A99</f>
        <v>A3200</v>
      </c>
      <c r="B98" s="14" t="str">
        <f>Schedule_Data_Mammoet_Alt!B99</f>
        <v>A0</v>
      </c>
      <c r="C98" s="14" t="str">
        <f>Schedule_Data_Mammoet_Alt!C99</f>
        <v>SPMT shifting from TR Bay Area to Jetty; Loading on LCT (if tide allows)</v>
      </c>
      <c r="D98" s="17" t="str">
        <f>Schedule_Data_Mammoet_Alt!D99</f>
        <v>BUFFER</v>
      </c>
      <c r="E98" s="30">
        <f>Schedule_Data_Mammoet_Alt!F99</f>
        <v>46080</v>
      </c>
      <c r="F98" s="30">
        <f>Schedule_Data_Mammoet_Alt!G99</f>
        <v>46080</v>
      </c>
      <c r="G98" s="14">
        <f>Schedule_Data_Mammoet_Alt!H99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7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Schedule_Data_Mammoet_Alt!A100</f>
        <v>A3210</v>
      </c>
      <c r="B99" s="14" t="str">
        <f>Schedule_Data_Mammoet_Alt!B100</f>
        <v>A0</v>
      </c>
      <c r="C99" s="14" t="str">
        <f>Schedule_Data_Mammoet_Alt!C100</f>
        <v>LCT Sail-away back to Mina Zayed Port; MMT SPMT Crew Demobilization</v>
      </c>
      <c r="D99" s="15" t="str">
        <f>Schedule_Data_Mammoet_Alt!D100</f>
        <v>MOBILIZATION</v>
      </c>
      <c r="E99" s="30">
        <f>Schedule_Data_Mammoet_Alt!F100</f>
        <v>46080</v>
      </c>
      <c r="F99" s="30">
        <f>Schedule_Data_Mammoet_Alt!G100</f>
        <v>46080</v>
      </c>
      <c r="G99" s="14">
        <f>Schedule_Data_Mammoet_Alt!H100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32" t="s">
        <v>272</v>
      </c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Schedule_Data_Mammoet_Alt!A101</f>
        <v>A3220</v>
      </c>
      <c r="B100" s="14" t="str">
        <f>Schedule_Data_Mammoet_Alt!B101</f>
        <v>A0</v>
      </c>
      <c r="C100" s="14" t="str">
        <f>Schedule_Data_Mammoet_Alt!C101</f>
        <v>MMT Jacking Crew Demobilization</v>
      </c>
      <c r="D100" s="15" t="str">
        <f>Schedule_Data_Mammoet_Alt!D101</f>
        <v>MOBILIZATION</v>
      </c>
      <c r="E100" s="30">
        <f>Schedule_Data_Mammoet_Alt!F101</f>
        <v>46081</v>
      </c>
      <c r="F100" s="30">
        <f>Schedule_Data_Mammoet_Alt!G101</f>
        <v>46081</v>
      </c>
      <c r="G100" s="14">
        <f>Schedule_Data_Mammoet_Alt!H101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32" t="s">
        <v>272</v>
      </c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Schedule_Data_Mammoet_Alt!A102</f>
        <v>AGI TR Unit 7</v>
      </c>
      <c r="B101" s="14" t="str">
        <f>Schedule_Data_Mammoet_Alt!B102</f>
        <v>A0</v>
      </c>
      <c r="C101" s="14" t="str">
        <f>Schedule_Data_Mammoet_Alt!C102</f>
        <v>AGI TR Unit 7</v>
      </c>
      <c r="D101" s="17" t="str">
        <f>Schedule_Data_Mammoet_Alt!D102</f>
        <v>BUFFER</v>
      </c>
      <c r="E101" s="30">
        <f>Schedule_Data_Mammoet_Alt!F102</f>
        <v>46091</v>
      </c>
      <c r="F101" s="30">
        <f>Schedule_Data_Mammoet_Alt!G102</f>
        <v>46091</v>
      </c>
      <c r="G101" s="14">
        <f>Schedule_Data_Mammoet_Alt!H102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7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Schedule_Data_Mammoet_Alt!A103</f>
        <v>A4030</v>
      </c>
      <c r="B102" s="14" t="str">
        <f>Schedule_Data_Mammoet_Alt!B103</f>
        <v>A0</v>
      </c>
      <c r="C102" s="14" t="str">
        <f>Schedule_Data_Mammoet_Alt!C103</f>
        <v>Loading of AGI TR Unit 7 on SPMT; lashing; Shifting to Mina Zayed Port RoRo Jetty area</v>
      </c>
      <c r="D102" s="17" t="str">
        <f>Schedule_Data_Mammoet_Alt!D103</f>
        <v>BUFFER</v>
      </c>
      <c r="E102" s="30">
        <f>Schedule_Data_Mammoet_Alt!F103</f>
        <v>46082</v>
      </c>
      <c r="F102" s="30">
        <f>Schedule_Data_Mammoet_Alt!G103</f>
        <v>46082.3</v>
      </c>
      <c r="G102" s="14">
        <f>Schedule_Data_Mammoet_Alt!H103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Schedule_Data_Mammoet_Alt!A104</f>
        <v>A4040</v>
      </c>
      <c r="B103" s="14" t="str">
        <f>Schedule_Data_Mammoet_Alt!B104</f>
        <v>A0</v>
      </c>
      <c r="C103" s="14" t="str">
        <f>Schedule_Data_Mammoet_Alt!C104</f>
        <v>RoRo Ramp Installation - 5t Forklift and Crane required</v>
      </c>
      <c r="D103" s="17" t="str">
        <f>Schedule_Data_Mammoet_Alt!D104</f>
        <v>BUFFER</v>
      </c>
      <c r="E103" s="30">
        <f>Schedule_Data_Mammoet_Alt!F104</f>
        <v>46082</v>
      </c>
      <c r="F103" s="30">
        <f>Schedule_Data_Mammoet_Alt!G104</f>
        <v>46082.3</v>
      </c>
      <c r="G103" s="14">
        <f>Schedule_Data_Mammoet_Alt!H104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Schedule_Data_Mammoet_Alt!A105</f>
        <v>A4060</v>
      </c>
      <c r="B104" s="14" t="str">
        <f>Schedule_Data_Mammoet_Alt!B105</f>
        <v>A0</v>
      </c>
      <c r="C104" s="14" t="str">
        <f>Schedule_Data_Mammoet_Alt!C105</f>
        <v>Load-out of AGI TR Unit 7; stool down</v>
      </c>
      <c r="D104" s="19" t="str">
        <f>Schedule_Data_Mammoet_Alt!D105</f>
        <v>LOADOUT</v>
      </c>
      <c r="E104" s="30">
        <f>Schedule_Data_Mammoet_Alt!F105</f>
        <v>46082</v>
      </c>
      <c r="F104" s="30">
        <f>Schedule_Data_Mammoet_Alt!G105</f>
        <v>46082.2</v>
      </c>
      <c r="G104" s="14">
        <f>Schedule_Data_Mammoet_Alt!H105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Schedule_Data_Mammoet_Alt!A106</f>
        <v>A4070</v>
      </c>
      <c r="B105" s="14" t="str">
        <f>Schedule_Data_Mammoet_Alt!B106</f>
        <v>A0</v>
      </c>
      <c r="C105" s="14" t="str">
        <f>Schedule_Data_Mammoet_Alt!C106</f>
        <v>RoRo ramp removal; Seafastening AGI TR Unit 7 - Crane required</v>
      </c>
      <c r="D105" s="20" t="str">
        <f>Schedule_Data_Mammoet_Alt!D106</f>
        <v>SEAFAST</v>
      </c>
      <c r="E105" s="30">
        <f>Schedule_Data_Mammoet_Alt!F106</f>
        <v>46082</v>
      </c>
      <c r="F105" s="30">
        <f>Schedule_Data_Mammoet_Alt!G106</f>
        <v>46082</v>
      </c>
      <c r="G105" s="14">
        <f>Schedule_Data_Mammoet_Alt!H106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20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Schedule_Data_Mammoet_Alt!A107</f>
        <v>A4080</v>
      </c>
      <c r="B106" s="14" t="str">
        <f>Schedule_Data_Mammoet_Alt!B107</f>
        <v>A0</v>
      </c>
      <c r="C106" s="14" t="str">
        <f>Schedule_Data_Mammoet_Alt!C107</f>
        <v>MWS + MPI + Final Preparations</v>
      </c>
      <c r="D106" s="17" t="str">
        <f>Schedule_Data_Mammoet_Alt!D107</f>
        <v>BUFFER</v>
      </c>
      <c r="E106" s="30">
        <f>Schedule_Data_Mammoet_Alt!F107</f>
        <v>46083</v>
      </c>
      <c r="F106" s="30">
        <f>Schedule_Data_Mammoet_Alt!G107</f>
        <v>46083.199999999997</v>
      </c>
      <c r="G106" s="14">
        <f>Schedule_Data_Mammoet_Alt!H107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Schedule_Data_Mammoet_Alt!A108</f>
        <v>A4081</v>
      </c>
      <c r="B107" s="14" t="str">
        <f>Schedule_Data_Mammoet_Alt!B108</f>
        <v>A0</v>
      </c>
      <c r="C107" s="14" t="str">
        <f>Schedule_Data_Mammoet_Alt!C108</f>
        <v>Sail-away - Marine Transportation by LCT to Al Ghallan Island</v>
      </c>
      <c r="D107" s="21" t="str">
        <f>Schedule_Data_Mammoet_Alt!D108</f>
        <v>SAIL</v>
      </c>
      <c r="E107" s="30">
        <f>Schedule_Data_Mammoet_Alt!F108</f>
        <v>46084</v>
      </c>
      <c r="F107" s="30">
        <f>Schedule_Data_Mammoet_Alt!G108</f>
        <v>46084</v>
      </c>
      <c r="G107" s="14">
        <f>Schedule_Data_Mammoet_Alt!H108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21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Schedule_Data_Mammoet_Alt!A109</f>
        <v>A4090</v>
      </c>
      <c r="B108" s="14" t="str">
        <f>Schedule_Data_Mammoet_Alt!B109</f>
        <v>A0</v>
      </c>
      <c r="C108" s="14" t="str">
        <f>Schedule_Data_Mammoet_Alt!C109</f>
        <v>MMT Crew Mob to AGI</v>
      </c>
      <c r="D108" s="17" t="str">
        <f>Schedule_Data_Mammoet_Alt!D109</f>
        <v>BUFFER</v>
      </c>
      <c r="E108" s="30">
        <f>Schedule_Data_Mammoet_Alt!F109</f>
        <v>46085</v>
      </c>
      <c r="F108" s="30">
        <f>Schedule_Data_Mammoet_Alt!G109</f>
        <v>46085</v>
      </c>
      <c r="G108" s="14">
        <f>Schedule_Data_Mammoet_Alt!H109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7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Schedule_Data_Mammoet_Alt!A110</f>
        <v>A4091</v>
      </c>
      <c r="B109" s="14" t="str">
        <f>Schedule_Data_Mammoet_Alt!B110</f>
        <v>A0</v>
      </c>
      <c r="C109" s="14" t="str">
        <f>Schedule_Data_Mammoet_Alt!C110</f>
        <v>LCT Arrival; Berthing at AGI RoRo Jetty</v>
      </c>
      <c r="D109" s="22" t="str">
        <f>Schedule_Data_Mammoet_Alt!D110</f>
        <v>AGI_UNLOAD</v>
      </c>
      <c r="E109" s="30">
        <f>Schedule_Data_Mammoet_Alt!F110</f>
        <v>46085</v>
      </c>
      <c r="F109" s="30">
        <f>Schedule_Data_Mammoet_Alt!G110</f>
        <v>46085</v>
      </c>
      <c r="G109" s="14">
        <f>Schedule_Data_Mammoet_Alt!H110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22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Schedule_Data_Mammoet_Alt!A111</f>
        <v>A4100</v>
      </c>
      <c r="B110" s="14" t="str">
        <f>Schedule_Data_Mammoet_Alt!B111</f>
        <v>A0</v>
      </c>
      <c r="C110" s="14" t="str">
        <f>Schedule_Data_Mammoet_Alt!C111</f>
        <v>Unlashing and cutting</v>
      </c>
      <c r="D110" s="17" t="str">
        <f>Schedule_Data_Mammoet_Alt!D111</f>
        <v>BUFFER</v>
      </c>
      <c r="E110" s="30">
        <f>Schedule_Data_Mammoet_Alt!F111</f>
        <v>46085</v>
      </c>
      <c r="F110" s="30">
        <f>Schedule_Data_Mammoet_Alt!G111</f>
        <v>46085</v>
      </c>
      <c r="G110" s="14">
        <f>Schedule_Data_Mammoet_Alt!H111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7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Schedule_Data_Mammoet_Alt!A112</f>
        <v>A4120</v>
      </c>
      <c r="B111" s="14" t="str">
        <f>Schedule_Data_Mammoet_Alt!B112</f>
        <v>A0</v>
      </c>
      <c r="C111" s="14" t="str">
        <f>Schedule_Data_Mammoet_Alt!C112</f>
        <v>Load-in of AGI TR Unit 7 (including RoRo Ramp Installation); store on Jetty - Crane required</v>
      </c>
      <c r="D111" s="19" t="str">
        <f>Schedule_Data_Mammoet_Alt!D112</f>
        <v>LOADOUT</v>
      </c>
      <c r="E111" s="30">
        <f>Schedule_Data_Mammoet_Alt!F112</f>
        <v>46085</v>
      </c>
      <c r="F111" s="30">
        <f>Schedule_Data_Mammoet_Alt!G112</f>
        <v>46085</v>
      </c>
      <c r="G111" s="14">
        <f>Schedule_Data_Mammoet_Alt!H112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9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Schedule_Data_Mammoet_Alt!A113</f>
        <v>A4121</v>
      </c>
      <c r="B112" s="14" t="str">
        <f>Schedule_Data_Mammoet_Alt!B113</f>
        <v>A0</v>
      </c>
      <c r="C112" s="14" t="str">
        <f>Schedule_Data_Mammoet_Alt!C113</f>
        <v>Steel bridge Installation 1</v>
      </c>
      <c r="D112" s="17" t="str">
        <f>Schedule_Data_Mammoet_Alt!D113</f>
        <v>BUFFER</v>
      </c>
      <c r="E112" s="30">
        <f>Schedule_Data_Mammoet_Alt!F113</f>
        <v>46086</v>
      </c>
      <c r="F112" s="30">
        <f>Schedule_Data_Mammoet_Alt!G113</f>
        <v>46086.3</v>
      </c>
      <c r="G112" s="14">
        <f>Schedule_Data_Mammoet_Alt!H113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Schedule_Data_Mammoet_Alt!A114</f>
        <v>A4140</v>
      </c>
      <c r="B113" s="14" t="str">
        <f>Schedule_Data_Mammoet_Alt!B114</f>
        <v>A0</v>
      </c>
      <c r="C113" s="14" t="str">
        <f>Schedule_Data_Mammoet_Alt!C114</f>
        <v>AGI TR Unit 7 load on SPMT</v>
      </c>
      <c r="D113" s="17" t="str">
        <f>Schedule_Data_Mammoet_Alt!D114</f>
        <v>BUFFER</v>
      </c>
      <c r="E113" s="30">
        <f>Schedule_Data_Mammoet_Alt!F114</f>
        <v>46086</v>
      </c>
      <c r="F113" s="30">
        <f>Schedule_Data_Mammoet_Alt!G114</f>
        <v>46086.7</v>
      </c>
      <c r="G113" s="14">
        <f>Schedule_Data_Mammoet_Alt!H114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Schedule_Data_Mammoet_Alt!A115</f>
        <v>A4141</v>
      </c>
      <c r="B114" s="14" t="str">
        <f>Schedule_Data_Mammoet_Alt!B115</f>
        <v>A0</v>
      </c>
      <c r="C114" s="14" t="str">
        <f>Schedule_Data_Mammoet_Alt!C115</f>
        <v>Turning of AGI TR Unit 7 - 10t Forklift required</v>
      </c>
      <c r="D114" s="23" t="str">
        <f>Schedule_Data_Mammoet_Alt!D115</f>
        <v>TURNING</v>
      </c>
      <c r="E114" s="30">
        <f>Schedule_Data_Mammoet_Alt!F115</f>
        <v>46086</v>
      </c>
      <c r="F114" s="30">
        <f>Schedule_Data_Mammoet_Alt!G115</f>
        <v>46086</v>
      </c>
      <c r="G114" s="14">
        <f>Schedule_Data_Mammoet_Alt!H115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23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Schedule_Data_Mammoet_Alt!A116</f>
        <v>A4150</v>
      </c>
      <c r="B115" s="14" t="str">
        <f>Schedule_Data_Mammoet_Alt!B116</f>
        <v>A0</v>
      </c>
      <c r="C115" s="14" t="str">
        <f>Schedule_Data_Mammoet_Alt!C116</f>
        <v>Jacking down of AGI TR Unit 7 on temporary support - Forklift and Crane required</v>
      </c>
      <c r="D115" s="31" t="str">
        <f>Schedule_Data_Mammoet_Alt!D116</f>
        <v>JACKDOWN</v>
      </c>
      <c r="E115" s="30">
        <f>Schedule_Data_Mammoet_Alt!F116</f>
        <v>46089</v>
      </c>
      <c r="F115" s="30">
        <f>Schedule_Data_Mammoet_Alt!G116</f>
        <v>46089</v>
      </c>
      <c r="G115" s="14">
        <f>Schedule_Data_Mammoet_Alt!H116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31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Schedule_Data_Mammoet_Alt!A117</f>
        <v>A4200</v>
      </c>
      <c r="B116" s="14" t="str">
        <f>Schedule_Data_Mammoet_Alt!B117</f>
        <v>A0</v>
      </c>
      <c r="C116" s="14" t="str">
        <f>Schedule_Data_Mammoet_Alt!C117</f>
        <v>SPMT shifting from TR Bay Area to Jetty; Loading on LCT (if tide allows)</v>
      </c>
      <c r="D116" s="17" t="str">
        <f>Schedule_Data_Mammoet_Alt!D117</f>
        <v>BUFFER</v>
      </c>
      <c r="E116" s="30">
        <f>Schedule_Data_Mammoet_Alt!F117</f>
        <v>46090</v>
      </c>
      <c r="F116" s="30">
        <f>Schedule_Data_Mammoet_Alt!G117</f>
        <v>46090</v>
      </c>
      <c r="G116" s="14">
        <f>Schedule_Data_Mammoet_Alt!H117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7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Schedule_Data_Mammoet_Alt!A118</f>
        <v>A4210</v>
      </c>
      <c r="B117" s="14" t="str">
        <f>Schedule_Data_Mammoet_Alt!B118</f>
        <v>A0</v>
      </c>
      <c r="C117" s="14" t="str">
        <f>Schedule_Data_Mammoet_Alt!C118</f>
        <v>LCT Sail-away back to Mina Zayed Port; MMT SPMT Crew Demobilization</v>
      </c>
      <c r="D117" s="15" t="str">
        <f>Schedule_Data_Mammoet_Alt!D118</f>
        <v>MOBILIZATION</v>
      </c>
      <c r="E117" s="30">
        <f>Schedule_Data_Mammoet_Alt!F118</f>
        <v>46090</v>
      </c>
      <c r="F117" s="30">
        <f>Schedule_Data_Mammoet_Alt!G118</f>
        <v>46090</v>
      </c>
      <c r="G117" s="14">
        <f>Schedule_Data_Mammoet_Alt!H118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32" t="s">
        <v>272</v>
      </c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Schedule_Data_Mammoet_Alt!A119</f>
        <v>A4220</v>
      </c>
      <c r="B118" s="14" t="str">
        <f>Schedule_Data_Mammoet_Alt!B119</f>
        <v>A0</v>
      </c>
      <c r="C118" s="14" t="str">
        <f>Schedule_Data_Mammoet_Alt!C119</f>
        <v>MMT Jacking Crew Demobilization</v>
      </c>
      <c r="D118" s="15" t="str">
        <f>Schedule_Data_Mammoet_Alt!D119</f>
        <v>MOBILIZATION</v>
      </c>
      <c r="E118" s="30">
        <f>Schedule_Data_Mammoet_Alt!F119</f>
        <v>46091</v>
      </c>
      <c r="F118" s="30">
        <f>Schedule_Data_Mammoet_Alt!G119</f>
        <v>46091</v>
      </c>
      <c r="G118" s="14">
        <f>Schedule_Data_Mammoet_Alt!H119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32" t="s">
        <v>272</v>
      </c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workbookViewId="0"/>
  </sheetViews>
  <sheetFormatPr defaultRowHeight="16.899999999999999"/>
  <cols>
    <col min="1" max="7" width="15" customWidth="1"/>
  </cols>
  <sheetData>
    <row r="1" spans="1:7" ht="20.65">
      <c r="A1" s="46" t="s">
        <v>374</v>
      </c>
      <c r="B1" s="40"/>
      <c r="C1" s="40"/>
      <c r="D1" s="40"/>
      <c r="E1" s="40"/>
      <c r="F1" s="40"/>
      <c r="G1" s="40"/>
    </row>
    <row r="3" spans="1:7">
      <c r="A3" s="34" t="s">
        <v>375</v>
      </c>
      <c r="B3" s="34" t="s">
        <v>376</v>
      </c>
      <c r="C3" s="34" t="s">
        <v>377</v>
      </c>
      <c r="D3" s="34" t="s">
        <v>378</v>
      </c>
      <c r="E3" s="34" t="s">
        <v>379</v>
      </c>
      <c r="F3" s="34" t="s">
        <v>380</v>
      </c>
      <c r="G3" s="34" t="s">
        <v>58</v>
      </c>
    </row>
    <row r="4" spans="1:7">
      <c r="A4" s="14" t="s">
        <v>381</v>
      </c>
      <c r="B4" s="14" t="s">
        <v>382</v>
      </c>
      <c r="C4" s="14" t="s">
        <v>382</v>
      </c>
      <c r="D4" s="14" t="s">
        <v>382</v>
      </c>
      <c r="E4" s="14" t="s">
        <v>382</v>
      </c>
      <c r="F4" s="14" t="s">
        <v>382</v>
      </c>
      <c r="G4" s="14" t="s">
        <v>383</v>
      </c>
    </row>
    <row r="5" spans="1:7">
      <c r="A5" s="14" t="s">
        <v>384</v>
      </c>
      <c r="B5" s="14" t="s">
        <v>385</v>
      </c>
      <c r="C5" s="14" t="s">
        <v>385</v>
      </c>
      <c r="D5" s="14" t="s">
        <v>385</v>
      </c>
      <c r="E5" s="14" t="s">
        <v>385</v>
      </c>
      <c r="F5" s="14" t="s">
        <v>385</v>
      </c>
      <c r="G5" s="14" t="s">
        <v>386</v>
      </c>
    </row>
    <row r="6" spans="1:7">
      <c r="A6" s="14" t="s">
        <v>387</v>
      </c>
      <c r="B6" s="14" t="s">
        <v>388</v>
      </c>
      <c r="C6" s="14" t="s">
        <v>388</v>
      </c>
      <c r="D6" s="14" t="s">
        <v>388</v>
      </c>
      <c r="E6" s="14" t="s">
        <v>388</v>
      </c>
      <c r="F6" s="14" t="s">
        <v>388</v>
      </c>
      <c r="G6" s="14" t="s">
        <v>389</v>
      </c>
    </row>
    <row r="7" spans="1:7">
      <c r="A7" s="14" t="s">
        <v>390</v>
      </c>
      <c r="B7" s="14" t="s">
        <v>391</v>
      </c>
      <c r="C7" s="14" t="s">
        <v>391</v>
      </c>
      <c r="D7" s="14" t="s">
        <v>391</v>
      </c>
      <c r="E7" s="14" t="s">
        <v>391</v>
      </c>
      <c r="F7" s="14" t="s">
        <v>391</v>
      </c>
      <c r="G7" s="14" t="s">
        <v>392</v>
      </c>
    </row>
    <row r="8" spans="1:7">
      <c r="A8" s="14" t="s">
        <v>393</v>
      </c>
      <c r="B8" s="35" t="s">
        <v>394</v>
      </c>
      <c r="C8" s="35" t="s">
        <v>394</v>
      </c>
      <c r="D8" s="35" t="s">
        <v>394</v>
      </c>
      <c r="E8" s="35" t="s">
        <v>394</v>
      </c>
      <c r="F8" s="35" t="s">
        <v>394</v>
      </c>
      <c r="G8" s="14"/>
    </row>
    <row r="9" spans="1:7">
      <c r="A9" s="14" t="s">
        <v>395</v>
      </c>
      <c r="B9" s="35" t="s">
        <v>396</v>
      </c>
      <c r="C9" s="35" t="s">
        <v>396</v>
      </c>
      <c r="D9" s="35" t="s">
        <v>396</v>
      </c>
      <c r="E9" s="35" t="s">
        <v>396</v>
      </c>
      <c r="F9" s="35" t="s">
        <v>396</v>
      </c>
      <c r="G9" s="14"/>
    </row>
  </sheetData>
  <mergeCells count="1">
    <mergeCell ref="A1:G1"/>
  </mergeCells>
  <phoneticPr fontId="1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29"/>
  <sheetViews>
    <sheetView workbookViewId="0"/>
  </sheetViews>
  <sheetFormatPr defaultRowHeight="16.899999999999999"/>
  <cols>
    <col min="1" max="1" width="20" customWidth="1"/>
    <col min="2" max="2" width="30" customWidth="1"/>
  </cols>
  <sheetData>
    <row r="1" spans="1:2" ht="20.65">
      <c r="A1" s="46" t="s">
        <v>397</v>
      </c>
      <c r="B1" s="40"/>
    </row>
    <row r="3" spans="1:2">
      <c r="A3" s="3" t="s">
        <v>398</v>
      </c>
    </row>
    <row r="4" spans="1:2">
      <c r="A4" s="36" t="s">
        <v>399</v>
      </c>
      <c r="B4" t="s">
        <v>400</v>
      </c>
    </row>
    <row r="5" spans="1:2">
      <c r="A5" s="36" t="s">
        <v>401</v>
      </c>
      <c r="B5" t="s">
        <v>402</v>
      </c>
    </row>
    <row r="6" spans="1:2">
      <c r="A6" s="36" t="s">
        <v>403</v>
      </c>
      <c r="B6" t="s">
        <v>404</v>
      </c>
    </row>
    <row r="7" spans="1:2">
      <c r="A7" s="36" t="s">
        <v>405</v>
      </c>
      <c r="B7" t="s">
        <v>406</v>
      </c>
    </row>
    <row r="8" spans="1:2">
      <c r="A8" s="36" t="s">
        <v>407</v>
      </c>
      <c r="B8" t="s">
        <v>408</v>
      </c>
    </row>
    <row r="9" spans="1:2">
      <c r="A9" s="36" t="s">
        <v>409</v>
      </c>
      <c r="B9" t="s">
        <v>410</v>
      </c>
    </row>
    <row r="10" spans="1:2">
      <c r="A10" s="36"/>
    </row>
    <row r="11" spans="1:2">
      <c r="A11" s="3" t="s">
        <v>411</v>
      </c>
    </row>
    <row r="12" spans="1:2">
      <c r="A12" s="36" t="s">
        <v>412</v>
      </c>
      <c r="B12" s="37">
        <f>PROJECT_START</f>
        <v>46040</v>
      </c>
    </row>
    <row r="13" spans="1:2">
      <c r="A13" s="36" t="s">
        <v>413</v>
      </c>
      <c r="B13" s="37">
        <f>TARGET_END</f>
        <v>46081</v>
      </c>
    </row>
    <row r="14" spans="1:2">
      <c r="A14" s="36" t="s">
        <v>414</v>
      </c>
      <c r="B14" t="s">
        <v>415</v>
      </c>
    </row>
    <row r="15" spans="1:2">
      <c r="A15" s="36" t="s">
        <v>416</v>
      </c>
      <c r="B15" t="s">
        <v>417</v>
      </c>
    </row>
    <row r="16" spans="1:2">
      <c r="A16" s="36" t="s">
        <v>418</v>
      </c>
      <c r="B16" t="s">
        <v>419</v>
      </c>
    </row>
    <row r="17" spans="1:2">
      <c r="A17" s="36" t="s">
        <v>420</v>
      </c>
      <c r="B17" t="s">
        <v>421</v>
      </c>
    </row>
    <row r="18" spans="1:2">
      <c r="A18" s="36" t="s">
        <v>422</v>
      </c>
      <c r="B18" t="s">
        <v>423</v>
      </c>
    </row>
    <row r="19" spans="1:2">
      <c r="A19" s="36" t="s">
        <v>424</v>
      </c>
      <c r="B19" t="s">
        <v>425</v>
      </c>
    </row>
    <row r="20" spans="1:2">
      <c r="A20" s="36" t="s">
        <v>426</v>
      </c>
      <c r="B20" t="s">
        <v>427</v>
      </c>
    </row>
    <row r="21" spans="1:2">
      <c r="A21" s="36" t="s">
        <v>428</v>
      </c>
      <c r="B21" t="s">
        <v>429</v>
      </c>
    </row>
    <row r="22" spans="1:2">
      <c r="A22" s="36" t="s">
        <v>430</v>
      </c>
      <c r="B22" s="37">
        <f>MAX(Schedule_Data_Mammoet_Orig!G:G)</f>
        <v>46103</v>
      </c>
    </row>
    <row r="23" spans="1:2">
      <c r="A23" s="36"/>
    </row>
    <row r="24" spans="1:2">
      <c r="A24" s="3" t="s">
        <v>431</v>
      </c>
    </row>
    <row r="25" spans="1:2">
      <c r="A25" s="36" t="s">
        <v>432</v>
      </c>
      <c r="B25" t="s">
        <v>433</v>
      </c>
    </row>
    <row r="26" spans="1:2">
      <c r="A26" s="36" t="s">
        <v>434</v>
      </c>
      <c r="B26" t="s">
        <v>435</v>
      </c>
    </row>
    <row r="27" spans="1:2">
      <c r="A27" s="36" t="s">
        <v>436</v>
      </c>
      <c r="B27" t="s">
        <v>437</v>
      </c>
    </row>
    <row r="28" spans="1:2">
      <c r="A28" s="36" t="s">
        <v>438</v>
      </c>
      <c r="B28" t="s">
        <v>439</v>
      </c>
    </row>
    <row r="29" spans="1:2">
      <c r="A29" s="36" t="s">
        <v>440</v>
      </c>
      <c r="B29" t="s">
        <v>441</v>
      </c>
    </row>
  </sheetData>
  <mergeCells count="1">
    <mergeCell ref="A1:B1"/>
  </mergeCells>
  <phoneticPr fontId="1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688"/>
  <sheetViews>
    <sheetView workbookViewId="0"/>
  </sheetViews>
  <sheetFormatPr defaultRowHeight="16.899999999999999"/>
  <cols>
    <col min="1" max="1" width="100" customWidth="1"/>
  </cols>
  <sheetData>
    <row r="1" spans="1:1" ht="20.65">
      <c r="A1" s="33" t="s">
        <v>442</v>
      </c>
    </row>
    <row r="3" spans="1:1">
      <c r="A3" s="38" t="s">
        <v>443</v>
      </c>
    </row>
    <row r="4" spans="1:1">
      <c r="A4" s="38"/>
    </row>
    <row r="5" spans="1:1">
      <c r="A5" s="38" t="s">
        <v>444</v>
      </c>
    </row>
    <row r="6" spans="1:1">
      <c r="A6" s="38" t="s">
        <v>445</v>
      </c>
    </row>
    <row r="7" spans="1:1">
      <c r="A7" s="38" t="s">
        <v>444</v>
      </c>
    </row>
    <row r="8" spans="1:1">
      <c r="A8" s="38" t="s">
        <v>446</v>
      </c>
    </row>
    <row r="9" spans="1:1">
      <c r="A9" s="38" t="s">
        <v>444</v>
      </c>
    </row>
    <row r="10" spans="1:1">
      <c r="A10" s="38"/>
    </row>
    <row r="11" spans="1:1">
      <c r="A11" s="38" t="s">
        <v>447</v>
      </c>
    </row>
    <row r="12" spans="1:1">
      <c r="A12" s="38" t="s">
        <v>448</v>
      </c>
    </row>
    <row r="13" spans="1:1">
      <c r="A13" s="38" t="s">
        <v>449</v>
      </c>
    </row>
    <row r="14" spans="1:1">
      <c r="A14" s="38" t="s">
        <v>450</v>
      </c>
    </row>
    <row r="15" spans="1:1">
      <c r="A15" s="38"/>
    </row>
    <row r="16" spans="1:1">
      <c r="A16" s="38" t="s">
        <v>451</v>
      </c>
    </row>
    <row r="17" spans="1:1">
      <c r="A17" s="38" t="s">
        <v>452</v>
      </c>
    </row>
    <row r="18" spans="1:1">
      <c r="A18" s="38" t="s">
        <v>453</v>
      </c>
    </row>
    <row r="19" spans="1:1">
      <c r="A19" s="38" t="s">
        <v>454</v>
      </c>
    </row>
    <row r="20" spans="1:1">
      <c r="A20" s="38" t="s">
        <v>455</v>
      </c>
    </row>
    <row r="21" spans="1:1">
      <c r="A21" s="38" t="s">
        <v>456</v>
      </c>
    </row>
    <row r="22" spans="1:1">
      <c r="A22" s="38" t="s">
        <v>457</v>
      </c>
    </row>
    <row r="23" spans="1:1">
      <c r="A23" s="38" t="s">
        <v>458</v>
      </c>
    </row>
    <row r="24" spans="1:1">
      <c r="A24" s="38" t="s">
        <v>459</v>
      </c>
    </row>
    <row r="25" spans="1:1">
      <c r="A25" s="38"/>
    </row>
    <row r="26" spans="1:1">
      <c r="A26" s="38" t="s">
        <v>460</v>
      </c>
    </row>
    <row r="27" spans="1:1">
      <c r="A27" s="38" t="s">
        <v>461</v>
      </c>
    </row>
    <row r="28" spans="1:1">
      <c r="A28" s="38" t="s">
        <v>462</v>
      </c>
    </row>
    <row r="29" spans="1:1">
      <c r="A29" s="38"/>
    </row>
    <row r="30" spans="1:1">
      <c r="A30" s="38" t="s">
        <v>463</v>
      </c>
    </row>
    <row r="31" spans="1:1">
      <c r="A31" s="38"/>
    </row>
    <row r="32" spans="1:1">
      <c r="A32" s="38" t="s">
        <v>464</v>
      </c>
    </row>
    <row r="33" spans="1:1">
      <c r="A33" s="38" t="s">
        <v>465</v>
      </c>
    </row>
    <row r="34" spans="1:1">
      <c r="A34" s="38"/>
    </row>
    <row r="35" spans="1:1">
      <c r="A35" s="38" t="s">
        <v>466</v>
      </c>
    </row>
    <row r="36" spans="1:1">
      <c r="A36" s="38" t="s">
        <v>467</v>
      </c>
    </row>
    <row r="37" spans="1:1">
      <c r="A37" s="38"/>
    </row>
    <row r="38" spans="1:1">
      <c r="A38" s="38" t="s">
        <v>468</v>
      </c>
    </row>
    <row r="39" spans="1:1">
      <c r="A39" s="38" t="s">
        <v>469</v>
      </c>
    </row>
    <row r="40" spans="1:1">
      <c r="A40" s="38" t="s">
        <v>451</v>
      </c>
    </row>
    <row r="41" spans="1:1">
      <c r="A41" s="38" t="s">
        <v>470</v>
      </c>
    </row>
    <row r="42" spans="1:1">
      <c r="A42" s="38" t="s">
        <v>471</v>
      </c>
    </row>
    <row r="43" spans="1:1">
      <c r="A43" s="38" t="s">
        <v>472</v>
      </c>
    </row>
    <row r="44" spans="1:1">
      <c r="A44" s="38" t="s">
        <v>459</v>
      </c>
    </row>
    <row r="45" spans="1:1">
      <c r="A45" s="38" t="s">
        <v>467</v>
      </c>
    </row>
    <row r="46" spans="1:1">
      <c r="A46" s="38"/>
    </row>
    <row r="47" spans="1:1">
      <c r="A47" s="38" t="s">
        <v>473</v>
      </c>
    </row>
    <row r="48" spans="1:1">
      <c r="A48" s="38" t="s">
        <v>474</v>
      </c>
    </row>
    <row r="49" spans="1:1">
      <c r="A49" s="38" t="s">
        <v>475</v>
      </c>
    </row>
    <row r="50" spans="1:1">
      <c r="A50" s="38" t="s">
        <v>476</v>
      </c>
    </row>
    <row r="51" spans="1:1">
      <c r="A51" s="38" t="s">
        <v>477</v>
      </c>
    </row>
    <row r="52" spans="1:1">
      <c r="A52" s="38" t="s">
        <v>478</v>
      </c>
    </row>
    <row r="53" spans="1:1">
      <c r="A53" s="38" t="s">
        <v>479</v>
      </c>
    </row>
    <row r="54" spans="1:1">
      <c r="A54" s="38"/>
    </row>
    <row r="55" spans="1:1">
      <c r="A55" s="38" t="s">
        <v>480</v>
      </c>
    </row>
    <row r="56" spans="1:1">
      <c r="A56" s="38" t="s">
        <v>481</v>
      </c>
    </row>
    <row r="57" spans="1:1">
      <c r="A57" s="38" t="s">
        <v>482</v>
      </c>
    </row>
    <row r="58" spans="1:1">
      <c r="A58" s="38" t="s">
        <v>483</v>
      </c>
    </row>
    <row r="59" spans="1:1">
      <c r="A59" s="38" t="s">
        <v>484</v>
      </c>
    </row>
    <row r="60" spans="1:1">
      <c r="A60" s="38" t="s">
        <v>485</v>
      </c>
    </row>
    <row r="61" spans="1:1">
      <c r="A61" s="38"/>
    </row>
    <row r="62" spans="1:1">
      <c r="A62" s="38" t="s">
        <v>486</v>
      </c>
    </row>
    <row r="63" spans="1:1">
      <c r="A63" s="38" t="s">
        <v>487</v>
      </c>
    </row>
    <row r="64" spans="1:1">
      <c r="A64" s="38" t="s">
        <v>488</v>
      </c>
    </row>
    <row r="65" spans="1:1">
      <c r="A65" s="38"/>
    </row>
    <row r="66" spans="1:1">
      <c r="A66" s="38" t="s">
        <v>449</v>
      </c>
    </row>
    <row r="67" spans="1:1">
      <c r="A67" s="38"/>
    </row>
    <row r="68" spans="1:1">
      <c r="A68" s="38" t="s">
        <v>489</v>
      </c>
    </row>
    <row r="69" spans="1:1">
      <c r="A69" s="38"/>
    </row>
    <row r="70" spans="1:1">
      <c r="A70" s="38" t="s">
        <v>490</v>
      </c>
    </row>
    <row r="71" spans="1:1">
      <c r="A71" s="38" t="s">
        <v>491</v>
      </c>
    </row>
    <row r="72" spans="1:1">
      <c r="A72" s="38" t="s">
        <v>492</v>
      </c>
    </row>
    <row r="73" spans="1:1">
      <c r="A73" s="38" t="s">
        <v>493</v>
      </c>
    </row>
    <row r="74" spans="1:1">
      <c r="A74" s="38" t="s">
        <v>494</v>
      </c>
    </row>
    <row r="75" spans="1:1">
      <c r="A75" s="38" t="s">
        <v>495</v>
      </c>
    </row>
    <row r="76" spans="1:1">
      <c r="A76" s="38" t="s">
        <v>496</v>
      </c>
    </row>
    <row r="77" spans="1:1">
      <c r="A77" s="38"/>
    </row>
    <row r="78" spans="1:1">
      <c r="A78" s="38" t="s">
        <v>497</v>
      </c>
    </row>
    <row r="79" spans="1:1">
      <c r="A79" s="38" t="s">
        <v>498</v>
      </c>
    </row>
    <row r="80" spans="1:1">
      <c r="A80" s="38" t="s">
        <v>499</v>
      </c>
    </row>
    <row r="81" spans="1:1">
      <c r="A81" s="38" t="s">
        <v>500</v>
      </c>
    </row>
    <row r="82" spans="1:1">
      <c r="A82" s="38" t="s">
        <v>501</v>
      </c>
    </row>
    <row r="83" spans="1:1">
      <c r="A83" s="38"/>
    </row>
    <row r="84" spans="1:1">
      <c r="A84" s="38" t="s">
        <v>502</v>
      </c>
    </row>
    <row r="85" spans="1:1">
      <c r="A85" s="38" t="s">
        <v>503</v>
      </c>
    </row>
    <row r="86" spans="1:1">
      <c r="A86" s="38" t="s">
        <v>495</v>
      </c>
    </row>
    <row r="87" spans="1:1">
      <c r="A87" s="38"/>
    </row>
    <row r="88" spans="1:1">
      <c r="A88" s="38" t="s">
        <v>504</v>
      </c>
    </row>
    <row r="89" spans="1:1">
      <c r="A89" s="38" t="s">
        <v>505</v>
      </c>
    </row>
    <row r="90" spans="1:1">
      <c r="A90" s="38" t="s">
        <v>506</v>
      </c>
    </row>
    <row r="91" spans="1:1">
      <c r="A91" s="38" t="s">
        <v>507</v>
      </c>
    </row>
    <row r="92" spans="1:1">
      <c r="A92" s="38" t="s">
        <v>508</v>
      </c>
    </row>
    <row r="93" spans="1:1">
      <c r="A93" s="38" t="s">
        <v>509</v>
      </c>
    </row>
    <row r="94" spans="1:1">
      <c r="A94" s="38" t="s">
        <v>510</v>
      </c>
    </row>
    <row r="95" spans="1:1">
      <c r="A95" s="38" t="s">
        <v>511</v>
      </c>
    </row>
    <row r="96" spans="1:1">
      <c r="A96" s="38"/>
    </row>
    <row r="97" spans="1:1">
      <c r="A97" s="38" t="s">
        <v>512</v>
      </c>
    </row>
    <row r="98" spans="1:1">
      <c r="A98" s="38"/>
    </row>
    <row r="99" spans="1:1">
      <c r="A99" s="38" t="s">
        <v>513</v>
      </c>
    </row>
    <row r="100" spans="1:1">
      <c r="A100" s="38" t="s">
        <v>514</v>
      </c>
    </row>
    <row r="101" spans="1:1">
      <c r="A101" s="38" t="s">
        <v>515</v>
      </c>
    </row>
    <row r="102" spans="1:1">
      <c r="A102" s="38" t="s">
        <v>516</v>
      </c>
    </row>
    <row r="103" spans="1:1">
      <c r="A103" s="38" t="s">
        <v>517</v>
      </c>
    </row>
    <row r="104" spans="1:1">
      <c r="A104" s="38" t="s">
        <v>516</v>
      </c>
    </row>
    <row r="105" spans="1:1">
      <c r="A105" s="38" t="s">
        <v>518</v>
      </c>
    </row>
    <row r="106" spans="1:1">
      <c r="A106" s="38" t="s">
        <v>519</v>
      </c>
    </row>
    <row r="107" spans="1:1">
      <c r="A107" s="38" t="s">
        <v>520</v>
      </c>
    </row>
    <row r="108" spans="1:1">
      <c r="A108" s="38" t="s">
        <v>521</v>
      </c>
    </row>
    <row r="109" spans="1:1">
      <c r="A109" s="38" t="s">
        <v>522</v>
      </c>
    </row>
    <row r="110" spans="1:1">
      <c r="A110" s="38" t="s">
        <v>495</v>
      </c>
    </row>
    <row r="111" spans="1:1">
      <c r="A111" s="38" t="s">
        <v>523</v>
      </c>
    </row>
    <row r="112" spans="1:1">
      <c r="A112" s="38" t="s">
        <v>524</v>
      </c>
    </row>
    <row r="113" spans="1:1">
      <c r="A113" s="38"/>
    </row>
    <row r="114" spans="1:1">
      <c r="A114" s="38" t="s">
        <v>465</v>
      </c>
    </row>
    <row r="115" spans="1:1">
      <c r="A115" s="38" t="s">
        <v>467</v>
      </c>
    </row>
    <row r="116" spans="1:1">
      <c r="A116" s="38"/>
    </row>
    <row r="117" spans="1:1">
      <c r="A117" s="38" t="s">
        <v>525</v>
      </c>
    </row>
    <row r="118" spans="1:1">
      <c r="A118" s="38" t="s">
        <v>526</v>
      </c>
    </row>
    <row r="119" spans="1:1">
      <c r="A119" s="38" t="s">
        <v>475</v>
      </c>
    </row>
    <row r="120" spans="1:1">
      <c r="A120" s="38" t="s">
        <v>476</v>
      </c>
    </row>
    <row r="121" spans="1:1">
      <c r="A121" s="38" t="s">
        <v>477</v>
      </c>
    </row>
    <row r="122" spans="1:1">
      <c r="A122" s="38" t="s">
        <v>478</v>
      </c>
    </row>
    <row r="123" spans="1:1">
      <c r="A123" s="38" t="s">
        <v>479</v>
      </c>
    </row>
    <row r="124" spans="1:1">
      <c r="A124" s="38"/>
    </row>
    <row r="125" spans="1:1">
      <c r="A125" s="38" t="s">
        <v>527</v>
      </c>
    </row>
    <row r="126" spans="1:1">
      <c r="A126" s="38" t="s">
        <v>528</v>
      </c>
    </row>
    <row r="127" spans="1:1">
      <c r="A127" s="38" t="s">
        <v>482</v>
      </c>
    </row>
    <row r="128" spans="1:1">
      <c r="A128" s="38" t="s">
        <v>483</v>
      </c>
    </row>
    <row r="129" spans="1:1">
      <c r="A129" s="38" t="s">
        <v>484</v>
      </c>
    </row>
    <row r="130" spans="1:1">
      <c r="A130" s="38" t="s">
        <v>485</v>
      </c>
    </row>
    <row r="131" spans="1:1">
      <c r="A131" s="38"/>
    </row>
    <row r="132" spans="1:1">
      <c r="A132" s="38" t="s">
        <v>486</v>
      </c>
    </row>
    <row r="133" spans="1:1">
      <c r="A133" s="38" t="s">
        <v>487</v>
      </c>
    </row>
    <row r="134" spans="1:1">
      <c r="A134" s="38" t="s">
        <v>488</v>
      </c>
    </row>
    <row r="135" spans="1:1">
      <c r="A135" s="38"/>
    </row>
    <row r="136" spans="1:1">
      <c r="A136" s="38" t="s">
        <v>449</v>
      </c>
    </row>
    <row r="137" spans="1:1">
      <c r="A137" s="38"/>
    </row>
    <row r="138" spans="1:1">
      <c r="A138" s="38" t="s">
        <v>489</v>
      </c>
    </row>
    <row r="139" spans="1:1">
      <c r="A139" s="38"/>
    </row>
    <row r="140" spans="1:1">
      <c r="A140" s="38" t="s">
        <v>490</v>
      </c>
    </row>
    <row r="141" spans="1:1">
      <c r="A141" s="38" t="s">
        <v>491</v>
      </c>
    </row>
    <row r="142" spans="1:1">
      <c r="A142" s="38" t="s">
        <v>492</v>
      </c>
    </row>
    <row r="143" spans="1:1">
      <c r="A143" s="38" t="s">
        <v>493</v>
      </c>
    </row>
    <row r="144" spans="1:1">
      <c r="A144" s="38" t="s">
        <v>494</v>
      </c>
    </row>
    <row r="145" spans="1:1">
      <c r="A145" s="38" t="s">
        <v>495</v>
      </c>
    </row>
    <row r="146" spans="1:1">
      <c r="A146" s="38" t="s">
        <v>496</v>
      </c>
    </row>
    <row r="147" spans="1:1">
      <c r="A147" s="38"/>
    </row>
    <row r="148" spans="1:1">
      <c r="A148" s="38" t="s">
        <v>497</v>
      </c>
    </row>
    <row r="149" spans="1:1">
      <c r="A149" s="38" t="s">
        <v>498</v>
      </c>
    </row>
    <row r="150" spans="1:1">
      <c r="A150" s="38" t="s">
        <v>499</v>
      </c>
    </row>
    <row r="151" spans="1:1">
      <c r="A151" s="38" t="s">
        <v>500</v>
      </c>
    </row>
    <row r="152" spans="1:1">
      <c r="A152" s="38" t="s">
        <v>501</v>
      </c>
    </row>
    <row r="153" spans="1:1">
      <c r="A153" s="38"/>
    </row>
    <row r="154" spans="1:1">
      <c r="A154" s="38" t="s">
        <v>502</v>
      </c>
    </row>
    <row r="155" spans="1:1">
      <c r="A155" s="38" t="s">
        <v>503</v>
      </c>
    </row>
    <row r="156" spans="1:1">
      <c r="A156" s="38" t="s">
        <v>495</v>
      </c>
    </row>
    <row r="157" spans="1:1">
      <c r="A157" s="38"/>
    </row>
    <row r="158" spans="1:1">
      <c r="A158" s="38" t="s">
        <v>504</v>
      </c>
    </row>
    <row r="159" spans="1:1">
      <c r="A159" s="38" t="s">
        <v>505</v>
      </c>
    </row>
    <row r="160" spans="1:1">
      <c r="A160" s="38" t="s">
        <v>506</v>
      </c>
    </row>
    <row r="161" spans="1:1">
      <c r="A161" s="38" t="s">
        <v>507</v>
      </c>
    </row>
    <row r="162" spans="1:1">
      <c r="A162" s="38" t="s">
        <v>508</v>
      </c>
    </row>
    <row r="163" spans="1:1">
      <c r="A163" s="38" t="s">
        <v>509</v>
      </c>
    </row>
    <row r="164" spans="1:1">
      <c r="A164" s="38" t="s">
        <v>510</v>
      </c>
    </row>
    <row r="165" spans="1:1">
      <c r="A165" s="38" t="s">
        <v>511</v>
      </c>
    </row>
    <row r="166" spans="1:1">
      <c r="A166" s="38"/>
    </row>
    <row r="167" spans="1:1">
      <c r="A167" s="38" t="s">
        <v>512</v>
      </c>
    </row>
    <row r="168" spans="1:1">
      <c r="A168" s="38"/>
    </row>
    <row r="169" spans="1:1">
      <c r="A169" s="38" t="s">
        <v>513</v>
      </c>
    </row>
    <row r="170" spans="1:1">
      <c r="A170" s="38" t="s">
        <v>514</v>
      </c>
    </row>
    <row r="171" spans="1:1">
      <c r="A171" s="38" t="s">
        <v>515</v>
      </c>
    </row>
    <row r="172" spans="1:1">
      <c r="A172" s="38" t="s">
        <v>516</v>
      </c>
    </row>
    <row r="173" spans="1:1">
      <c r="A173" s="38" t="s">
        <v>517</v>
      </c>
    </row>
    <row r="174" spans="1:1">
      <c r="A174" s="38" t="s">
        <v>516</v>
      </c>
    </row>
    <row r="175" spans="1:1">
      <c r="A175" s="38" t="s">
        <v>518</v>
      </c>
    </row>
    <row r="176" spans="1:1">
      <c r="A176" s="38" t="s">
        <v>519</v>
      </c>
    </row>
    <row r="177" spans="1:1">
      <c r="A177" s="38" t="s">
        <v>520</v>
      </c>
    </row>
    <row r="178" spans="1:1">
      <c r="A178" s="38" t="s">
        <v>521</v>
      </c>
    </row>
    <row r="179" spans="1:1">
      <c r="A179" s="38" t="s">
        <v>522</v>
      </c>
    </row>
    <row r="180" spans="1:1">
      <c r="A180" s="38" t="s">
        <v>495</v>
      </c>
    </row>
    <row r="181" spans="1:1">
      <c r="A181" s="38" t="s">
        <v>523</v>
      </c>
    </row>
    <row r="182" spans="1:1">
      <c r="A182" s="38" t="s">
        <v>524</v>
      </c>
    </row>
    <row r="183" spans="1:1">
      <c r="A183" s="38"/>
    </row>
    <row r="184" spans="1:1">
      <c r="A184" s="38" t="s">
        <v>465</v>
      </c>
    </row>
    <row r="185" spans="1:1">
      <c r="A185" s="38" t="s">
        <v>467</v>
      </c>
    </row>
    <row r="186" spans="1:1">
      <c r="A186" s="38"/>
    </row>
    <row r="187" spans="1:1">
      <c r="A187" s="38" t="s">
        <v>529</v>
      </c>
    </row>
    <row r="188" spans="1:1">
      <c r="A188" s="38" t="s">
        <v>530</v>
      </c>
    </row>
    <row r="189" spans="1:1">
      <c r="A189" s="38" t="s">
        <v>475</v>
      </c>
    </row>
    <row r="190" spans="1:1">
      <c r="A190" s="38" t="s">
        <v>476</v>
      </c>
    </row>
    <row r="191" spans="1:1">
      <c r="A191" s="38" t="s">
        <v>477</v>
      </c>
    </row>
    <row r="192" spans="1:1">
      <c r="A192" s="38" t="s">
        <v>478</v>
      </c>
    </row>
    <row r="193" spans="1:1">
      <c r="A193" s="38" t="s">
        <v>479</v>
      </c>
    </row>
    <row r="194" spans="1:1">
      <c r="A194" s="38"/>
    </row>
    <row r="195" spans="1:1">
      <c r="A195" s="38" t="s">
        <v>531</v>
      </c>
    </row>
    <row r="196" spans="1:1">
      <c r="A196" s="38" t="s">
        <v>532</v>
      </c>
    </row>
    <row r="197" spans="1:1">
      <c r="A197" s="38" t="s">
        <v>482</v>
      </c>
    </row>
    <row r="198" spans="1:1">
      <c r="A198" s="38" t="s">
        <v>483</v>
      </c>
    </row>
    <row r="199" spans="1:1">
      <c r="A199" s="38" t="s">
        <v>484</v>
      </c>
    </row>
    <row r="200" spans="1:1">
      <c r="A200" s="38" t="s">
        <v>485</v>
      </c>
    </row>
    <row r="201" spans="1:1">
      <c r="A201" s="38"/>
    </row>
    <row r="202" spans="1:1">
      <c r="A202" s="38" t="s">
        <v>486</v>
      </c>
    </row>
    <row r="203" spans="1:1">
      <c r="A203" s="38" t="s">
        <v>487</v>
      </c>
    </row>
    <row r="204" spans="1:1">
      <c r="A204" s="38" t="s">
        <v>488</v>
      </c>
    </row>
    <row r="205" spans="1:1">
      <c r="A205" s="38"/>
    </row>
    <row r="206" spans="1:1">
      <c r="A206" s="38" t="s">
        <v>449</v>
      </c>
    </row>
    <row r="207" spans="1:1">
      <c r="A207" s="38"/>
    </row>
    <row r="208" spans="1:1">
      <c r="A208" s="38" t="s">
        <v>489</v>
      </c>
    </row>
    <row r="209" spans="1:1">
      <c r="A209" s="38"/>
    </row>
    <row r="210" spans="1:1">
      <c r="A210" s="38" t="s">
        <v>490</v>
      </c>
    </row>
    <row r="211" spans="1:1">
      <c r="A211" s="38" t="s">
        <v>491</v>
      </c>
    </row>
    <row r="212" spans="1:1">
      <c r="A212" s="38" t="s">
        <v>492</v>
      </c>
    </row>
    <row r="213" spans="1:1">
      <c r="A213" s="38" t="s">
        <v>493</v>
      </c>
    </row>
    <row r="214" spans="1:1">
      <c r="A214" s="38" t="s">
        <v>494</v>
      </c>
    </row>
    <row r="215" spans="1:1">
      <c r="A215" s="38" t="s">
        <v>495</v>
      </c>
    </row>
    <row r="216" spans="1:1">
      <c r="A216" s="38" t="s">
        <v>496</v>
      </c>
    </row>
    <row r="217" spans="1:1">
      <c r="A217" s="38"/>
    </row>
    <row r="218" spans="1:1">
      <c r="A218" s="38" t="s">
        <v>497</v>
      </c>
    </row>
    <row r="219" spans="1:1">
      <c r="A219" s="38" t="s">
        <v>498</v>
      </c>
    </row>
    <row r="220" spans="1:1">
      <c r="A220" s="38" t="s">
        <v>499</v>
      </c>
    </row>
    <row r="221" spans="1:1">
      <c r="A221" s="38" t="s">
        <v>500</v>
      </c>
    </row>
    <row r="222" spans="1:1">
      <c r="A222" s="38" t="s">
        <v>501</v>
      </c>
    </row>
    <row r="223" spans="1:1">
      <c r="A223" s="38"/>
    </row>
    <row r="224" spans="1:1">
      <c r="A224" s="38" t="s">
        <v>502</v>
      </c>
    </row>
    <row r="225" spans="1:1">
      <c r="A225" s="38" t="s">
        <v>503</v>
      </c>
    </row>
    <row r="226" spans="1:1">
      <c r="A226" s="38" t="s">
        <v>495</v>
      </c>
    </row>
    <row r="227" spans="1:1">
      <c r="A227" s="38"/>
    </row>
    <row r="228" spans="1:1">
      <c r="A228" s="38" t="s">
        <v>504</v>
      </c>
    </row>
    <row r="229" spans="1:1">
      <c r="A229" s="38" t="s">
        <v>505</v>
      </c>
    </row>
    <row r="230" spans="1:1">
      <c r="A230" s="38" t="s">
        <v>506</v>
      </c>
    </row>
    <row r="231" spans="1:1">
      <c r="A231" s="38" t="s">
        <v>507</v>
      </c>
    </row>
    <row r="232" spans="1:1">
      <c r="A232" s="38" t="s">
        <v>508</v>
      </c>
    </row>
    <row r="233" spans="1:1">
      <c r="A233" s="38" t="s">
        <v>509</v>
      </c>
    </row>
    <row r="234" spans="1:1">
      <c r="A234" s="38" t="s">
        <v>510</v>
      </c>
    </row>
    <row r="235" spans="1:1">
      <c r="A235" s="38" t="s">
        <v>511</v>
      </c>
    </row>
    <row r="236" spans="1:1">
      <c r="A236" s="38"/>
    </row>
    <row r="237" spans="1:1">
      <c r="A237" s="38" t="s">
        <v>512</v>
      </c>
    </row>
    <row r="238" spans="1:1">
      <c r="A238" s="38"/>
    </row>
    <row r="239" spans="1:1">
      <c r="A239" s="38" t="s">
        <v>513</v>
      </c>
    </row>
    <row r="240" spans="1:1">
      <c r="A240" s="38" t="s">
        <v>514</v>
      </c>
    </row>
    <row r="241" spans="1:1">
      <c r="A241" s="38" t="s">
        <v>515</v>
      </c>
    </row>
    <row r="242" spans="1:1">
      <c r="A242" s="38" t="s">
        <v>516</v>
      </c>
    </row>
    <row r="243" spans="1:1">
      <c r="A243" s="38" t="s">
        <v>517</v>
      </c>
    </row>
    <row r="244" spans="1:1">
      <c r="A244" s="38" t="s">
        <v>516</v>
      </c>
    </row>
    <row r="245" spans="1:1">
      <c r="A245" s="38" t="s">
        <v>518</v>
      </c>
    </row>
    <row r="246" spans="1:1">
      <c r="A246" s="38" t="s">
        <v>519</v>
      </c>
    </row>
    <row r="247" spans="1:1">
      <c r="A247" s="38" t="s">
        <v>520</v>
      </c>
    </row>
    <row r="248" spans="1:1">
      <c r="A248" s="38" t="s">
        <v>521</v>
      </c>
    </row>
    <row r="249" spans="1:1">
      <c r="A249" s="38" t="s">
        <v>522</v>
      </c>
    </row>
    <row r="250" spans="1:1">
      <c r="A250" s="38" t="s">
        <v>495</v>
      </c>
    </row>
    <row r="251" spans="1:1">
      <c r="A251" s="38" t="s">
        <v>523</v>
      </c>
    </row>
    <row r="252" spans="1:1">
      <c r="A252" s="38" t="s">
        <v>524</v>
      </c>
    </row>
    <row r="253" spans="1:1">
      <c r="A253" s="38"/>
    </row>
    <row r="254" spans="1:1">
      <c r="A254" s="38" t="s">
        <v>465</v>
      </c>
    </row>
    <row r="255" spans="1:1">
      <c r="A255" s="38" t="s">
        <v>467</v>
      </c>
    </row>
    <row r="256" spans="1:1">
      <c r="A256" s="38"/>
    </row>
    <row r="257" spans="1:1">
      <c r="A257" s="38" t="s">
        <v>533</v>
      </c>
    </row>
    <row r="258" spans="1:1">
      <c r="A258" s="38" t="s">
        <v>534</v>
      </c>
    </row>
    <row r="259" spans="1:1">
      <c r="A259" s="38" t="s">
        <v>535</v>
      </c>
    </row>
    <row r="260" spans="1:1">
      <c r="A260" s="38" t="s">
        <v>536</v>
      </c>
    </row>
    <row r="261" spans="1:1">
      <c r="A261" s="38" t="s">
        <v>537</v>
      </c>
    </row>
    <row r="262" spans="1:1">
      <c r="A262" s="38"/>
    </row>
    <row r="263" spans="1:1">
      <c r="A263" s="38" t="s">
        <v>538</v>
      </c>
    </row>
    <row r="264" spans="1:1">
      <c r="A264" s="38" t="s">
        <v>539</v>
      </c>
    </row>
    <row r="265" spans="1:1">
      <c r="A265" s="38" t="s">
        <v>540</v>
      </c>
    </row>
    <row r="266" spans="1:1">
      <c r="A266" s="38"/>
    </row>
    <row r="267" spans="1:1">
      <c r="A267" s="38" t="s">
        <v>541</v>
      </c>
    </row>
    <row r="268" spans="1:1">
      <c r="A268" s="38" t="s">
        <v>542</v>
      </c>
    </row>
    <row r="269" spans="1:1">
      <c r="A269" s="38" t="s">
        <v>543</v>
      </c>
    </row>
    <row r="270" spans="1:1">
      <c r="A270" s="38" t="s">
        <v>544</v>
      </c>
    </row>
    <row r="271" spans="1:1">
      <c r="A271" s="38" t="s">
        <v>545</v>
      </c>
    </row>
    <row r="272" spans="1:1">
      <c r="A272" s="38" t="s">
        <v>546</v>
      </c>
    </row>
    <row r="273" spans="1:1">
      <c r="A273" s="38" t="s">
        <v>510</v>
      </c>
    </row>
    <row r="274" spans="1:1">
      <c r="A274" s="38" t="s">
        <v>495</v>
      </c>
    </row>
    <row r="275" spans="1:1">
      <c r="A275" s="38" t="s">
        <v>524</v>
      </c>
    </row>
    <row r="276" spans="1:1">
      <c r="A276" s="38"/>
    </row>
    <row r="277" spans="1:1">
      <c r="A277" s="38" t="s">
        <v>547</v>
      </c>
    </row>
    <row r="278" spans="1:1">
      <c r="A278" s="38" t="s">
        <v>467</v>
      </c>
    </row>
    <row r="279" spans="1:1">
      <c r="A279" s="38"/>
    </row>
    <row r="280" spans="1:1">
      <c r="A280" s="38" t="s">
        <v>548</v>
      </c>
    </row>
    <row r="281" spans="1:1">
      <c r="A281" s="38" t="s">
        <v>549</v>
      </c>
    </row>
    <row r="282" spans="1:1">
      <c r="A282" s="38" t="s">
        <v>449</v>
      </c>
    </row>
    <row r="283" spans="1:1">
      <c r="A283" s="38" t="s">
        <v>450</v>
      </c>
    </row>
    <row r="284" spans="1:1">
      <c r="A284" s="38"/>
    </row>
    <row r="285" spans="1:1">
      <c r="A285" s="38" t="s">
        <v>452</v>
      </c>
    </row>
    <row r="286" spans="1:1">
      <c r="A286" s="38" t="s">
        <v>453</v>
      </c>
    </row>
    <row r="287" spans="1:1">
      <c r="A287" s="38" t="s">
        <v>460</v>
      </c>
    </row>
    <row r="288" spans="1:1">
      <c r="A288" s="38" t="s">
        <v>461</v>
      </c>
    </row>
    <row r="289" spans="1:1">
      <c r="A289" s="38"/>
    </row>
    <row r="290" spans="1:1">
      <c r="A290" s="38" t="s">
        <v>550</v>
      </c>
    </row>
    <row r="291" spans="1:1">
      <c r="A291" s="38"/>
    </row>
    <row r="292" spans="1:1">
      <c r="A292" s="38" t="s">
        <v>464</v>
      </c>
    </row>
    <row r="293" spans="1:1">
      <c r="A293" s="38" t="s">
        <v>465</v>
      </c>
    </row>
    <row r="294" spans="1:1">
      <c r="A294" s="38"/>
    </row>
    <row r="295" spans="1:1">
      <c r="A295" s="38" t="s">
        <v>551</v>
      </c>
    </row>
    <row r="296" spans="1:1">
      <c r="A296" s="38" t="s">
        <v>552</v>
      </c>
    </row>
    <row r="297" spans="1:1">
      <c r="A297" s="38" t="s">
        <v>553</v>
      </c>
    </row>
    <row r="298" spans="1:1">
      <c r="A298" s="38" t="s">
        <v>554</v>
      </c>
    </row>
    <row r="299" spans="1:1">
      <c r="A299" s="38" t="s">
        <v>467</v>
      </c>
    </row>
    <row r="300" spans="1:1">
      <c r="A300" s="38"/>
    </row>
    <row r="301" spans="1:1">
      <c r="A301" s="38" t="s">
        <v>555</v>
      </c>
    </row>
    <row r="302" spans="1:1">
      <c r="A302" s="38" t="s">
        <v>556</v>
      </c>
    </row>
    <row r="303" spans="1:1">
      <c r="A303" s="38" t="s">
        <v>475</v>
      </c>
    </row>
    <row r="304" spans="1:1">
      <c r="A304" s="38" t="s">
        <v>476</v>
      </c>
    </row>
    <row r="305" spans="1:1">
      <c r="A305" s="38" t="s">
        <v>477</v>
      </c>
    </row>
    <row r="306" spans="1:1">
      <c r="A306" s="38" t="s">
        <v>478</v>
      </c>
    </row>
    <row r="307" spans="1:1">
      <c r="A307" s="38" t="s">
        <v>479</v>
      </c>
    </row>
    <row r="308" spans="1:1">
      <c r="A308" s="38"/>
    </row>
    <row r="309" spans="1:1">
      <c r="A309" s="38" t="s">
        <v>480</v>
      </c>
    </row>
    <row r="310" spans="1:1">
      <c r="A310" s="38" t="s">
        <v>481</v>
      </c>
    </row>
    <row r="311" spans="1:1">
      <c r="A311" s="38" t="s">
        <v>482</v>
      </c>
    </row>
    <row r="312" spans="1:1">
      <c r="A312" s="38" t="s">
        <v>483</v>
      </c>
    </row>
    <row r="313" spans="1:1">
      <c r="A313" s="38" t="s">
        <v>484</v>
      </c>
    </row>
    <row r="314" spans="1:1">
      <c r="A314" s="38" t="s">
        <v>557</v>
      </c>
    </row>
    <row r="315" spans="1:1">
      <c r="A315" s="38"/>
    </row>
    <row r="316" spans="1:1">
      <c r="A316" s="38" t="s">
        <v>486</v>
      </c>
    </row>
    <row r="317" spans="1:1">
      <c r="A317" s="38" t="s">
        <v>487</v>
      </c>
    </row>
    <row r="318" spans="1:1">
      <c r="A318" s="38" t="s">
        <v>488</v>
      </c>
    </row>
    <row r="319" spans="1:1">
      <c r="A319" s="38"/>
    </row>
    <row r="320" spans="1:1">
      <c r="A320" s="38" t="s">
        <v>449</v>
      </c>
    </row>
    <row r="321" spans="1:1">
      <c r="A321" s="38"/>
    </row>
    <row r="322" spans="1:1">
      <c r="A322" s="38" t="s">
        <v>558</v>
      </c>
    </row>
    <row r="323" spans="1:1">
      <c r="A323" s="38" t="s">
        <v>489</v>
      </c>
    </row>
    <row r="324" spans="1:1">
      <c r="A324" s="38"/>
    </row>
    <row r="325" spans="1:1">
      <c r="A325" s="38" t="s">
        <v>559</v>
      </c>
    </row>
    <row r="326" spans="1:1">
      <c r="A326" s="38" t="s">
        <v>490</v>
      </c>
    </row>
    <row r="327" spans="1:1">
      <c r="A327" s="38" t="s">
        <v>560</v>
      </c>
    </row>
    <row r="328" spans="1:1">
      <c r="A328" s="38" t="s">
        <v>492</v>
      </c>
    </row>
    <row r="329" spans="1:1">
      <c r="A329" s="38" t="s">
        <v>493</v>
      </c>
    </row>
    <row r="330" spans="1:1">
      <c r="A330" s="38" t="s">
        <v>561</v>
      </c>
    </row>
    <row r="331" spans="1:1">
      <c r="A331" s="38" t="s">
        <v>495</v>
      </c>
    </row>
    <row r="332" spans="1:1">
      <c r="A332" s="38" t="s">
        <v>496</v>
      </c>
    </row>
    <row r="333" spans="1:1">
      <c r="A333" s="38"/>
    </row>
    <row r="334" spans="1:1">
      <c r="A334" s="38" t="s">
        <v>562</v>
      </c>
    </row>
    <row r="335" spans="1:1">
      <c r="A335" s="38" t="s">
        <v>497</v>
      </c>
    </row>
    <row r="336" spans="1:1">
      <c r="A336" s="38" t="s">
        <v>504</v>
      </c>
    </row>
    <row r="337" spans="1:1">
      <c r="A337" s="38" t="s">
        <v>505</v>
      </c>
    </row>
    <row r="338" spans="1:1">
      <c r="A338" s="38" t="s">
        <v>506</v>
      </c>
    </row>
    <row r="339" spans="1:1">
      <c r="A339" s="38" t="s">
        <v>507</v>
      </c>
    </row>
    <row r="340" spans="1:1">
      <c r="A340" s="38" t="s">
        <v>508</v>
      </c>
    </row>
    <row r="341" spans="1:1">
      <c r="A341" s="38" t="s">
        <v>509</v>
      </c>
    </row>
    <row r="342" spans="1:1">
      <c r="A342" s="38" t="s">
        <v>510</v>
      </c>
    </row>
    <row r="343" spans="1:1">
      <c r="A343" s="38" t="s">
        <v>511</v>
      </c>
    </row>
    <row r="344" spans="1:1">
      <c r="A344" s="38"/>
    </row>
    <row r="345" spans="1:1">
      <c r="A345" s="38" t="s">
        <v>512</v>
      </c>
    </row>
    <row r="346" spans="1:1">
      <c r="A346" s="38"/>
    </row>
    <row r="347" spans="1:1">
      <c r="A347" s="38" t="s">
        <v>513</v>
      </c>
    </row>
    <row r="348" spans="1:1">
      <c r="A348" s="38" t="s">
        <v>514</v>
      </c>
    </row>
    <row r="349" spans="1:1">
      <c r="A349" s="38" t="s">
        <v>515</v>
      </c>
    </row>
    <row r="350" spans="1:1">
      <c r="A350" s="38" t="s">
        <v>516</v>
      </c>
    </row>
    <row r="351" spans="1:1">
      <c r="A351" s="38" t="s">
        <v>517</v>
      </c>
    </row>
    <row r="352" spans="1:1">
      <c r="A352" s="38" t="s">
        <v>516</v>
      </c>
    </row>
    <row r="353" spans="1:1">
      <c r="A353" s="38" t="s">
        <v>563</v>
      </c>
    </row>
    <row r="354" spans="1:1">
      <c r="A354" s="38" t="s">
        <v>519</v>
      </c>
    </row>
    <row r="355" spans="1:1">
      <c r="A355" s="38" t="s">
        <v>520</v>
      </c>
    </row>
    <row r="356" spans="1:1">
      <c r="A356" s="38" t="s">
        <v>521</v>
      </c>
    </row>
    <row r="357" spans="1:1">
      <c r="A357" s="38" t="s">
        <v>522</v>
      </c>
    </row>
    <row r="358" spans="1:1">
      <c r="A358" s="38" t="s">
        <v>495</v>
      </c>
    </row>
    <row r="359" spans="1:1">
      <c r="A359" s="38" t="s">
        <v>524</v>
      </c>
    </row>
    <row r="360" spans="1:1">
      <c r="A360" s="38"/>
    </row>
    <row r="361" spans="1:1">
      <c r="A361" s="38" t="s">
        <v>564</v>
      </c>
    </row>
    <row r="362" spans="1:1">
      <c r="A362" s="38" t="s">
        <v>490</v>
      </c>
    </row>
    <row r="363" spans="1:1">
      <c r="A363" s="38" t="s">
        <v>492</v>
      </c>
    </row>
    <row r="364" spans="1:1">
      <c r="A364" s="38" t="s">
        <v>565</v>
      </c>
    </row>
    <row r="365" spans="1:1">
      <c r="A365" s="38" t="s">
        <v>566</v>
      </c>
    </row>
    <row r="366" spans="1:1">
      <c r="A366" s="38" t="s">
        <v>567</v>
      </c>
    </row>
    <row r="367" spans="1:1">
      <c r="A367" s="38" t="s">
        <v>568</v>
      </c>
    </row>
    <row r="368" spans="1:1">
      <c r="A368" s="38" t="s">
        <v>495</v>
      </c>
    </row>
    <row r="369" spans="1:1">
      <c r="A369" s="38" t="s">
        <v>496</v>
      </c>
    </row>
    <row r="370" spans="1:1">
      <c r="A370" s="38"/>
    </row>
    <row r="371" spans="1:1">
      <c r="A371" s="38" t="s">
        <v>465</v>
      </c>
    </row>
    <row r="372" spans="1:1">
      <c r="A372" s="38" t="s">
        <v>467</v>
      </c>
    </row>
    <row r="373" spans="1:1">
      <c r="A373" s="38"/>
    </row>
    <row r="374" spans="1:1">
      <c r="A374" s="38" t="s">
        <v>569</v>
      </c>
    </row>
    <row r="375" spans="1:1">
      <c r="A375" s="38" t="s">
        <v>570</v>
      </c>
    </row>
    <row r="376" spans="1:1">
      <c r="A376" s="38" t="s">
        <v>571</v>
      </c>
    </row>
    <row r="377" spans="1:1">
      <c r="A377" s="38" t="s">
        <v>572</v>
      </c>
    </row>
    <row r="378" spans="1:1">
      <c r="A378" s="38" t="s">
        <v>573</v>
      </c>
    </row>
    <row r="379" spans="1:1">
      <c r="A379" s="38" t="s">
        <v>574</v>
      </c>
    </row>
    <row r="380" spans="1:1">
      <c r="A380" s="38" t="s">
        <v>575</v>
      </c>
    </row>
    <row r="381" spans="1:1">
      <c r="A381" s="38" t="s">
        <v>576</v>
      </c>
    </row>
    <row r="382" spans="1:1">
      <c r="A382" s="38" t="s">
        <v>577</v>
      </c>
    </row>
    <row r="383" spans="1:1">
      <c r="A383" s="38" t="s">
        <v>578</v>
      </c>
    </row>
    <row r="384" spans="1:1">
      <c r="A384" s="38" t="s">
        <v>579</v>
      </c>
    </row>
    <row r="385" spans="1:1">
      <c r="A385" s="38" t="s">
        <v>580</v>
      </c>
    </row>
    <row r="386" spans="1:1">
      <c r="A386" s="38" t="s">
        <v>581</v>
      </c>
    </row>
    <row r="387" spans="1:1">
      <c r="A387" s="38" t="s">
        <v>582</v>
      </c>
    </row>
    <row r="388" spans="1:1">
      <c r="A388" s="38" t="s">
        <v>583</v>
      </c>
    </row>
    <row r="389" spans="1:1">
      <c r="A389" s="38" t="s">
        <v>584</v>
      </c>
    </row>
    <row r="390" spans="1:1">
      <c r="A390" s="38" t="s">
        <v>585</v>
      </c>
    </row>
    <row r="391" spans="1:1">
      <c r="A391" s="38"/>
    </row>
    <row r="392" spans="1:1">
      <c r="A392" s="38" t="s">
        <v>586</v>
      </c>
    </row>
    <row r="393" spans="1:1">
      <c r="A393" s="38" t="s">
        <v>587</v>
      </c>
    </row>
    <row r="394" spans="1:1">
      <c r="A394" s="38" t="s">
        <v>588</v>
      </c>
    </row>
    <row r="395" spans="1:1">
      <c r="A395" s="38" t="s">
        <v>589</v>
      </c>
    </row>
    <row r="396" spans="1:1">
      <c r="A396" s="38" t="s">
        <v>590</v>
      </c>
    </row>
    <row r="397" spans="1:1">
      <c r="A397" s="38"/>
    </row>
    <row r="398" spans="1:1">
      <c r="A398" s="38" t="s">
        <v>481</v>
      </c>
    </row>
    <row r="399" spans="1:1">
      <c r="A399" s="38" t="s">
        <v>488</v>
      </c>
    </row>
    <row r="400" spans="1:1">
      <c r="A400" s="38"/>
    </row>
    <row r="401" spans="1:1">
      <c r="A401" s="38" t="s">
        <v>497</v>
      </c>
    </row>
    <row r="402" spans="1:1">
      <c r="A402" s="38" t="s">
        <v>591</v>
      </c>
    </row>
    <row r="403" spans="1:1">
      <c r="A403" s="38" t="s">
        <v>592</v>
      </c>
    </row>
    <row r="404" spans="1:1">
      <c r="A404" s="38" t="s">
        <v>593</v>
      </c>
    </row>
    <row r="405" spans="1:1">
      <c r="A405" s="38" t="s">
        <v>594</v>
      </c>
    </row>
    <row r="406" spans="1:1">
      <c r="A406" s="38" t="s">
        <v>595</v>
      </c>
    </row>
    <row r="407" spans="1:1">
      <c r="A407" s="38" t="s">
        <v>495</v>
      </c>
    </row>
    <row r="408" spans="1:1">
      <c r="A408" s="38" t="s">
        <v>524</v>
      </c>
    </row>
    <row r="409" spans="1:1">
      <c r="A409" s="38"/>
    </row>
    <row r="410" spans="1:1">
      <c r="A410" s="38" t="s">
        <v>596</v>
      </c>
    </row>
    <row r="411" spans="1:1">
      <c r="A411" s="38" t="s">
        <v>597</v>
      </c>
    </row>
    <row r="412" spans="1:1">
      <c r="A412" s="38" t="s">
        <v>598</v>
      </c>
    </row>
    <row r="413" spans="1:1">
      <c r="A413" s="38" t="s">
        <v>599</v>
      </c>
    </row>
    <row r="414" spans="1:1">
      <c r="A414" s="38" t="s">
        <v>600</v>
      </c>
    </row>
    <row r="415" spans="1:1">
      <c r="A415" s="38" t="s">
        <v>599</v>
      </c>
    </row>
    <row r="416" spans="1:1">
      <c r="A416" s="38" t="s">
        <v>601</v>
      </c>
    </row>
    <row r="417" spans="1:1">
      <c r="A417" s="38" t="s">
        <v>602</v>
      </c>
    </row>
    <row r="418" spans="1:1">
      <c r="A418" s="38" t="s">
        <v>603</v>
      </c>
    </row>
    <row r="419" spans="1:1">
      <c r="A419" s="38" t="s">
        <v>604</v>
      </c>
    </row>
    <row r="420" spans="1:1">
      <c r="A420" s="38" t="s">
        <v>605</v>
      </c>
    </row>
    <row r="421" spans="1:1">
      <c r="A421" s="38" t="s">
        <v>599</v>
      </c>
    </row>
    <row r="422" spans="1:1">
      <c r="A422" s="38" t="s">
        <v>606</v>
      </c>
    </row>
    <row r="423" spans="1:1">
      <c r="A423" s="38" t="s">
        <v>607</v>
      </c>
    </row>
    <row r="424" spans="1:1">
      <c r="A424" s="38" t="s">
        <v>608</v>
      </c>
    </row>
    <row r="425" spans="1:1">
      <c r="A425" s="38" t="s">
        <v>609</v>
      </c>
    </row>
    <row r="426" spans="1:1">
      <c r="A426" s="38" t="s">
        <v>610</v>
      </c>
    </row>
    <row r="427" spans="1:1">
      <c r="A427" s="38" t="s">
        <v>599</v>
      </c>
    </row>
    <row r="428" spans="1:1">
      <c r="A428" s="38" t="s">
        <v>611</v>
      </c>
    </row>
    <row r="429" spans="1:1">
      <c r="A429" s="38" t="s">
        <v>612</v>
      </c>
    </row>
    <row r="430" spans="1:1">
      <c r="A430" s="38" t="s">
        <v>613</v>
      </c>
    </row>
    <row r="431" spans="1:1">
      <c r="A431" s="38"/>
    </row>
    <row r="432" spans="1:1">
      <c r="A432" s="38" t="s">
        <v>614</v>
      </c>
    </row>
    <row r="433" spans="1:1">
      <c r="A433" s="38" t="s">
        <v>467</v>
      </c>
    </row>
    <row r="434" spans="1:1">
      <c r="A434" s="38"/>
    </row>
    <row r="435" spans="1:1">
      <c r="A435" s="38" t="s">
        <v>615</v>
      </c>
    </row>
    <row r="436" spans="1:1">
      <c r="A436" s="38" t="s">
        <v>616</v>
      </c>
    </row>
    <row r="437" spans="1:1">
      <c r="A437" s="38" t="s">
        <v>617</v>
      </c>
    </row>
    <row r="438" spans="1:1">
      <c r="A438" s="38" t="s">
        <v>618</v>
      </c>
    </row>
    <row r="439" spans="1:1">
      <c r="A439" s="38"/>
    </row>
    <row r="440" spans="1:1">
      <c r="A440" s="38" t="s">
        <v>619</v>
      </c>
    </row>
    <row r="441" spans="1:1">
      <c r="A441" s="38" t="s">
        <v>620</v>
      </c>
    </row>
    <row r="442" spans="1:1">
      <c r="A442" s="38" t="s">
        <v>621</v>
      </c>
    </row>
    <row r="443" spans="1:1">
      <c r="A443" s="38"/>
    </row>
    <row r="444" spans="1:1">
      <c r="A444" s="38" t="s">
        <v>622</v>
      </c>
    </row>
    <row r="445" spans="1:1">
      <c r="A445" s="38" t="s">
        <v>467</v>
      </c>
    </row>
    <row r="446" spans="1:1">
      <c r="A446" s="38"/>
    </row>
    <row r="447" spans="1:1">
      <c r="A447" s="38" t="s">
        <v>623</v>
      </c>
    </row>
    <row r="448" spans="1:1">
      <c r="A448" s="38" t="s">
        <v>624</v>
      </c>
    </row>
    <row r="449" spans="1:1">
      <c r="A449" s="38" t="s">
        <v>625</v>
      </c>
    </row>
    <row r="450" spans="1:1">
      <c r="A450" s="38" t="s">
        <v>626</v>
      </c>
    </row>
    <row r="451" spans="1:1">
      <c r="A451" s="38"/>
    </row>
    <row r="452" spans="1:1">
      <c r="A452" s="38" t="s">
        <v>627</v>
      </c>
    </row>
    <row r="453" spans="1:1">
      <c r="A453" s="38" t="s">
        <v>628</v>
      </c>
    </row>
    <row r="454" spans="1:1">
      <c r="A454" s="38"/>
    </row>
    <row r="455" spans="1:1">
      <c r="A455" s="38" t="s">
        <v>629</v>
      </c>
    </row>
    <row r="456" spans="1:1">
      <c r="A456" s="38" t="s">
        <v>630</v>
      </c>
    </row>
    <row r="457" spans="1:1">
      <c r="A457" s="38" t="s">
        <v>631</v>
      </c>
    </row>
    <row r="458" spans="1:1">
      <c r="A458" s="38"/>
    </row>
    <row r="459" spans="1:1">
      <c r="A459" s="38" t="s">
        <v>632</v>
      </c>
    </row>
    <row r="460" spans="1:1">
      <c r="A460" s="38" t="s">
        <v>633</v>
      </c>
    </row>
    <row r="461" spans="1:1">
      <c r="A461" s="38" t="s">
        <v>634</v>
      </c>
    </row>
    <row r="462" spans="1:1">
      <c r="A462" s="38"/>
    </row>
    <row r="463" spans="1:1">
      <c r="A463" s="38" t="s">
        <v>635</v>
      </c>
    </row>
    <row r="464" spans="1:1">
      <c r="A464" s="38" t="s">
        <v>636</v>
      </c>
    </row>
    <row r="465" spans="1:1">
      <c r="A465" s="38" t="s">
        <v>637</v>
      </c>
    </row>
    <row r="466" spans="1:1">
      <c r="A466" s="38" t="s">
        <v>638</v>
      </c>
    </row>
    <row r="467" spans="1:1">
      <c r="A467" s="38"/>
    </row>
    <row r="468" spans="1:1">
      <c r="A468" s="38" t="s">
        <v>639</v>
      </c>
    </row>
    <row r="469" spans="1:1">
      <c r="A469" s="38" t="s">
        <v>640</v>
      </c>
    </row>
    <row r="470" spans="1:1">
      <c r="A470" s="38" t="s">
        <v>641</v>
      </c>
    </row>
    <row r="471" spans="1:1">
      <c r="A471" s="38" t="s">
        <v>495</v>
      </c>
    </row>
    <row r="472" spans="1:1">
      <c r="A472" s="38" t="s">
        <v>642</v>
      </c>
    </row>
    <row r="473" spans="1:1">
      <c r="A473" s="38" t="s">
        <v>467</v>
      </c>
    </row>
    <row r="474" spans="1:1">
      <c r="A474" s="38"/>
    </row>
    <row r="475" spans="1:1">
      <c r="A475" s="38" t="s">
        <v>643</v>
      </c>
    </row>
    <row r="476" spans="1:1">
      <c r="A476" s="38" t="s">
        <v>644</v>
      </c>
    </row>
    <row r="477" spans="1:1">
      <c r="A477" s="38" t="s">
        <v>645</v>
      </c>
    </row>
    <row r="478" spans="1:1">
      <c r="A478" s="38"/>
    </row>
    <row r="479" spans="1:1">
      <c r="A479" s="38" t="s">
        <v>481</v>
      </c>
    </row>
    <row r="480" spans="1:1">
      <c r="A480" s="38" t="s">
        <v>488</v>
      </c>
    </row>
    <row r="481" spans="1:1">
      <c r="A481" s="38"/>
    </row>
    <row r="482" spans="1:1">
      <c r="A482" s="38" t="s">
        <v>646</v>
      </c>
    </row>
    <row r="483" spans="1:1">
      <c r="A483" s="38" t="s">
        <v>647</v>
      </c>
    </row>
    <row r="484" spans="1:1">
      <c r="A484" s="38" t="s">
        <v>648</v>
      </c>
    </row>
    <row r="485" spans="1:1">
      <c r="A485" s="38"/>
    </row>
    <row r="486" spans="1:1">
      <c r="A486" s="38" t="s">
        <v>649</v>
      </c>
    </row>
    <row r="487" spans="1:1">
      <c r="A487" s="38" t="s">
        <v>497</v>
      </c>
    </row>
    <row r="488" spans="1:1">
      <c r="A488" s="38" t="s">
        <v>650</v>
      </c>
    </row>
    <row r="489" spans="1:1">
      <c r="A489" s="38" t="s">
        <v>651</v>
      </c>
    </row>
    <row r="490" spans="1:1">
      <c r="A490" s="38" t="s">
        <v>652</v>
      </c>
    </row>
    <row r="491" spans="1:1">
      <c r="A491" s="38" t="s">
        <v>653</v>
      </c>
    </row>
    <row r="492" spans="1:1">
      <c r="A492" s="38" t="s">
        <v>651</v>
      </c>
    </row>
    <row r="493" spans="1:1">
      <c r="A493" s="38" t="s">
        <v>654</v>
      </c>
    </row>
    <row r="494" spans="1:1">
      <c r="A494" s="38" t="s">
        <v>495</v>
      </c>
    </row>
    <row r="495" spans="1:1">
      <c r="A495" s="38" t="s">
        <v>524</v>
      </c>
    </row>
    <row r="496" spans="1:1">
      <c r="A496" s="38"/>
    </row>
    <row r="497" spans="1:1">
      <c r="A497" s="38" t="s">
        <v>655</v>
      </c>
    </row>
    <row r="498" spans="1:1">
      <c r="A498" s="38" t="s">
        <v>656</v>
      </c>
    </row>
    <row r="499" spans="1:1">
      <c r="A499" s="38" t="s">
        <v>657</v>
      </c>
    </row>
    <row r="500" spans="1:1">
      <c r="A500" s="38" t="s">
        <v>467</v>
      </c>
    </row>
    <row r="501" spans="1:1">
      <c r="A501" s="38"/>
    </row>
    <row r="502" spans="1:1">
      <c r="A502" s="38" t="s">
        <v>658</v>
      </c>
    </row>
    <row r="503" spans="1:1">
      <c r="A503" s="38" t="s">
        <v>659</v>
      </c>
    </row>
    <row r="504" spans="1:1">
      <c r="A504" s="38" t="s">
        <v>660</v>
      </c>
    </row>
    <row r="505" spans="1:1">
      <c r="A505" s="38" t="s">
        <v>661</v>
      </c>
    </row>
    <row r="506" spans="1:1">
      <c r="A506" s="38"/>
    </row>
    <row r="507" spans="1:1">
      <c r="A507" s="38" t="s">
        <v>480</v>
      </c>
    </row>
    <row r="508" spans="1:1">
      <c r="A508" s="38" t="s">
        <v>482</v>
      </c>
    </row>
    <row r="509" spans="1:1">
      <c r="A509" s="38" t="s">
        <v>485</v>
      </c>
    </row>
    <row r="510" spans="1:1">
      <c r="A510" s="38"/>
    </row>
    <row r="511" spans="1:1">
      <c r="A511" s="38" t="s">
        <v>486</v>
      </c>
    </row>
    <row r="512" spans="1:1">
      <c r="A512" s="38" t="s">
        <v>487</v>
      </c>
    </row>
    <row r="513" spans="1:1">
      <c r="A513" s="38" t="s">
        <v>662</v>
      </c>
    </row>
    <row r="514" spans="1:1">
      <c r="A514" s="38"/>
    </row>
    <row r="515" spans="1:1">
      <c r="A515" s="38" t="s">
        <v>490</v>
      </c>
    </row>
    <row r="516" spans="1:1">
      <c r="A516" s="38" t="s">
        <v>663</v>
      </c>
    </row>
    <row r="517" spans="1:1">
      <c r="A517" s="38" t="s">
        <v>664</v>
      </c>
    </row>
    <row r="518" spans="1:1">
      <c r="A518" s="38" t="s">
        <v>665</v>
      </c>
    </row>
    <row r="519" spans="1:1">
      <c r="A519" s="38" t="s">
        <v>666</v>
      </c>
    </row>
    <row r="520" spans="1:1">
      <c r="A520" s="38" t="s">
        <v>667</v>
      </c>
    </row>
    <row r="521" spans="1:1">
      <c r="A521" s="38" t="s">
        <v>668</v>
      </c>
    </row>
    <row r="522" spans="1:1">
      <c r="A522" s="38" t="s">
        <v>568</v>
      </c>
    </row>
    <row r="523" spans="1:1">
      <c r="A523" s="38" t="s">
        <v>495</v>
      </c>
    </row>
    <row r="524" spans="1:1">
      <c r="A524" s="38" t="s">
        <v>496</v>
      </c>
    </row>
    <row r="525" spans="1:1">
      <c r="A525" s="38" t="s">
        <v>467</v>
      </c>
    </row>
    <row r="526" spans="1:1">
      <c r="A526" s="38"/>
    </row>
    <row r="527" spans="1:1">
      <c r="A527" s="38" t="s">
        <v>669</v>
      </c>
    </row>
    <row r="528" spans="1:1">
      <c r="A528" s="38" t="s">
        <v>670</v>
      </c>
    </row>
    <row r="529" spans="1:1">
      <c r="A529" s="38" t="s">
        <v>671</v>
      </c>
    </row>
    <row r="530" spans="1:1">
      <c r="A530" s="38" t="s">
        <v>672</v>
      </c>
    </row>
    <row r="531" spans="1:1">
      <c r="A531" s="38" t="s">
        <v>673</v>
      </c>
    </row>
    <row r="532" spans="1:1">
      <c r="A532" s="38" t="s">
        <v>674</v>
      </c>
    </row>
    <row r="533" spans="1:1">
      <c r="A533" s="38" t="s">
        <v>675</v>
      </c>
    </row>
    <row r="534" spans="1:1">
      <c r="A534" s="38" t="s">
        <v>676</v>
      </c>
    </row>
    <row r="535" spans="1:1">
      <c r="A535" s="38"/>
    </row>
    <row r="536" spans="1:1">
      <c r="A536" s="38" t="s">
        <v>677</v>
      </c>
    </row>
    <row r="537" spans="1:1">
      <c r="A537" s="38" t="s">
        <v>678</v>
      </c>
    </row>
    <row r="538" spans="1:1">
      <c r="A538" s="38" t="s">
        <v>645</v>
      </c>
    </row>
    <row r="539" spans="1:1">
      <c r="A539" s="38" t="s">
        <v>679</v>
      </c>
    </row>
    <row r="540" spans="1:1">
      <c r="A540" s="38"/>
    </row>
    <row r="541" spans="1:1">
      <c r="A541" s="38" t="s">
        <v>680</v>
      </c>
    </row>
    <row r="542" spans="1:1">
      <c r="A542" s="38"/>
    </row>
    <row r="543" spans="1:1">
      <c r="A543" s="38" t="s">
        <v>681</v>
      </c>
    </row>
    <row r="544" spans="1:1">
      <c r="A544" s="38" t="s">
        <v>682</v>
      </c>
    </row>
    <row r="545" spans="1:1">
      <c r="A545" s="38" t="s">
        <v>683</v>
      </c>
    </row>
    <row r="546" spans="1:1">
      <c r="A546" s="38" t="s">
        <v>684</v>
      </c>
    </row>
    <row r="547" spans="1:1">
      <c r="A547" s="38"/>
    </row>
    <row r="548" spans="1:1">
      <c r="A548" s="38" t="s">
        <v>685</v>
      </c>
    </row>
    <row r="549" spans="1:1">
      <c r="A549" s="38" t="s">
        <v>686</v>
      </c>
    </row>
    <row r="550" spans="1:1">
      <c r="A550" s="38" t="s">
        <v>687</v>
      </c>
    </row>
    <row r="551" spans="1:1">
      <c r="A551" s="38" t="s">
        <v>688</v>
      </c>
    </row>
    <row r="552" spans="1:1">
      <c r="A552" s="38" t="s">
        <v>689</v>
      </c>
    </row>
    <row r="553" spans="1:1">
      <c r="A553" s="38" t="s">
        <v>690</v>
      </c>
    </row>
    <row r="554" spans="1:1">
      <c r="A554" s="38" t="s">
        <v>495</v>
      </c>
    </row>
    <row r="555" spans="1:1">
      <c r="A555" s="38"/>
    </row>
    <row r="556" spans="1:1">
      <c r="A556" s="38" t="s">
        <v>691</v>
      </c>
    </row>
    <row r="557" spans="1:1">
      <c r="A557" s="38" t="s">
        <v>692</v>
      </c>
    </row>
    <row r="558" spans="1:1">
      <c r="A558" s="38" t="s">
        <v>693</v>
      </c>
    </row>
    <row r="559" spans="1:1">
      <c r="A559" s="38" t="s">
        <v>694</v>
      </c>
    </row>
    <row r="560" spans="1:1">
      <c r="A560" s="38" t="s">
        <v>510</v>
      </c>
    </row>
    <row r="561" spans="1:1">
      <c r="A561" s="38" t="s">
        <v>695</v>
      </c>
    </row>
    <row r="562" spans="1:1">
      <c r="A562" s="38"/>
    </row>
    <row r="563" spans="1:1">
      <c r="A563" s="38" t="s">
        <v>696</v>
      </c>
    </row>
    <row r="564" spans="1:1">
      <c r="A564" s="38" t="s">
        <v>642</v>
      </c>
    </row>
    <row r="565" spans="1:1">
      <c r="A565" s="38" t="s">
        <v>467</v>
      </c>
    </row>
    <row r="566" spans="1:1">
      <c r="A566" s="38"/>
    </row>
    <row r="567" spans="1:1">
      <c r="A567" s="38" t="s">
        <v>697</v>
      </c>
    </row>
    <row r="568" spans="1:1">
      <c r="A568" s="38" t="s">
        <v>698</v>
      </c>
    </row>
    <row r="569" spans="1:1">
      <c r="A569" s="38" t="s">
        <v>645</v>
      </c>
    </row>
    <row r="570" spans="1:1">
      <c r="A570" s="38" t="s">
        <v>699</v>
      </c>
    </row>
    <row r="571" spans="1:1">
      <c r="A571" s="38" t="s">
        <v>700</v>
      </c>
    </row>
    <row r="572" spans="1:1">
      <c r="A572" s="38"/>
    </row>
    <row r="573" spans="1:1">
      <c r="A573" s="38" t="s">
        <v>481</v>
      </c>
    </row>
    <row r="574" spans="1:1">
      <c r="A574" s="38" t="s">
        <v>483</v>
      </c>
    </row>
    <row r="575" spans="1:1">
      <c r="A575" s="38" t="s">
        <v>484</v>
      </c>
    </row>
    <row r="576" spans="1:1">
      <c r="A576" s="38" t="s">
        <v>488</v>
      </c>
    </row>
    <row r="577" spans="1:1">
      <c r="A577" s="38"/>
    </row>
    <row r="578" spans="1:1">
      <c r="A578" s="38" t="s">
        <v>497</v>
      </c>
    </row>
    <row r="579" spans="1:1">
      <c r="A579" s="38" t="s">
        <v>701</v>
      </c>
    </row>
    <row r="580" spans="1:1">
      <c r="A580" s="38" t="s">
        <v>702</v>
      </c>
    </row>
    <row r="581" spans="1:1">
      <c r="A581" s="38" t="s">
        <v>703</v>
      </c>
    </row>
    <row r="582" spans="1:1">
      <c r="A582" s="38" t="s">
        <v>704</v>
      </c>
    </row>
    <row r="583" spans="1:1">
      <c r="A583" s="38" t="s">
        <v>705</v>
      </c>
    </row>
    <row r="584" spans="1:1">
      <c r="A584" s="38" t="s">
        <v>706</v>
      </c>
    </row>
    <row r="585" spans="1:1">
      <c r="A585" s="38" t="s">
        <v>707</v>
      </c>
    </row>
    <row r="586" spans="1:1">
      <c r="A586" s="38" t="s">
        <v>521</v>
      </c>
    </row>
    <row r="587" spans="1:1">
      <c r="A587" s="38" t="s">
        <v>510</v>
      </c>
    </row>
    <row r="588" spans="1:1">
      <c r="A588" s="38" t="s">
        <v>495</v>
      </c>
    </row>
    <row r="589" spans="1:1">
      <c r="A589" s="38" t="s">
        <v>524</v>
      </c>
    </row>
    <row r="590" spans="1:1">
      <c r="A590" s="38"/>
    </row>
    <row r="591" spans="1:1">
      <c r="A591" s="38" t="s">
        <v>708</v>
      </c>
    </row>
    <row r="592" spans="1:1">
      <c r="A592" s="38" t="s">
        <v>709</v>
      </c>
    </row>
    <row r="593" spans="1:1">
      <c r="A593" s="38" t="s">
        <v>710</v>
      </c>
    </row>
    <row r="594" spans="1:1">
      <c r="A594" s="38" t="s">
        <v>711</v>
      </c>
    </row>
    <row r="595" spans="1:1">
      <c r="A595" s="38" t="s">
        <v>712</v>
      </c>
    </row>
    <row r="596" spans="1:1">
      <c r="A596" s="38" t="s">
        <v>713</v>
      </c>
    </row>
    <row r="597" spans="1:1">
      <c r="A597" s="38" t="s">
        <v>714</v>
      </c>
    </row>
    <row r="598" spans="1:1">
      <c r="A598" s="38" t="s">
        <v>715</v>
      </c>
    </row>
    <row r="599" spans="1:1">
      <c r="A599" s="38" t="s">
        <v>642</v>
      </c>
    </row>
    <row r="600" spans="1:1">
      <c r="A600" s="38" t="s">
        <v>467</v>
      </c>
    </row>
    <row r="601" spans="1:1">
      <c r="A601" s="38"/>
    </row>
    <row r="602" spans="1:1">
      <c r="A602" s="38" t="s">
        <v>444</v>
      </c>
    </row>
    <row r="603" spans="1:1">
      <c r="A603" s="38" t="s">
        <v>716</v>
      </c>
    </row>
    <row r="604" spans="1:1">
      <c r="A604" s="38" t="s">
        <v>444</v>
      </c>
    </row>
    <row r="605" spans="1:1">
      <c r="A605" s="38"/>
    </row>
    <row r="606" spans="1:1">
      <c r="A606" s="38" t="s">
        <v>717</v>
      </c>
    </row>
    <row r="607" spans="1:1">
      <c r="A607" s="38" t="s">
        <v>718</v>
      </c>
    </row>
    <row r="608" spans="1:1">
      <c r="A608" s="38" t="s">
        <v>719</v>
      </c>
    </row>
    <row r="609" spans="1:1">
      <c r="A609" s="38" t="s">
        <v>720</v>
      </c>
    </row>
    <row r="610" spans="1:1">
      <c r="A610" s="38" t="s">
        <v>721</v>
      </c>
    </row>
    <row r="611" spans="1:1">
      <c r="A611" s="38" t="s">
        <v>585</v>
      </c>
    </row>
    <row r="612" spans="1:1">
      <c r="A612" s="38"/>
    </row>
    <row r="613" spans="1:1">
      <c r="A613" s="38" t="s">
        <v>722</v>
      </c>
    </row>
    <row r="614" spans="1:1">
      <c r="A614" s="38" t="s">
        <v>723</v>
      </c>
    </row>
    <row r="615" spans="1:1">
      <c r="A615" s="38" t="s">
        <v>724</v>
      </c>
    </row>
    <row r="616" spans="1:1">
      <c r="A616" s="38" t="s">
        <v>725</v>
      </c>
    </row>
    <row r="617" spans="1:1">
      <c r="A617" s="38" t="s">
        <v>726</v>
      </c>
    </row>
    <row r="618" spans="1:1">
      <c r="A618" s="38" t="s">
        <v>727</v>
      </c>
    </row>
    <row r="619" spans="1:1">
      <c r="A619" s="38" t="s">
        <v>728</v>
      </c>
    </row>
    <row r="620" spans="1:1">
      <c r="A620" s="38" t="s">
        <v>585</v>
      </c>
    </row>
    <row r="621" spans="1:1">
      <c r="A621" s="38"/>
    </row>
    <row r="622" spans="1:1">
      <c r="A622" s="38" t="s">
        <v>729</v>
      </c>
    </row>
    <row r="623" spans="1:1">
      <c r="A623" s="38" t="s">
        <v>730</v>
      </c>
    </row>
    <row r="624" spans="1:1">
      <c r="A624" s="38" t="s">
        <v>451</v>
      </c>
    </row>
    <row r="625" spans="1:1">
      <c r="A625" s="38" t="s">
        <v>731</v>
      </c>
    </row>
    <row r="626" spans="1:1">
      <c r="A626" s="38" t="s">
        <v>732</v>
      </c>
    </row>
    <row r="627" spans="1:1">
      <c r="A627" s="38" t="s">
        <v>459</v>
      </c>
    </row>
    <row r="628" spans="1:1">
      <c r="A628" s="38" t="s">
        <v>585</v>
      </c>
    </row>
    <row r="629" spans="1:1">
      <c r="A629" s="38"/>
    </row>
    <row r="630" spans="1:1">
      <c r="A630" s="38" t="s">
        <v>733</v>
      </c>
    </row>
    <row r="631" spans="1:1">
      <c r="A631" s="38" t="s">
        <v>734</v>
      </c>
    </row>
    <row r="632" spans="1:1">
      <c r="A632" s="38" t="s">
        <v>451</v>
      </c>
    </row>
    <row r="633" spans="1:1">
      <c r="A633" s="38" t="s">
        <v>735</v>
      </c>
    </row>
    <row r="634" spans="1:1">
      <c r="A634" s="38" t="s">
        <v>736</v>
      </c>
    </row>
    <row r="635" spans="1:1">
      <c r="A635" s="38" t="s">
        <v>459</v>
      </c>
    </row>
    <row r="636" spans="1:1">
      <c r="A636" s="38" t="s">
        <v>585</v>
      </c>
    </row>
    <row r="637" spans="1:1">
      <c r="A637" s="38"/>
    </row>
    <row r="638" spans="1:1">
      <c r="A638" s="38" t="s">
        <v>737</v>
      </c>
    </row>
    <row r="639" spans="1:1">
      <c r="A639" s="38" t="s">
        <v>738</v>
      </c>
    </row>
    <row r="640" spans="1:1">
      <c r="A640" s="38" t="s">
        <v>535</v>
      </c>
    </row>
    <row r="641" spans="1:1">
      <c r="A641" s="38" t="s">
        <v>739</v>
      </c>
    </row>
    <row r="642" spans="1:1">
      <c r="A642" s="38" t="s">
        <v>740</v>
      </c>
    </row>
    <row r="643" spans="1:1">
      <c r="A643" s="38" t="s">
        <v>741</v>
      </c>
    </row>
    <row r="644" spans="1:1">
      <c r="A644" s="38"/>
    </row>
    <row r="645" spans="1:1">
      <c r="A645" s="38" t="s">
        <v>480</v>
      </c>
    </row>
    <row r="646" spans="1:1">
      <c r="A646" s="38" t="s">
        <v>482</v>
      </c>
    </row>
    <row r="647" spans="1:1">
      <c r="A647" s="38" t="s">
        <v>742</v>
      </c>
    </row>
    <row r="648" spans="1:1">
      <c r="A648" s="38" t="s">
        <v>743</v>
      </c>
    </row>
    <row r="649" spans="1:1">
      <c r="A649" s="38" t="s">
        <v>485</v>
      </c>
    </row>
    <row r="650" spans="1:1">
      <c r="A650" s="38"/>
    </row>
    <row r="651" spans="1:1">
      <c r="A651" s="38" t="s">
        <v>486</v>
      </c>
    </row>
    <row r="652" spans="1:1">
      <c r="A652" s="38" t="s">
        <v>487</v>
      </c>
    </row>
    <row r="653" spans="1:1">
      <c r="A653" s="38" t="s">
        <v>662</v>
      </c>
    </row>
    <row r="654" spans="1:1">
      <c r="A654" s="38"/>
    </row>
    <row r="655" spans="1:1">
      <c r="A655" s="38" t="s">
        <v>744</v>
      </c>
    </row>
    <row r="656" spans="1:1">
      <c r="A656" s="38" t="s">
        <v>490</v>
      </c>
    </row>
    <row r="657" spans="1:1">
      <c r="A657" s="38" t="s">
        <v>492</v>
      </c>
    </row>
    <row r="658" spans="1:1">
      <c r="A658" s="38" t="s">
        <v>745</v>
      </c>
    </row>
    <row r="659" spans="1:1">
      <c r="A659" s="38" t="s">
        <v>746</v>
      </c>
    </row>
    <row r="660" spans="1:1">
      <c r="A660" s="38" t="s">
        <v>747</v>
      </c>
    </row>
    <row r="661" spans="1:1">
      <c r="A661" s="38" t="s">
        <v>666</v>
      </c>
    </row>
    <row r="662" spans="1:1">
      <c r="A662" s="38" t="s">
        <v>748</v>
      </c>
    </row>
    <row r="663" spans="1:1">
      <c r="A663" s="38" t="s">
        <v>749</v>
      </c>
    </row>
    <row r="664" spans="1:1">
      <c r="A664" s="38" t="s">
        <v>495</v>
      </c>
    </row>
    <row r="665" spans="1:1">
      <c r="A665" s="38" t="s">
        <v>496</v>
      </c>
    </row>
    <row r="666" spans="1:1">
      <c r="A666" s="38"/>
    </row>
    <row r="667" spans="1:1">
      <c r="A667" s="38" t="s">
        <v>750</v>
      </c>
    </row>
    <row r="668" spans="1:1">
      <c r="A668" s="38" t="s">
        <v>751</v>
      </c>
    </row>
    <row r="669" spans="1:1">
      <c r="A669" s="38" t="s">
        <v>752</v>
      </c>
    </row>
    <row r="670" spans="1:1">
      <c r="A670" s="38" t="s">
        <v>467</v>
      </c>
    </row>
    <row r="671" spans="1:1">
      <c r="A671" s="38"/>
    </row>
    <row r="672" spans="1:1">
      <c r="A672" s="38" t="s">
        <v>753</v>
      </c>
    </row>
    <row r="673" spans="1:1">
      <c r="A673" s="38" t="s">
        <v>754</v>
      </c>
    </row>
    <row r="674" spans="1:1">
      <c r="A674" s="38" t="s">
        <v>755</v>
      </c>
    </row>
    <row r="675" spans="1:1">
      <c r="A675" s="38"/>
    </row>
    <row r="676" spans="1:1">
      <c r="A676" s="38" t="s">
        <v>756</v>
      </c>
    </row>
    <row r="677" spans="1:1">
      <c r="A677" s="38" t="s">
        <v>757</v>
      </c>
    </row>
    <row r="678" spans="1:1">
      <c r="A678" s="38" t="s">
        <v>758</v>
      </c>
    </row>
    <row r="679" spans="1:1">
      <c r="A679" s="38" t="s">
        <v>759</v>
      </c>
    </row>
    <row r="680" spans="1:1">
      <c r="A680" s="38" t="s">
        <v>760</v>
      </c>
    </row>
    <row r="681" spans="1:1">
      <c r="A681" s="38" t="s">
        <v>761</v>
      </c>
    </row>
    <row r="682" spans="1:1">
      <c r="A682" s="38" t="s">
        <v>762</v>
      </c>
    </row>
    <row r="683" spans="1:1">
      <c r="A683" s="38" t="s">
        <v>763</v>
      </c>
    </row>
    <row r="684" spans="1:1">
      <c r="A684" s="38" t="s">
        <v>764</v>
      </c>
    </row>
    <row r="685" spans="1:1">
      <c r="A685" s="38" t="s">
        <v>765</v>
      </c>
    </row>
    <row r="686" spans="1:1">
      <c r="A686" s="38"/>
    </row>
    <row r="687" spans="1:1">
      <c r="A687" s="38" t="s">
        <v>766</v>
      </c>
    </row>
    <row r="688" spans="1:1">
      <c r="A688" s="38" t="s">
        <v>467</v>
      </c>
    </row>
  </sheetData>
  <phoneticPr fontId="1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22</vt:i4>
      </vt:variant>
    </vt:vector>
  </HeadingPairs>
  <TitlesOfParts>
    <vt:vector size="32" baseType="lpstr">
      <vt:lpstr>Control_Panel</vt:lpstr>
      <vt:lpstr>Schedule_Data_Mammoet_Orig</vt:lpstr>
      <vt:lpstr>Gantt_Chart_Mammoet_Orig</vt:lpstr>
      <vt:lpstr>Schedule_Data_Mammoet_ScnA</vt:lpstr>
      <vt:lpstr>Gantt_Chart_Mammoet_ScnA</vt:lpstr>
      <vt:lpstr>Schedule_Data_Mammoet_Alt</vt:lpstr>
      <vt:lpstr>Gantt_Chart_Mammoet_Alt</vt:lpstr>
      <vt:lpstr>Weather_Analysis</vt:lpstr>
      <vt:lpstr>Summary</vt:lpstr>
      <vt:lpstr>VBA_Code</vt:lpstr>
      <vt:lpstr>DUR_BUF</vt:lpstr>
      <vt:lpstr>DUR_DECK</vt:lpstr>
      <vt:lpstr>DUR_JD</vt:lpstr>
      <vt:lpstr>DUR_LO</vt:lpstr>
      <vt:lpstr>DUR_MOB</vt:lpstr>
      <vt:lpstr>DUR_MWS</vt:lpstr>
      <vt:lpstr>DUR_RET</vt:lpstr>
      <vt:lpstr>DUR_SAIL</vt:lpstr>
      <vt:lpstr>DUR_SF</vt:lpstr>
      <vt:lpstr>DUR_TURN</vt:lpstr>
      <vt:lpstr>DUR_UL</vt:lpstr>
      <vt:lpstr>EARLY_RETURN</vt:lpstr>
      <vt:lpstr>GANTT_BUFFER_DAYS</vt:lpstr>
      <vt:lpstr>GANTT_MIN_DAYS</vt:lpstr>
      <vt:lpstr>LCT_MAINT_END</vt:lpstr>
      <vt:lpstr>LCT_MAINT_START</vt:lpstr>
      <vt:lpstr>PROJECT_START</vt:lpstr>
      <vt:lpstr>SHAMAL_END</vt:lpstr>
      <vt:lpstr>SHAMAL_START</vt:lpstr>
      <vt:lpstr>TARGET_END</vt:lpstr>
      <vt:lpstr>TIDE_THRESHOLD</vt:lpstr>
      <vt:lpstr>VOYAGE_PATTERN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2026-01-15T15:32:00Z</dcterms:created>
  <dcterms:modified xsi:type="dcterms:W3CDTF">2026-01-15T15:33:34Z</dcterms:modified>
</cp:coreProperties>
</file>